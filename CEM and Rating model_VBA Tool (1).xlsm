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filterPrivacy="1" codeName="ThisWorkbook"/>
  <xr:revisionPtr revIDLastSave="247" documentId="13_ncr:1_{7B8318A4-4C79-44C6-8101-EBD88F1A6BE4}" xr6:coauthVersionLast="47" xr6:coauthVersionMax="47" xr10:uidLastSave="{F61620EF-5793-4020-BA7F-670834BAAAAA}"/>
  <bookViews>
    <workbookView xWindow="-110" yWindow="-110" windowWidth="19420" windowHeight="10300" firstSheet="1" activeTab="1" xr2:uid="{8B94C215-B094-44FA-B025-9B033CF9E81D}"/>
  </bookViews>
  <sheets>
    <sheet name="Admin" sheetId="17" r:id="rId1"/>
    <sheet name="CEM Tool" sheetId="7" r:id="rId2"/>
    <sheet name="Results" sheetId="2" r:id="rId3"/>
    <sheet name="Notes" sheetId="40" r:id="rId4"/>
    <sheet name="Input Data" sheetId="27" r:id="rId5"/>
    <sheet name="Tables" sheetId="28" r:id="rId6"/>
    <sheet name="1.Input data Coal India" sheetId="41" r:id="rId7"/>
    <sheet name="1.Tables Coal India" sheetId="42" r:id="rId8"/>
    <sheet name="2.Input data NLC CIL" sheetId="43" r:id="rId9"/>
    <sheet name="2.Tables NLC CIL" sheetId="44" r:id="rId10"/>
    <sheet name="3.Input data Bharat Petroleum" sheetId="45" r:id="rId11"/>
    <sheet name="3.Tables Bharat Petroleum" sheetId="46" r:id="rId12"/>
    <sheet name="4.Input data HPCL" sheetId="47" r:id="rId13"/>
    <sheet name="4.Tables HPCL" sheetId="48" r:id="rId14"/>
    <sheet name="Input Data (2)" sheetId="49" r:id="rId15"/>
  </sheets>
  <definedNames>
    <definedName name="Parameter_Data" localSheetId="0">#REF!</definedName>
    <definedName name="Parameter_Data">#REF!</definedName>
    <definedName name="Scenarios_Projection" localSheetId="0">#REF!</definedName>
    <definedName name="Scenarios_Projection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1" i="49" l="1"/>
  <c r="C49" i="49"/>
  <c r="E48" i="49"/>
  <c r="E47" i="49"/>
  <c r="D47" i="49" s="1"/>
  <c r="E46" i="49"/>
  <c r="D46" i="49" s="1"/>
  <c r="E45" i="49"/>
  <c r="D45" i="49" s="1"/>
  <c r="E44" i="49"/>
  <c r="D44" i="49"/>
  <c r="E43" i="49"/>
  <c r="D43" i="49" s="1"/>
  <c r="E42" i="49"/>
  <c r="D42" i="49"/>
  <c r="E41" i="49"/>
  <c r="E40" i="49"/>
  <c r="D40" i="49" s="1"/>
  <c r="D49" i="49" s="1"/>
  <c r="D22" i="49"/>
  <c r="C18" i="49"/>
  <c r="D17" i="49"/>
  <c r="E17" i="49" s="1"/>
  <c r="E16" i="49"/>
  <c r="D16" i="49"/>
  <c r="D15" i="49"/>
  <c r="E15" i="49" s="1"/>
  <c r="E14" i="49"/>
  <c r="D14" i="49"/>
  <c r="E13" i="49"/>
  <c r="D13" i="49"/>
  <c r="E12" i="49"/>
  <c r="D12" i="49"/>
  <c r="D11" i="49"/>
  <c r="E11" i="49" s="1"/>
  <c r="E10" i="49"/>
  <c r="D10" i="49"/>
  <c r="D9" i="49"/>
  <c r="E9" i="49" s="1"/>
  <c r="E8" i="49"/>
  <c r="D8" i="49"/>
  <c r="E7" i="49"/>
  <c r="D7" i="49"/>
  <c r="E6" i="49"/>
  <c r="D6" i="49"/>
  <c r="D5" i="49"/>
  <c r="E5" i="49" s="1"/>
  <c r="E4" i="49"/>
  <c r="E23" i="49" s="1"/>
  <c r="D4" i="49"/>
  <c r="F137" i="48"/>
  <c r="F143" i="48" s="1"/>
  <c r="F155" i="48"/>
  <c r="F154" i="48"/>
  <c r="F153" i="48"/>
  <c r="F152" i="48"/>
  <c r="F151" i="48"/>
  <c r="F150" i="48"/>
  <c r="F144" i="48"/>
  <c r="AJ143" i="48"/>
  <c r="AI143" i="48"/>
  <c r="AH143" i="48"/>
  <c r="AG143" i="48"/>
  <c r="AG59" i="48" s="1"/>
  <c r="AF143" i="48"/>
  <c r="AF71" i="48" s="1"/>
  <c r="AE143" i="48"/>
  <c r="AE59" i="48" s="1"/>
  <c r="AD143" i="48"/>
  <c r="AD59" i="48" s="1"/>
  <c r="AC143" i="48"/>
  <c r="AC59" i="48" s="1"/>
  <c r="AB143" i="48"/>
  <c r="AB59" i="48" s="1"/>
  <c r="AA143" i="48"/>
  <c r="Z143" i="48"/>
  <c r="Z71" i="48" s="1"/>
  <c r="Y143" i="48"/>
  <c r="Y71" i="48" s="1"/>
  <c r="X143" i="48"/>
  <c r="W143" i="48"/>
  <c r="V143" i="48"/>
  <c r="U143" i="48"/>
  <c r="U59" i="48" s="1"/>
  <c r="T143" i="48"/>
  <c r="S143" i="48"/>
  <c r="S59" i="48" s="1"/>
  <c r="R143" i="48"/>
  <c r="R59" i="48" s="1"/>
  <c r="Q143" i="48"/>
  <c r="Q59" i="48" s="1"/>
  <c r="P143" i="48"/>
  <c r="P59" i="48" s="1"/>
  <c r="O143" i="48"/>
  <c r="N143" i="48"/>
  <c r="N71" i="48" s="1"/>
  <c r="M143" i="48"/>
  <c r="M71" i="48" s="1"/>
  <c r="L143" i="48"/>
  <c r="K143" i="48"/>
  <c r="J143" i="48"/>
  <c r="J59" i="48" s="1"/>
  <c r="I143" i="48"/>
  <c r="I71" i="48" s="1"/>
  <c r="AJ142" i="48"/>
  <c r="AJ58" i="48" s="1"/>
  <c r="AI142" i="48"/>
  <c r="AI58" i="48" s="1"/>
  <c r="AH142" i="48"/>
  <c r="AH58" i="48" s="1"/>
  <c r="AG142" i="48"/>
  <c r="AG58" i="48" s="1"/>
  <c r="AF142" i="48"/>
  <c r="AF58" i="48" s="1"/>
  <c r="AE142" i="48"/>
  <c r="AE58" i="48" s="1"/>
  <c r="AD142" i="48"/>
  <c r="AD70" i="48" s="1"/>
  <c r="AC142" i="48"/>
  <c r="AC70" i="48" s="1"/>
  <c r="AB142" i="48"/>
  <c r="AA142" i="48"/>
  <c r="Z142" i="48"/>
  <c r="Z70" i="48" s="1"/>
  <c r="Y142" i="48"/>
  <c r="Y70" i="48" s="1"/>
  <c r="X142" i="48"/>
  <c r="X58" i="48" s="1"/>
  <c r="W142" i="48"/>
  <c r="W58" i="48" s="1"/>
  <c r="V142" i="48"/>
  <c r="V58" i="48" s="1"/>
  <c r="U142" i="48"/>
  <c r="U58" i="48" s="1"/>
  <c r="T142" i="48"/>
  <c r="T58" i="48" s="1"/>
  <c r="S142" i="48"/>
  <c r="S58" i="48" s="1"/>
  <c r="R142" i="48"/>
  <c r="R58" i="48" s="1"/>
  <c r="Q142" i="48"/>
  <c r="Q58" i="48" s="1"/>
  <c r="P142" i="48"/>
  <c r="O142" i="48"/>
  <c r="N142" i="48"/>
  <c r="M142" i="48"/>
  <c r="L142" i="48"/>
  <c r="L58" i="48" s="1"/>
  <c r="K142" i="48"/>
  <c r="K58" i="48" s="1"/>
  <c r="J142" i="48"/>
  <c r="J58" i="48" s="1"/>
  <c r="I142" i="48"/>
  <c r="I58" i="48" s="1"/>
  <c r="AJ141" i="48"/>
  <c r="AJ69" i="48" s="1"/>
  <c r="AI141" i="48"/>
  <c r="AI69" i="48" s="1"/>
  <c r="AH141" i="48"/>
  <c r="AH57" i="48" s="1"/>
  <c r="AG141" i="48"/>
  <c r="AG57" i="48" s="1"/>
  <c r="AF141" i="48"/>
  <c r="AE141" i="48"/>
  <c r="AE69" i="48" s="1"/>
  <c r="AD141" i="48"/>
  <c r="AC141" i="48"/>
  <c r="AC57" i="48" s="1"/>
  <c r="AB141" i="48"/>
  <c r="AB57" i="48" s="1"/>
  <c r="AA141" i="48"/>
  <c r="AA57" i="48" s="1"/>
  <c r="Z141" i="48"/>
  <c r="Z57" i="48" s="1"/>
  <c r="Y141" i="48"/>
  <c r="Y57" i="48" s="1"/>
  <c r="X141" i="48"/>
  <c r="X69" i="48" s="1"/>
  <c r="W141" i="48"/>
  <c r="W57" i="48" s="1"/>
  <c r="V141" i="48"/>
  <c r="V57" i="48" s="1"/>
  <c r="U141" i="48"/>
  <c r="U57" i="48" s="1"/>
  <c r="T141" i="48"/>
  <c r="S141" i="48"/>
  <c r="S69" i="48" s="1"/>
  <c r="R141" i="48"/>
  <c r="Q141" i="48"/>
  <c r="Q57" i="48" s="1"/>
  <c r="P141" i="48"/>
  <c r="P57" i="48" s="1"/>
  <c r="O141" i="48"/>
  <c r="O57" i="48" s="1"/>
  <c r="N141" i="48"/>
  <c r="N57" i="48" s="1"/>
  <c r="M141" i="48"/>
  <c r="M57" i="48" s="1"/>
  <c r="L141" i="48"/>
  <c r="L57" i="48" s="1"/>
  <c r="K141" i="48"/>
  <c r="K57" i="48" s="1"/>
  <c r="J141" i="48"/>
  <c r="J57" i="48" s="1"/>
  <c r="I141" i="48"/>
  <c r="I57" i="48" s="1"/>
  <c r="AJ140" i="48"/>
  <c r="AJ68" i="48" s="1"/>
  <c r="AI140" i="48"/>
  <c r="AI68" i="48" s="1"/>
  <c r="AH140" i="48"/>
  <c r="AG140" i="48"/>
  <c r="AG56" i="48" s="1"/>
  <c r="AF140" i="48"/>
  <c r="AF56" i="48" s="1"/>
  <c r="AE140" i="48"/>
  <c r="AE56" i="48" s="1"/>
  <c r="AD140" i="48"/>
  <c r="AD56" i="48" s="1"/>
  <c r="AC140" i="48"/>
  <c r="AC68" i="48" s="1"/>
  <c r="AB140" i="48"/>
  <c r="AB68" i="48" s="1"/>
  <c r="AA140" i="48"/>
  <c r="AA68" i="48" s="1"/>
  <c r="Z140" i="48"/>
  <c r="Z68" i="48" s="1"/>
  <c r="Y140" i="48"/>
  <c r="Y68" i="48" s="1"/>
  <c r="X140" i="48"/>
  <c r="X68" i="48" s="1"/>
  <c r="W140" i="48"/>
  <c r="W68" i="48" s="1"/>
  <c r="V140" i="48"/>
  <c r="V68" i="48" s="1"/>
  <c r="U140" i="48"/>
  <c r="U68" i="48" s="1"/>
  <c r="T140" i="48"/>
  <c r="T68" i="48" s="1"/>
  <c r="S140" i="48"/>
  <c r="S56" i="48" s="1"/>
  <c r="R140" i="48"/>
  <c r="R56" i="48" s="1"/>
  <c r="Q140" i="48"/>
  <c r="Q56" i="48" s="1"/>
  <c r="P140" i="48"/>
  <c r="P56" i="48" s="1"/>
  <c r="O140" i="48"/>
  <c r="O56" i="48" s="1"/>
  <c r="N140" i="48"/>
  <c r="N56" i="48" s="1"/>
  <c r="M140" i="48"/>
  <c r="M56" i="48" s="1"/>
  <c r="L140" i="48"/>
  <c r="L68" i="48" s="1"/>
  <c r="K140" i="48"/>
  <c r="K68" i="48" s="1"/>
  <c r="J140" i="48"/>
  <c r="J68" i="48" s="1"/>
  <c r="I140" i="48"/>
  <c r="I68" i="48" s="1"/>
  <c r="AJ139" i="48"/>
  <c r="AJ67" i="48" s="1"/>
  <c r="AI139" i="48"/>
  <c r="AI55" i="48" s="1"/>
  <c r="AH139" i="48"/>
  <c r="AH55" i="48" s="1"/>
  <c r="AG139" i="48"/>
  <c r="AG55" i="48" s="1"/>
  <c r="AF139" i="48"/>
  <c r="AF55" i="48" s="1"/>
  <c r="AE139" i="48"/>
  <c r="AE55" i="48" s="1"/>
  <c r="AD139" i="48"/>
  <c r="AD67" i="48" s="1"/>
  <c r="AC139" i="48"/>
  <c r="AC55" i="48" s="1"/>
  <c r="AB139" i="48"/>
  <c r="AA139" i="48"/>
  <c r="AA67" i="48" s="1"/>
  <c r="Z139" i="48"/>
  <c r="Z137" i="48" s="1"/>
  <c r="Y139" i="48"/>
  <c r="Y137" i="48" s="1"/>
  <c r="X139" i="48"/>
  <c r="X67" i="48" s="1"/>
  <c r="W139" i="48"/>
  <c r="W55" i="48" s="1"/>
  <c r="V139" i="48"/>
  <c r="V137" i="48" s="1"/>
  <c r="U139" i="48"/>
  <c r="U67" i="48" s="1"/>
  <c r="T139" i="48"/>
  <c r="T67" i="48" s="1"/>
  <c r="S139" i="48"/>
  <c r="S67" i="48" s="1"/>
  <c r="R139" i="48"/>
  <c r="R137" i="48" s="1"/>
  <c r="Q139" i="48"/>
  <c r="Q55" i="48" s="1"/>
  <c r="P139" i="48"/>
  <c r="O139" i="48"/>
  <c r="O67" i="48" s="1"/>
  <c r="N139" i="48"/>
  <c r="N55" i="48" s="1"/>
  <c r="M139" i="48"/>
  <c r="M137" i="48" s="1"/>
  <c r="L139" i="48"/>
  <c r="L137" i="48" s="1"/>
  <c r="K139" i="48"/>
  <c r="K55" i="48" s="1"/>
  <c r="J139" i="48"/>
  <c r="J55" i="48" s="1"/>
  <c r="I139" i="48"/>
  <c r="I67" i="48" s="1"/>
  <c r="AJ138" i="48"/>
  <c r="AJ54" i="48" s="1"/>
  <c r="AI138" i="48"/>
  <c r="AI66" i="48" s="1"/>
  <c r="AH138" i="48"/>
  <c r="AH66" i="48" s="1"/>
  <c r="AG138" i="48"/>
  <c r="AG66" i="48" s="1"/>
  <c r="AF138" i="48"/>
  <c r="AF66" i="48" s="1"/>
  <c r="AE138" i="48"/>
  <c r="AE66" i="48" s="1"/>
  <c r="AD138" i="48"/>
  <c r="AD66" i="48" s="1"/>
  <c r="AC138" i="48"/>
  <c r="AC66" i="48" s="1"/>
  <c r="AB138" i="48"/>
  <c r="AB66" i="48" s="1"/>
  <c r="AA138" i="48"/>
  <c r="Z138" i="48"/>
  <c r="Y138" i="48"/>
  <c r="Y66" i="48" s="1"/>
  <c r="X138" i="48"/>
  <c r="X66" i="48" s="1"/>
  <c r="W138" i="48"/>
  <c r="W54" i="48" s="1"/>
  <c r="V138" i="48"/>
  <c r="V66" i="48" s="1"/>
  <c r="U138" i="48"/>
  <c r="U66" i="48" s="1"/>
  <c r="T138" i="48"/>
  <c r="T66" i="48" s="1"/>
  <c r="S138" i="48"/>
  <c r="S66" i="48" s="1"/>
  <c r="R138" i="48"/>
  <c r="R54" i="48" s="1"/>
  <c r="Q138" i="48"/>
  <c r="Q66" i="48" s="1"/>
  <c r="P138" i="48"/>
  <c r="P66" i="48" s="1"/>
  <c r="O138" i="48"/>
  <c r="O66" i="48" s="1"/>
  <c r="N138" i="48"/>
  <c r="N66" i="48" s="1"/>
  <c r="M138" i="48"/>
  <c r="M66" i="48" s="1"/>
  <c r="L138" i="48"/>
  <c r="L66" i="48" s="1"/>
  <c r="K138" i="48"/>
  <c r="K54" i="48" s="1"/>
  <c r="J138" i="48"/>
  <c r="J66" i="48" s="1"/>
  <c r="I138" i="48"/>
  <c r="I66" i="48" s="1"/>
  <c r="O137" i="48"/>
  <c r="AJ107" i="48"/>
  <c r="AJ95" i="48" s="1"/>
  <c r="AI107" i="48"/>
  <c r="AI95" i="48" s="1"/>
  <c r="AH107" i="48"/>
  <c r="AH83" i="48" s="1"/>
  <c r="AG107" i="48"/>
  <c r="AG83" i="48" s="1"/>
  <c r="AF107" i="48"/>
  <c r="AF83" i="48" s="1"/>
  <c r="AE107" i="48"/>
  <c r="AD107" i="48"/>
  <c r="AD95" i="48" s="1"/>
  <c r="AC107" i="48"/>
  <c r="AC95" i="48" s="1"/>
  <c r="AB107" i="48"/>
  <c r="AB95" i="48" s="1"/>
  <c r="AA107" i="48"/>
  <c r="AA95" i="48" s="1"/>
  <c r="Z107" i="48"/>
  <c r="Y107" i="48"/>
  <c r="Y83" i="48" s="1"/>
  <c r="X107" i="48"/>
  <c r="X95" i="48" s="1"/>
  <c r="W107" i="48"/>
  <c r="W83" i="48" s="1"/>
  <c r="V107" i="48"/>
  <c r="V83" i="48" s="1"/>
  <c r="U107" i="48"/>
  <c r="U83" i="48" s="1"/>
  <c r="T107" i="48"/>
  <c r="T83" i="48" s="1"/>
  <c r="S107" i="48"/>
  <c r="R107" i="48"/>
  <c r="R95" i="48" s="1"/>
  <c r="Q107" i="48"/>
  <c r="Q95" i="48" s="1"/>
  <c r="P107" i="48"/>
  <c r="P95" i="48" s="1"/>
  <c r="O107" i="48"/>
  <c r="N107" i="48"/>
  <c r="M107" i="48"/>
  <c r="M95" i="48" s="1"/>
  <c r="L107" i="48"/>
  <c r="K107" i="48"/>
  <c r="K95" i="48" s="1"/>
  <c r="J107" i="48"/>
  <c r="J83" i="48" s="1"/>
  <c r="I107" i="48"/>
  <c r="I83" i="48" s="1"/>
  <c r="AJ106" i="48"/>
  <c r="AJ82" i="48" s="1"/>
  <c r="AI106" i="48"/>
  <c r="AH106" i="48"/>
  <c r="AH94" i="48" s="1"/>
  <c r="AG106" i="48"/>
  <c r="AG94" i="48" s="1"/>
  <c r="AF106" i="48"/>
  <c r="AF94" i="48" s="1"/>
  <c r="AE106" i="48"/>
  <c r="AE82" i="48" s="1"/>
  <c r="AD106" i="48"/>
  <c r="AD82" i="48" s="1"/>
  <c r="AC106" i="48"/>
  <c r="AC82" i="48" s="1"/>
  <c r="AB106" i="48"/>
  <c r="AB82" i="48" s="1"/>
  <c r="AA106" i="48"/>
  <c r="AA94" i="48" s="1"/>
  <c r="Z106" i="48"/>
  <c r="Z82" i="48" s="1"/>
  <c r="Y106" i="48"/>
  <c r="Y82" i="48" s="1"/>
  <c r="X106" i="48"/>
  <c r="X82" i="48" s="1"/>
  <c r="W106" i="48"/>
  <c r="V106" i="48"/>
  <c r="V94" i="48" s="1"/>
  <c r="U106" i="48"/>
  <c r="U94" i="48" s="1"/>
  <c r="T106" i="48"/>
  <c r="T94" i="48" s="1"/>
  <c r="S106" i="48"/>
  <c r="R106" i="48"/>
  <c r="Q106" i="48"/>
  <c r="Q94" i="48" s="1"/>
  <c r="P106" i="48"/>
  <c r="P82" i="48" s="1"/>
  <c r="O106" i="48"/>
  <c r="O82" i="48" s="1"/>
  <c r="N106" i="48"/>
  <c r="N82" i="48" s="1"/>
  <c r="M106" i="48"/>
  <c r="M82" i="48" s="1"/>
  <c r="L106" i="48"/>
  <c r="L82" i="48" s="1"/>
  <c r="K106" i="48"/>
  <c r="J106" i="48"/>
  <c r="J94" i="48" s="1"/>
  <c r="I106" i="48"/>
  <c r="I94" i="48" s="1"/>
  <c r="AJ105" i="48"/>
  <c r="AJ93" i="48" s="1"/>
  <c r="AI105" i="48"/>
  <c r="AH105" i="48"/>
  <c r="AG105" i="48"/>
  <c r="AG93" i="48" s="1"/>
  <c r="AF105" i="48"/>
  <c r="AF93" i="48" s="1"/>
  <c r="AE105" i="48"/>
  <c r="AE81" i="48" s="1"/>
  <c r="AD105" i="48"/>
  <c r="AD81" i="48" s="1"/>
  <c r="AC105" i="48"/>
  <c r="AC81" i="48" s="1"/>
  <c r="AB105" i="48"/>
  <c r="AB81" i="48" s="1"/>
  <c r="AA105" i="48"/>
  <c r="Z105" i="48"/>
  <c r="Z93" i="48" s="1"/>
  <c r="Y105" i="48"/>
  <c r="Y93" i="48" s="1"/>
  <c r="X105" i="48"/>
  <c r="X93" i="48" s="1"/>
  <c r="W105" i="48"/>
  <c r="V105" i="48"/>
  <c r="U105" i="48"/>
  <c r="U81" i="48" s="1"/>
  <c r="T105" i="48"/>
  <c r="T81" i="48" s="1"/>
  <c r="S105" i="48"/>
  <c r="S93" i="48" s="1"/>
  <c r="R105" i="48"/>
  <c r="R81" i="48" s="1"/>
  <c r="Q105" i="48"/>
  <c r="Q81" i="48" s="1"/>
  <c r="P105" i="48"/>
  <c r="P81" i="48" s="1"/>
  <c r="O105" i="48"/>
  <c r="N105" i="48"/>
  <c r="N93" i="48" s="1"/>
  <c r="M105" i="48"/>
  <c r="M93" i="48" s="1"/>
  <c r="L105" i="48"/>
  <c r="L93" i="48" s="1"/>
  <c r="K105" i="48"/>
  <c r="K93" i="48" s="1"/>
  <c r="J105" i="48"/>
  <c r="I105" i="48"/>
  <c r="AJ104" i="48"/>
  <c r="AJ92" i="48" s="1"/>
  <c r="AI104" i="48"/>
  <c r="AI92" i="48" s="1"/>
  <c r="AH104" i="48"/>
  <c r="AH80" i="48" s="1"/>
  <c r="AG104" i="48"/>
  <c r="AG80" i="48" s="1"/>
  <c r="AF104" i="48"/>
  <c r="AF80" i="48" s="1"/>
  <c r="AE104" i="48"/>
  <c r="AD104" i="48"/>
  <c r="AD92" i="48" s="1"/>
  <c r="AC104" i="48"/>
  <c r="AC92" i="48" s="1"/>
  <c r="AB104" i="48"/>
  <c r="AB92" i="48" s="1"/>
  <c r="AA104" i="48"/>
  <c r="Z104" i="48"/>
  <c r="Y104" i="48"/>
  <c r="Y80" i="48" s="1"/>
  <c r="X104" i="48"/>
  <c r="X80" i="48" s="1"/>
  <c r="W104" i="48"/>
  <c r="W80" i="48" s="1"/>
  <c r="V104" i="48"/>
  <c r="V80" i="48" s="1"/>
  <c r="U104" i="48"/>
  <c r="U80" i="48" s="1"/>
  <c r="T104" i="48"/>
  <c r="T80" i="48" s="1"/>
  <c r="S104" i="48"/>
  <c r="R104" i="48"/>
  <c r="R92" i="48" s="1"/>
  <c r="Q104" i="48"/>
  <c r="Q92" i="48" s="1"/>
  <c r="P104" i="48"/>
  <c r="P92" i="48" s="1"/>
  <c r="O104" i="48"/>
  <c r="O92" i="48" s="1"/>
  <c r="N104" i="48"/>
  <c r="M104" i="48"/>
  <c r="M80" i="48" s="1"/>
  <c r="L104" i="48"/>
  <c r="L80" i="48" s="1"/>
  <c r="K104" i="48"/>
  <c r="K80" i="48" s="1"/>
  <c r="J104" i="48"/>
  <c r="J80" i="48" s="1"/>
  <c r="I104" i="48"/>
  <c r="I80" i="48" s="1"/>
  <c r="AJ103" i="48"/>
  <c r="AI103" i="48"/>
  <c r="AH103" i="48"/>
  <c r="AH91" i="48" s="1"/>
  <c r="AG103" i="48"/>
  <c r="AG91" i="48" s="1"/>
  <c r="AF103" i="48"/>
  <c r="AF91" i="48" s="1"/>
  <c r="AE103" i="48"/>
  <c r="AD103" i="48"/>
  <c r="AC103" i="48"/>
  <c r="AC91" i="48" s="1"/>
  <c r="AB103" i="48"/>
  <c r="AB79" i="48" s="1"/>
  <c r="AA103" i="48"/>
  <c r="AA91" i="48" s="1"/>
  <c r="Z103" i="48"/>
  <c r="Y103" i="48"/>
  <c r="X103" i="48"/>
  <c r="X91" i="48" s="1"/>
  <c r="W103" i="48"/>
  <c r="V103" i="48"/>
  <c r="V91" i="48" s="1"/>
  <c r="U103" i="48"/>
  <c r="U91" i="48" s="1"/>
  <c r="T103" i="48"/>
  <c r="T91" i="48" s="1"/>
  <c r="S103" i="48"/>
  <c r="S101" i="48" s="1"/>
  <c r="R103" i="48"/>
  <c r="R101" i="48" s="1"/>
  <c r="R89" i="48" s="1"/>
  <c r="Q103" i="48"/>
  <c r="Q101" i="48" s="1"/>
  <c r="Q89" i="48" s="1"/>
  <c r="P103" i="48"/>
  <c r="P79" i="48" s="1"/>
  <c r="O103" i="48"/>
  <c r="O101" i="48" s="1"/>
  <c r="N103" i="48"/>
  <c r="N91" i="48" s="1"/>
  <c r="M103" i="48"/>
  <c r="L103" i="48"/>
  <c r="L91" i="48" s="1"/>
  <c r="K103" i="48"/>
  <c r="J103" i="48"/>
  <c r="J91" i="48" s="1"/>
  <c r="I103" i="48"/>
  <c r="I91" i="48" s="1"/>
  <c r="AJ102" i="48"/>
  <c r="AJ90" i="48" s="1"/>
  <c r="AI102" i="48"/>
  <c r="AI78" i="48" s="1"/>
  <c r="AH102" i="48"/>
  <c r="AG102" i="48"/>
  <c r="AF102" i="48"/>
  <c r="AE102" i="48"/>
  <c r="AE90" i="48" s="1"/>
  <c r="AD102" i="48"/>
  <c r="AD78" i="48" s="1"/>
  <c r="AC102" i="48"/>
  <c r="AC78" i="48" s="1"/>
  <c r="AB102" i="48"/>
  <c r="AB78" i="48" s="1"/>
  <c r="AA102" i="48"/>
  <c r="Z102" i="48"/>
  <c r="Z90" i="48" s="1"/>
  <c r="Y102" i="48"/>
  <c r="Y90" i="48" s="1"/>
  <c r="X102" i="48"/>
  <c r="X90" i="48" s="1"/>
  <c r="W102" i="48"/>
  <c r="V102" i="48"/>
  <c r="U102" i="48"/>
  <c r="T102" i="48"/>
  <c r="T78" i="48" s="1"/>
  <c r="S102" i="48"/>
  <c r="S78" i="48" s="1"/>
  <c r="R102" i="48"/>
  <c r="R78" i="48" s="1"/>
  <c r="Q102" i="48"/>
  <c r="Q78" i="48" s="1"/>
  <c r="P102" i="48"/>
  <c r="P78" i="48" s="1"/>
  <c r="O102" i="48"/>
  <c r="N102" i="48"/>
  <c r="N90" i="48" s="1"/>
  <c r="M102" i="48"/>
  <c r="M90" i="48" s="1"/>
  <c r="L102" i="48"/>
  <c r="L90" i="48" s="1"/>
  <c r="K102" i="48"/>
  <c r="J102" i="48"/>
  <c r="I102" i="48"/>
  <c r="I78" i="48" s="1"/>
  <c r="AE101" i="48"/>
  <c r="AD101" i="48"/>
  <c r="AD89" i="48" s="1"/>
  <c r="AC101" i="48"/>
  <c r="AC89" i="48" s="1"/>
  <c r="AB101" i="48"/>
  <c r="AB89" i="48" s="1"/>
  <c r="AA101" i="48"/>
  <c r="AA77" i="48" s="1"/>
  <c r="V101" i="48"/>
  <c r="V77" i="48" s="1"/>
  <c r="Z95" i="48"/>
  <c r="O95" i="48"/>
  <c r="N95" i="48"/>
  <c r="L95" i="48"/>
  <c r="AE94" i="48"/>
  <c r="AD94" i="48"/>
  <c r="AC94" i="48"/>
  <c r="AB94" i="48"/>
  <c r="S94" i="48"/>
  <c r="R94" i="48"/>
  <c r="AI93" i="48"/>
  <c r="AH93" i="48"/>
  <c r="W93" i="48"/>
  <c r="V93" i="48"/>
  <c r="U93" i="48"/>
  <c r="T93" i="48"/>
  <c r="J93" i="48"/>
  <c r="I93" i="48"/>
  <c r="AA92" i="48"/>
  <c r="Z92" i="48"/>
  <c r="N92" i="48"/>
  <c r="M92" i="48"/>
  <c r="L92" i="48"/>
  <c r="K92" i="48"/>
  <c r="AJ91" i="48"/>
  <c r="AE91" i="48"/>
  <c r="AD91" i="48"/>
  <c r="R91" i="48"/>
  <c r="AI90" i="48"/>
  <c r="AH90" i="48"/>
  <c r="AG90" i="48"/>
  <c r="AF90" i="48"/>
  <c r="W90" i="48"/>
  <c r="V90" i="48"/>
  <c r="U90" i="48"/>
  <c r="K90" i="48"/>
  <c r="J90" i="48"/>
  <c r="I90" i="48"/>
  <c r="AJ83" i="48"/>
  <c r="AA83" i="48"/>
  <c r="Z83" i="48"/>
  <c r="O83" i="48"/>
  <c r="N83" i="48"/>
  <c r="M83" i="48"/>
  <c r="L83" i="48"/>
  <c r="AH82" i="48"/>
  <c r="AG82" i="48"/>
  <c r="AF82" i="48"/>
  <c r="T82" i="48"/>
  <c r="S82" i="48"/>
  <c r="R82" i="48"/>
  <c r="Q82" i="48"/>
  <c r="AI81" i="48"/>
  <c r="AH81" i="48"/>
  <c r="AG81" i="48"/>
  <c r="AF81" i="48"/>
  <c r="W81" i="48"/>
  <c r="V81" i="48"/>
  <c r="N81" i="48"/>
  <c r="M81" i="48"/>
  <c r="L81" i="48"/>
  <c r="K81" i="48"/>
  <c r="J81" i="48"/>
  <c r="I81" i="48"/>
  <c r="AJ80" i="48"/>
  <c r="AI80" i="48"/>
  <c r="AA80" i="48"/>
  <c r="Z80" i="48"/>
  <c r="N80" i="48"/>
  <c r="AF79" i="48"/>
  <c r="AE79" i="48"/>
  <c r="AD79" i="48"/>
  <c r="AC79" i="48"/>
  <c r="S79" i="48"/>
  <c r="R79" i="48"/>
  <c r="AH78" i="48"/>
  <c r="AG78" i="48"/>
  <c r="AF78" i="48"/>
  <c r="Z78" i="48"/>
  <c r="X78" i="48"/>
  <c r="W78" i="48"/>
  <c r="V78" i="48"/>
  <c r="U78" i="48"/>
  <c r="K78" i="48"/>
  <c r="J78" i="48"/>
  <c r="AJ71" i="48"/>
  <c r="AI71" i="48"/>
  <c r="AH71" i="48"/>
  <c r="X71" i="48"/>
  <c r="W71" i="48"/>
  <c r="V71" i="48"/>
  <c r="U71" i="48"/>
  <c r="T71" i="48"/>
  <c r="L71" i="48"/>
  <c r="K71" i="48"/>
  <c r="J71" i="48"/>
  <c r="AB70" i="48"/>
  <c r="AA70" i="48"/>
  <c r="P70" i="48"/>
  <c r="O70" i="48"/>
  <c r="N70" i="48"/>
  <c r="M70" i="48"/>
  <c r="AF69" i="48"/>
  <c r="AD69" i="48"/>
  <c r="T69" i="48"/>
  <c r="R69" i="48"/>
  <c r="Q69" i="48"/>
  <c r="L69" i="48"/>
  <c r="AH68" i="48"/>
  <c r="AG68" i="48"/>
  <c r="R68" i="48"/>
  <c r="Q68" i="48"/>
  <c r="P68" i="48"/>
  <c r="O68" i="48"/>
  <c r="N68" i="48"/>
  <c r="M68" i="48"/>
  <c r="M67" i="48"/>
  <c r="AA66" i="48"/>
  <c r="Z66" i="48"/>
  <c r="K66" i="48"/>
  <c r="AJ59" i="48"/>
  <c r="AI59" i="48"/>
  <c r="AH59" i="48"/>
  <c r="AF59" i="48"/>
  <c r="X59" i="48"/>
  <c r="W59" i="48"/>
  <c r="V59" i="48"/>
  <c r="T59" i="48"/>
  <c r="L59" i="48"/>
  <c r="K59" i="48"/>
  <c r="AB58" i="48"/>
  <c r="AA58" i="48"/>
  <c r="Z58" i="48"/>
  <c r="Y58" i="48"/>
  <c r="P58" i="48"/>
  <c r="O58" i="48"/>
  <c r="N58" i="48"/>
  <c r="M58" i="48"/>
  <c r="AF57" i="48"/>
  <c r="AD57" i="48"/>
  <c r="X57" i="48"/>
  <c r="T57" i="48"/>
  <c r="S57" i="48"/>
  <c r="R57" i="48"/>
  <c r="AJ56" i="48"/>
  <c r="AI56" i="48"/>
  <c r="AH56" i="48"/>
  <c r="AB56" i="48"/>
  <c r="AA56" i="48"/>
  <c r="Z56" i="48"/>
  <c r="X56" i="48"/>
  <c r="V56" i="48"/>
  <c r="L56" i="48"/>
  <c r="K56" i="48"/>
  <c r="J56" i="48"/>
  <c r="I56" i="48"/>
  <c r="AJ55" i="48"/>
  <c r="AD55" i="48"/>
  <c r="AA55" i="48"/>
  <c r="AA54" i="48"/>
  <c r="Z54" i="48"/>
  <c r="F35" i="48"/>
  <c r="F34" i="48"/>
  <c r="F33" i="48"/>
  <c r="F32" i="48"/>
  <c r="F31" i="48"/>
  <c r="F30" i="48"/>
  <c r="F23" i="48"/>
  <c r="F22" i="48"/>
  <c r="F21" i="48"/>
  <c r="F20" i="48"/>
  <c r="F19" i="48"/>
  <c r="F18" i="48"/>
  <c r="F11" i="48"/>
  <c r="F10" i="48"/>
  <c r="F9" i="48"/>
  <c r="F8" i="48"/>
  <c r="F7" i="48"/>
  <c r="F6" i="48"/>
  <c r="D51" i="47"/>
  <c r="C49" i="47"/>
  <c r="E48" i="47"/>
  <c r="E47" i="47"/>
  <c r="D47" i="47" s="1"/>
  <c r="E46" i="47"/>
  <c r="D46" i="47" s="1"/>
  <c r="E45" i="47"/>
  <c r="D45" i="47" s="1"/>
  <c r="E44" i="47"/>
  <c r="D44" i="47" s="1"/>
  <c r="E43" i="47"/>
  <c r="D43" i="47" s="1"/>
  <c r="E42" i="47"/>
  <c r="D42" i="47" s="1"/>
  <c r="E41" i="47"/>
  <c r="E40" i="47"/>
  <c r="D40" i="47" s="1"/>
  <c r="D17" i="47"/>
  <c r="E17" i="47" s="1"/>
  <c r="D16" i="47"/>
  <c r="E16" i="47" s="1"/>
  <c r="D15" i="47"/>
  <c r="E15" i="47" s="1"/>
  <c r="C173" i="48" s="1"/>
  <c r="D14" i="47"/>
  <c r="E14" i="47" s="1"/>
  <c r="C257" i="48" s="1"/>
  <c r="D13" i="47"/>
  <c r="E13" i="47" s="1"/>
  <c r="C161" i="48" s="1"/>
  <c r="D12" i="47"/>
  <c r="E12" i="47" s="1"/>
  <c r="C137" i="48" s="1"/>
  <c r="D11" i="47"/>
  <c r="E11" i="47" s="1"/>
  <c r="C125" i="48" s="1"/>
  <c r="D10" i="47"/>
  <c r="E10" i="47" s="1"/>
  <c r="C233" i="48" s="1"/>
  <c r="D9" i="47"/>
  <c r="E9" i="47" s="1"/>
  <c r="C221" i="48" s="1"/>
  <c r="D8" i="47"/>
  <c r="E8" i="47" s="1"/>
  <c r="C53" i="48" s="1"/>
  <c r="D7" i="47"/>
  <c r="E7" i="47" s="1"/>
  <c r="C41" i="48" s="1"/>
  <c r="D6" i="47"/>
  <c r="E6" i="47" s="1"/>
  <c r="C29" i="48" s="1"/>
  <c r="D5" i="47"/>
  <c r="E5" i="47" s="1"/>
  <c r="C17" i="48" s="1"/>
  <c r="D4" i="47"/>
  <c r="E4" i="47" s="1"/>
  <c r="C5" i="48" s="1"/>
  <c r="F137" i="46"/>
  <c r="F138" i="46" s="1"/>
  <c r="C221" i="46"/>
  <c r="F155" i="46"/>
  <c r="F154" i="46"/>
  <c r="F153" i="46"/>
  <c r="F152" i="46"/>
  <c r="F151" i="46"/>
  <c r="F150" i="46"/>
  <c r="AJ143" i="46"/>
  <c r="AI143" i="46"/>
  <c r="AI59" i="46" s="1"/>
  <c r="AH143" i="46"/>
  <c r="AG143" i="46"/>
  <c r="AF143" i="46"/>
  <c r="AE143" i="46"/>
  <c r="AD143" i="46"/>
  <c r="AD59" i="46" s="1"/>
  <c r="AC143" i="46"/>
  <c r="AC59" i="46" s="1"/>
  <c r="AB143" i="46"/>
  <c r="AB59" i="46" s="1"/>
  <c r="AA143" i="46"/>
  <c r="AA59" i="46" s="1"/>
  <c r="Z143" i="46"/>
  <c r="Z71" i="46" s="1"/>
  <c r="Y143" i="46"/>
  <c r="Y71" i="46" s="1"/>
  <c r="X143" i="46"/>
  <c r="W143" i="46"/>
  <c r="V143" i="46"/>
  <c r="U143" i="46"/>
  <c r="U59" i="46" s="1"/>
  <c r="T143" i="46"/>
  <c r="T59" i="46" s="1"/>
  <c r="S143" i="46"/>
  <c r="S71" i="46" s="1"/>
  <c r="R143" i="46"/>
  <c r="R59" i="46" s="1"/>
  <c r="Q143" i="46"/>
  <c r="Q59" i="46" s="1"/>
  <c r="P143" i="46"/>
  <c r="P59" i="46" s="1"/>
  <c r="O143" i="46"/>
  <c r="O59" i="46" s="1"/>
  <c r="N143" i="46"/>
  <c r="N71" i="46" s="1"/>
  <c r="M143" i="46"/>
  <c r="M71" i="46" s="1"/>
  <c r="L143" i="46"/>
  <c r="K143" i="46"/>
  <c r="K71" i="46" s="1"/>
  <c r="J143" i="46"/>
  <c r="I143" i="46"/>
  <c r="AJ142" i="46"/>
  <c r="AI142" i="46"/>
  <c r="AH142" i="46"/>
  <c r="AH58" i="46" s="1"/>
  <c r="AG142" i="46"/>
  <c r="AG58" i="46" s="1"/>
  <c r="AF142" i="46"/>
  <c r="AF58" i="46" s="1"/>
  <c r="AE142" i="46"/>
  <c r="AE58" i="46" s="1"/>
  <c r="AD142" i="46"/>
  <c r="AD58" i="46" s="1"/>
  <c r="AC142" i="46"/>
  <c r="AC58" i="46" s="1"/>
  <c r="AB142" i="46"/>
  <c r="AA142" i="46"/>
  <c r="Z142" i="46"/>
  <c r="Z70" i="46" s="1"/>
  <c r="Y142" i="46"/>
  <c r="Y58" i="46" s="1"/>
  <c r="X142" i="46"/>
  <c r="X58" i="46" s="1"/>
  <c r="W142" i="46"/>
  <c r="W70" i="46" s="1"/>
  <c r="V142" i="46"/>
  <c r="V58" i="46" s="1"/>
  <c r="U142" i="46"/>
  <c r="U58" i="46" s="1"/>
  <c r="T142" i="46"/>
  <c r="T58" i="46" s="1"/>
  <c r="S142" i="46"/>
  <c r="S58" i="46" s="1"/>
  <c r="R142" i="46"/>
  <c r="R70" i="46" s="1"/>
  <c r="Q142" i="46"/>
  <c r="Q70" i="46" s="1"/>
  <c r="P142" i="46"/>
  <c r="O142" i="46"/>
  <c r="O70" i="46" s="1"/>
  <c r="N142" i="46"/>
  <c r="M142" i="46"/>
  <c r="L142" i="46"/>
  <c r="K142" i="46"/>
  <c r="J142" i="46"/>
  <c r="J58" i="46" s="1"/>
  <c r="I142" i="46"/>
  <c r="I58" i="46" s="1"/>
  <c r="AJ141" i="46"/>
  <c r="AJ69" i="46" s="1"/>
  <c r="AI141" i="46"/>
  <c r="AI69" i="46" s="1"/>
  <c r="AH141" i="46"/>
  <c r="AH69" i="46" s="1"/>
  <c r="AG141" i="46"/>
  <c r="AF141" i="46"/>
  <c r="AF57" i="46" s="1"/>
  <c r="AE141" i="46"/>
  <c r="AE69" i="46" s="1"/>
  <c r="AD141" i="46"/>
  <c r="AD69" i="46" s="1"/>
  <c r="AC141" i="46"/>
  <c r="AC57" i="46" s="1"/>
  <c r="AB141" i="46"/>
  <c r="AB57" i="46" s="1"/>
  <c r="AA141" i="46"/>
  <c r="AA57" i="46" s="1"/>
  <c r="Z141" i="46"/>
  <c r="Z57" i="46" s="1"/>
  <c r="Y141" i="46"/>
  <c r="Y57" i="46" s="1"/>
  <c r="X141" i="46"/>
  <c r="X57" i="46" s="1"/>
  <c r="W141" i="46"/>
  <c r="W57" i="46" s="1"/>
  <c r="V141" i="46"/>
  <c r="U141" i="46"/>
  <c r="T141" i="46"/>
  <c r="S141" i="46"/>
  <c r="R141" i="46"/>
  <c r="R69" i="46" s="1"/>
  <c r="Q141" i="46"/>
  <c r="Q69" i="46" s="1"/>
  <c r="P141" i="46"/>
  <c r="P57" i="46" s="1"/>
  <c r="O141" i="46"/>
  <c r="O57" i="46" s="1"/>
  <c r="N141" i="46"/>
  <c r="N57" i="46" s="1"/>
  <c r="M141" i="46"/>
  <c r="M57" i="46" s="1"/>
  <c r="L141" i="46"/>
  <c r="L57" i="46" s="1"/>
  <c r="K141" i="46"/>
  <c r="K57" i="46" s="1"/>
  <c r="J141" i="46"/>
  <c r="J57" i="46" s="1"/>
  <c r="I141" i="46"/>
  <c r="AJ140" i="46"/>
  <c r="AJ68" i="46" s="1"/>
  <c r="AI140" i="46"/>
  <c r="AI68" i="46" s="1"/>
  <c r="AH140" i="46"/>
  <c r="AH68" i="46" s="1"/>
  <c r="AG140" i="46"/>
  <c r="AG68" i="46" s="1"/>
  <c r="AF140" i="46"/>
  <c r="AF68" i="46" s="1"/>
  <c r="AE140" i="46"/>
  <c r="AE56" i="46" s="1"/>
  <c r="AD140" i="46"/>
  <c r="AD56" i="46" s="1"/>
  <c r="AC140" i="46"/>
  <c r="AC68" i="46" s="1"/>
  <c r="AB140" i="46"/>
  <c r="AB68" i="46" s="1"/>
  <c r="AA140" i="46"/>
  <c r="AA56" i="46" s="1"/>
  <c r="Z140" i="46"/>
  <c r="Z56" i="46" s="1"/>
  <c r="Y140" i="46"/>
  <c r="X140" i="46"/>
  <c r="W140" i="46"/>
  <c r="W68" i="46" s="1"/>
  <c r="V140" i="46"/>
  <c r="V68" i="46" s="1"/>
  <c r="U140" i="46"/>
  <c r="T140" i="46"/>
  <c r="T68" i="46" s="1"/>
  <c r="S140" i="46"/>
  <c r="S56" i="46" s="1"/>
  <c r="R140" i="46"/>
  <c r="R56" i="46" s="1"/>
  <c r="Q140" i="46"/>
  <c r="Q68" i="46" s="1"/>
  <c r="P140" i="46"/>
  <c r="P68" i="46" s="1"/>
  <c r="O140" i="46"/>
  <c r="O68" i="46" s="1"/>
  <c r="N140" i="46"/>
  <c r="N68" i="46" s="1"/>
  <c r="M140" i="46"/>
  <c r="L140" i="46"/>
  <c r="L68" i="46" s="1"/>
  <c r="K140" i="46"/>
  <c r="K68" i="46" s="1"/>
  <c r="J140" i="46"/>
  <c r="J68" i="46" s="1"/>
  <c r="I140" i="46"/>
  <c r="AJ139" i="46"/>
  <c r="AJ137" i="46" s="1"/>
  <c r="AJ65" i="46" s="1"/>
  <c r="AI139" i="46"/>
  <c r="AI55" i="46" s="1"/>
  <c r="AH139" i="46"/>
  <c r="AH55" i="46" s="1"/>
  <c r="AG139" i="46"/>
  <c r="AG137" i="46" s="1"/>
  <c r="AF139" i="46"/>
  <c r="AF137" i="46" s="1"/>
  <c r="AE139" i="46"/>
  <c r="AE137" i="46" s="1"/>
  <c r="AD139" i="46"/>
  <c r="AC139" i="46"/>
  <c r="AC137" i="46" s="1"/>
  <c r="AC65" i="46" s="1"/>
  <c r="AB139" i="46"/>
  <c r="AB67" i="46" s="1"/>
  <c r="AA139" i="46"/>
  <c r="AA67" i="46" s="1"/>
  <c r="Z139" i="46"/>
  <c r="Z67" i="46" s="1"/>
  <c r="Y139" i="46"/>
  <c r="Y137" i="46" s="1"/>
  <c r="Y65" i="46" s="1"/>
  <c r="X139" i="46"/>
  <c r="X137" i="46" s="1"/>
  <c r="X65" i="46" s="1"/>
  <c r="W139" i="46"/>
  <c r="W67" i="46" s="1"/>
  <c r="V139" i="46"/>
  <c r="V55" i="46" s="1"/>
  <c r="U139" i="46"/>
  <c r="U55" i="46" s="1"/>
  <c r="T139" i="46"/>
  <c r="T137" i="46" s="1"/>
  <c r="S139" i="46"/>
  <c r="S137" i="46" s="1"/>
  <c r="R139" i="46"/>
  <c r="Q139" i="46"/>
  <c r="Q67" i="46" s="1"/>
  <c r="P139" i="46"/>
  <c r="P67" i="46" s="1"/>
  <c r="O139" i="46"/>
  <c r="O67" i="46" s="1"/>
  <c r="N139" i="46"/>
  <c r="N67" i="46" s="1"/>
  <c r="M139" i="46"/>
  <c r="M137" i="46" s="1"/>
  <c r="M65" i="46" s="1"/>
  <c r="L139" i="46"/>
  <c r="L137" i="46" s="1"/>
  <c r="L65" i="46" s="1"/>
  <c r="K139" i="46"/>
  <c r="K67" i="46" s="1"/>
  <c r="J139" i="46"/>
  <c r="J55" i="46" s="1"/>
  <c r="I139" i="46"/>
  <c r="I67" i="46" s="1"/>
  <c r="AJ138" i="46"/>
  <c r="AJ66" i="46" s="1"/>
  <c r="AI138" i="46"/>
  <c r="AI66" i="46" s="1"/>
  <c r="AH138" i="46"/>
  <c r="AG138" i="46"/>
  <c r="AG66" i="46" s="1"/>
  <c r="AF138" i="46"/>
  <c r="AF66" i="46" s="1"/>
  <c r="AE138" i="46"/>
  <c r="AE66" i="46" s="1"/>
  <c r="AD138" i="46"/>
  <c r="AD66" i="46" s="1"/>
  <c r="AC138" i="46"/>
  <c r="AB138" i="46"/>
  <c r="AB66" i="46" s="1"/>
  <c r="AA138" i="46"/>
  <c r="AA54" i="46" s="1"/>
  <c r="Z138" i="46"/>
  <c r="Z54" i="46" s="1"/>
  <c r="Y138" i="46"/>
  <c r="Y54" i="46" s="1"/>
  <c r="X138" i="46"/>
  <c r="X54" i="46" s="1"/>
  <c r="W138" i="46"/>
  <c r="W54" i="46" s="1"/>
  <c r="V138" i="46"/>
  <c r="U138" i="46"/>
  <c r="U66" i="46" s="1"/>
  <c r="T138" i="46"/>
  <c r="T66" i="46" s="1"/>
  <c r="S138" i="46"/>
  <c r="S66" i="46" s="1"/>
  <c r="R138" i="46"/>
  <c r="R66" i="46" s="1"/>
  <c r="Q138" i="46"/>
  <c r="Q66" i="46" s="1"/>
  <c r="P138" i="46"/>
  <c r="P66" i="46" s="1"/>
  <c r="O138" i="46"/>
  <c r="O54" i="46" s="1"/>
  <c r="N138" i="46"/>
  <c r="N54" i="46" s="1"/>
  <c r="M138" i="46"/>
  <c r="M54" i="46" s="1"/>
  <c r="L138" i="46"/>
  <c r="L54" i="46" s="1"/>
  <c r="K138" i="46"/>
  <c r="K54" i="46" s="1"/>
  <c r="J138" i="46"/>
  <c r="I138" i="46"/>
  <c r="I66" i="46" s="1"/>
  <c r="AD137" i="46"/>
  <c r="AD65" i="46" s="1"/>
  <c r="Z137" i="46"/>
  <c r="Z65" i="46" s="1"/>
  <c r="R137" i="46"/>
  <c r="R65" i="46" s="1"/>
  <c r="Q137" i="46"/>
  <c r="Q65" i="46" s="1"/>
  <c r="N137" i="46"/>
  <c r="N65" i="46" s="1"/>
  <c r="I137" i="46"/>
  <c r="I53" i="46" s="1"/>
  <c r="AJ107" i="46"/>
  <c r="AJ95" i="46" s="1"/>
  <c r="AI107" i="46"/>
  <c r="AI95" i="46" s="1"/>
  <c r="AH107" i="46"/>
  <c r="AH95" i="46" s="1"/>
  <c r="AG107" i="46"/>
  <c r="AG83" i="46" s="1"/>
  <c r="AF107" i="46"/>
  <c r="AF83" i="46" s="1"/>
  <c r="AE107" i="46"/>
  <c r="AE83" i="46" s="1"/>
  <c r="AD107" i="46"/>
  <c r="AC107" i="46"/>
  <c r="AC95" i="46" s="1"/>
  <c r="AB107" i="46"/>
  <c r="AB95" i="46" s="1"/>
  <c r="AA107" i="46"/>
  <c r="AA95" i="46" s="1"/>
  <c r="Z107" i="46"/>
  <c r="Z95" i="46" s="1"/>
  <c r="Y107" i="46"/>
  <c r="Y95" i="46" s="1"/>
  <c r="X107" i="46"/>
  <c r="X83" i="46" s="1"/>
  <c r="W107" i="46"/>
  <c r="W83" i="46" s="1"/>
  <c r="V107" i="46"/>
  <c r="V83" i="46" s="1"/>
  <c r="U107" i="46"/>
  <c r="U83" i="46" s="1"/>
  <c r="T107" i="46"/>
  <c r="T83" i="46" s="1"/>
  <c r="S107" i="46"/>
  <c r="S83" i="46" s="1"/>
  <c r="R107" i="46"/>
  <c r="Q107" i="46"/>
  <c r="Q95" i="46" s="1"/>
  <c r="P107" i="46"/>
  <c r="P95" i="46" s="1"/>
  <c r="O107" i="46"/>
  <c r="O95" i="46" s="1"/>
  <c r="N107" i="46"/>
  <c r="N95" i="46" s="1"/>
  <c r="M107" i="46"/>
  <c r="M95" i="46" s="1"/>
  <c r="L107" i="46"/>
  <c r="L95" i="46" s="1"/>
  <c r="K107" i="46"/>
  <c r="J107" i="46"/>
  <c r="J83" i="46" s="1"/>
  <c r="I107" i="46"/>
  <c r="I83" i="46" s="1"/>
  <c r="AJ106" i="46"/>
  <c r="AJ82" i="46" s="1"/>
  <c r="AI106" i="46"/>
  <c r="AI82" i="46" s="1"/>
  <c r="AH106" i="46"/>
  <c r="AG106" i="46"/>
  <c r="AG94" i="46" s="1"/>
  <c r="AF106" i="46"/>
  <c r="AF94" i="46" s="1"/>
  <c r="AE106" i="46"/>
  <c r="AE94" i="46" s="1"/>
  <c r="AD106" i="46"/>
  <c r="AD94" i="46" s="1"/>
  <c r="AC106" i="46"/>
  <c r="AC82" i="46" s="1"/>
  <c r="AB106" i="46"/>
  <c r="AB94" i="46" s="1"/>
  <c r="AA106" i="46"/>
  <c r="AA94" i="46" s="1"/>
  <c r="Z106" i="46"/>
  <c r="Z94" i="46" s="1"/>
  <c r="Y106" i="46"/>
  <c r="Y82" i="46" s="1"/>
  <c r="X106" i="46"/>
  <c r="X82" i="46" s="1"/>
  <c r="W106" i="46"/>
  <c r="W82" i="46" s="1"/>
  <c r="V106" i="46"/>
  <c r="U106" i="46"/>
  <c r="U94" i="46" s="1"/>
  <c r="T106" i="46"/>
  <c r="T94" i="46" s="1"/>
  <c r="S106" i="46"/>
  <c r="S94" i="46" s="1"/>
  <c r="R106" i="46"/>
  <c r="R82" i="46" s="1"/>
  <c r="Q106" i="46"/>
  <c r="Q82" i="46" s="1"/>
  <c r="P106" i="46"/>
  <c r="O106" i="46"/>
  <c r="N106" i="46"/>
  <c r="N82" i="46" s="1"/>
  <c r="M106" i="46"/>
  <c r="M82" i="46" s="1"/>
  <c r="L106" i="46"/>
  <c r="L82" i="46" s="1"/>
  <c r="K106" i="46"/>
  <c r="K82" i="46" s="1"/>
  <c r="J106" i="46"/>
  <c r="I106" i="46"/>
  <c r="I94" i="46" s="1"/>
  <c r="AJ105" i="46"/>
  <c r="AJ93" i="46" s="1"/>
  <c r="AI105" i="46"/>
  <c r="AI93" i="46" s="1"/>
  <c r="AH105" i="46"/>
  <c r="AH81" i="46" s="1"/>
  <c r="AG105" i="46"/>
  <c r="AG93" i="46" s="1"/>
  <c r="AF105" i="46"/>
  <c r="AF93" i="46" s="1"/>
  <c r="AE105" i="46"/>
  <c r="AE93" i="46" s="1"/>
  <c r="AD105" i="46"/>
  <c r="AD93" i="46" s="1"/>
  <c r="AC105" i="46"/>
  <c r="AC81" i="46" s="1"/>
  <c r="AB105" i="46"/>
  <c r="AB81" i="46" s="1"/>
  <c r="AA105" i="46"/>
  <c r="AA81" i="46" s="1"/>
  <c r="Z105" i="46"/>
  <c r="Y105" i="46"/>
  <c r="Y93" i="46" s="1"/>
  <c r="X105" i="46"/>
  <c r="X93" i="46" s="1"/>
  <c r="W105" i="46"/>
  <c r="W93" i="46" s="1"/>
  <c r="V105" i="46"/>
  <c r="V81" i="46" s="1"/>
  <c r="U105" i="46"/>
  <c r="U81" i="46" s="1"/>
  <c r="T105" i="46"/>
  <c r="S105" i="46"/>
  <c r="S81" i="46" s="1"/>
  <c r="R105" i="46"/>
  <c r="R81" i="46" s="1"/>
  <c r="Q105" i="46"/>
  <c r="Q81" i="46" s="1"/>
  <c r="P105" i="46"/>
  <c r="P81" i="46" s="1"/>
  <c r="O105" i="46"/>
  <c r="O81" i="46" s="1"/>
  <c r="N105" i="46"/>
  <c r="M105" i="46"/>
  <c r="M93" i="46" s="1"/>
  <c r="L105" i="46"/>
  <c r="L93" i="46" s="1"/>
  <c r="K105" i="46"/>
  <c r="K93" i="46" s="1"/>
  <c r="J105" i="46"/>
  <c r="J93" i="46" s="1"/>
  <c r="I105" i="46"/>
  <c r="I93" i="46" s="1"/>
  <c r="AJ104" i="46"/>
  <c r="AJ92" i="46" s="1"/>
  <c r="AI104" i="46"/>
  <c r="AH104" i="46"/>
  <c r="AG104" i="46"/>
  <c r="AG80" i="46" s="1"/>
  <c r="AF104" i="46"/>
  <c r="AF80" i="46" s="1"/>
  <c r="AE104" i="46"/>
  <c r="AE80" i="46" s="1"/>
  <c r="AD104" i="46"/>
  <c r="AC104" i="46"/>
  <c r="AC92" i="46" s="1"/>
  <c r="AB104" i="46"/>
  <c r="AB92" i="46" s="1"/>
  <c r="AA104" i="46"/>
  <c r="AA92" i="46" s="1"/>
  <c r="Z104" i="46"/>
  <c r="Z80" i="46" s="1"/>
  <c r="Y104" i="46"/>
  <c r="Y92" i="46" s="1"/>
  <c r="X104" i="46"/>
  <c r="X80" i="46" s="1"/>
  <c r="W104" i="46"/>
  <c r="W80" i="46" s="1"/>
  <c r="V104" i="46"/>
  <c r="V80" i="46" s="1"/>
  <c r="U104" i="46"/>
  <c r="U80" i="46" s="1"/>
  <c r="T104" i="46"/>
  <c r="T80" i="46" s="1"/>
  <c r="S104" i="46"/>
  <c r="S80" i="46" s="1"/>
  <c r="R104" i="46"/>
  <c r="Q104" i="46"/>
  <c r="Q92" i="46" s="1"/>
  <c r="P104" i="46"/>
  <c r="P92" i="46" s="1"/>
  <c r="O104" i="46"/>
  <c r="O92" i="46" s="1"/>
  <c r="N104" i="46"/>
  <c r="N80" i="46" s="1"/>
  <c r="M104" i="46"/>
  <c r="M80" i="46" s="1"/>
  <c r="L104" i="46"/>
  <c r="K104" i="46"/>
  <c r="J104" i="46"/>
  <c r="I104" i="46"/>
  <c r="I80" i="46" s="1"/>
  <c r="AJ103" i="46"/>
  <c r="AJ101" i="46" s="1"/>
  <c r="AI103" i="46"/>
  <c r="AI101" i="46" s="1"/>
  <c r="AI89" i="46" s="1"/>
  <c r="AH103" i="46"/>
  <c r="AG103" i="46"/>
  <c r="AF103" i="46"/>
  <c r="AF91" i="46" s="1"/>
  <c r="AE103" i="46"/>
  <c r="AE91" i="46" s="1"/>
  <c r="AD103" i="46"/>
  <c r="AD91" i="46" s="1"/>
  <c r="AC103" i="46"/>
  <c r="AC91" i="46" s="1"/>
  <c r="AB103" i="46"/>
  <c r="AB101" i="46" s="1"/>
  <c r="AA103" i="46"/>
  <c r="AA101" i="46" s="1"/>
  <c r="Z103" i="46"/>
  <c r="Z101" i="46" s="1"/>
  <c r="Y103" i="46"/>
  <c r="Y101" i="46" s="1"/>
  <c r="X103" i="46"/>
  <c r="X101" i="46" s="1"/>
  <c r="X89" i="46" s="1"/>
  <c r="W103" i="46"/>
  <c r="W101" i="46" s="1"/>
  <c r="W89" i="46" s="1"/>
  <c r="V103" i="46"/>
  <c r="U103" i="46"/>
  <c r="U79" i="46" s="1"/>
  <c r="T103" i="46"/>
  <c r="T91" i="46" s="1"/>
  <c r="S103" i="46"/>
  <c r="S91" i="46" s="1"/>
  <c r="R103" i="46"/>
  <c r="R101" i="46" s="1"/>
  <c r="Q103" i="46"/>
  <c r="Q91" i="46" s="1"/>
  <c r="P103" i="46"/>
  <c r="P91" i="46" s="1"/>
  <c r="O103" i="46"/>
  <c r="O91" i="46" s="1"/>
  <c r="N103" i="46"/>
  <c r="N91" i="46" s="1"/>
  <c r="M103" i="46"/>
  <c r="M101" i="46" s="1"/>
  <c r="L103" i="46"/>
  <c r="L101" i="46" s="1"/>
  <c r="K103" i="46"/>
  <c r="K101" i="46" s="1"/>
  <c r="K89" i="46" s="1"/>
  <c r="J103" i="46"/>
  <c r="I103" i="46"/>
  <c r="AJ102" i="46"/>
  <c r="AJ90" i="46" s="1"/>
  <c r="AI102" i="46"/>
  <c r="AI90" i="46" s="1"/>
  <c r="AH102" i="46"/>
  <c r="AH78" i="46" s="1"/>
  <c r="AG102" i="46"/>
  <c r="AG78" i="46" s="1"/>
  <c r="AF102" i="46"/>
  <c r="AF78" i="46" s="1"/>
  <c r="AE102" i="46"/>
  <c r="AE78" i="46" s="1"/>
  <c r="AD102" i="46"/>
  <c r="AD78" i="46" s="1"/>
  <c r="AC102" i="46"/>
  <c r="AC78" i="46" s="1"/>
  <c r="AB102" i="46"/>
  <c r="AB78" i="46" s="1"/>
  <c r="AA102" i="46"/>
  <c r="AA78" i="46" s="1"/>
  <c r="Z102" i="46"/>
  <c r="Y102" i="46"/>
  <c r="Y90" i="46" s="1"/>
  <c r="X102" i="46"/>
  <c r="X90" i="46" s="1"/>
  <c r="W102" i="46"/>
  <c r="W90" i="46" s="1"/>
  <c r="V102" i="46"/>
  <c r="V90" i="46" s="1"/>
  <c r="U102" i="46"/>
  <c r="U90" i="46" s="1"/>
  <c r="T102" i="46"/>
  <c r="T90" i="46" s="1"/>
  <c r="S102" i="46"/>
  <c r="R102" i="46"/>
  <c r="R78" i="46" s="1"/>
  <c r="Q102" i="46"/>
  <c r="Q78" i="46" s="1"/>
  <c r="P102" i="46"/>
  <c r="P78" i="46" s="1"/>
  <c r="O102" i="46"/>
  <c r="O78" i="46" s="1"/>
  <c r="N102" i="46"/>
  <c r="M102" i="46"/>
  <c r="M90" i="46" s="1"/>
  <c r="L102" i="46"/>
  <c r="L90" i="46" s="1"/>
  <c r="K102" i="46"/>
  <c r="K90" i="46" s="1"/>
  <c r="J102" i="46"/>
  <c r="J78" i="46" s="1"/>
  <c r="I102" i="46"/>
  <c r="I90" i="46" s="1"/>
  <c r="P101" i="46"/>
  <c r="P89" i="46" s="1"/>
  <c r="O101" i="46"/>
  <c r="O89" i="46" s="1"/>
  <c r="N101" i="46"/>
  <c r="N89" i="46" s="1"/>
  <c r="AG95" i="46"/>
  <c r="AF95" i="46"/>
  <c r="AE95" i="46"/>
  <c r="X95" i="46"/>
  <c r="W95" i="46"/>
  <c r="U95" i="46"/>
  <c r="T95" i="46"/>
  <c r="K95" i="46"/>
  <c r="J95" i="46"/>
  <c r="I95" i="46"/>
  <c r="AJ94" i="46"/>
  <c r="Y94" i="46"/>
  <c r="X94" i="46"/>
  <c r="W94" i="46"/>
  <c r="P94" i="46"/>
  <c r="O94" i="46"/>
  <c r="M94" i="46"/>
  <c r="L94" i="46"/>
  <c r="AC93" i="46"/>
  <c r="AB93" i="46"/>
  <c r="T93" i="46"/>
  <c r="S93" i="46"/>
  <c r="R93" i="46"/>
  <c r="Q93" i="46"/>
  <c r="P93" i="46"/>
  <c r="O93" i="46"/>
  <c r="AI92" i="46"/>
  <c r="AH92" i="46"/>
  <c r="AG92" i="46"/>
  <c r="AF92" i="46"/>
  <c r="U92" i="46"/>
  <c r="N92" i="46"/>
  <c r="M92" i="46"/>
  <c r="L92" i="46"/>
  <c r="K92" i="46"/>
  <c r="J92" i="46"/>
  <c r="I92" i="46"/>
  <c r="AJ91" i="46"/>
  <c r="AA91" i="46"/>
  <c r="Z91" i="46"/>
  <c r="Y91" i="46"/>
  <c r="X91" i="46"/>
  <c r="W91" i="46"/>
  <c r="M91" i="46"/>
  <c r="L91" i="46"/>
  <c r="K91" i="46"/>
  <c r="AG90" i="46"/>
  <c r="AF90" i="46"/>
  <c r="AE90" i="46"/>
  <c r="AD90" i="46"/>
  <c r="AC90" i="46"/>
  <c r="AB90" i="46"/>
  <c r="S90" i="46"/>
  <c r="R90" i="46"/>
  <c r="Q90" i="46"/>
  <c r="P90" i="46"/>
  <c r="AJ89" i="46"/>
  <c r="Y89" i="46"/>
  <c r="M89" i="46"/>
  <c r="L89" i="46"/>
  <c r="AI83" i="46"/>
  <c r="AH83" i="46"/>
  <c r="Q83" i="46"/>
  <c r="L83" i="46"/>
  <c r="K83" i="46"/>
  <c r="P82" i="46"/>
  <c r="O82" i="46"/>
  <c r="AE81" i="46"/>
  <c r="AD81" i="46"/>
  <c r="T81" i="46"/>
  <c r="AI80" i="46"/>
  <c r="AH80" i="46"/>
  <c r="L80" i="46"/>
  <c r="K80" i="46"/>
  <c r="J80" i="46"/>
  <c r="P79" i="46"/>
  <c r="O79" i="46"/>
  <c r="T78" i="46"/>
  <c r="S78" i="46"/>
  <c r="AJ77" i="46"/>
  <c r="Y77" i="46"/>
  <c r="X77" i="46"/>
  <c r="M77" i="46"/>
  <c r="L77" i="46"/>
  <c r="AJ71" i="46"/>
  <c r="AI71" i="46"/>
  <c r="AH71" i="46"/>
  <c r="AG71" i="46"/>
  <c r="AF71" i="46"/>
  <c r="AE71" i="46"/>
  <c r="X71" i="46"/>
  <c r="W71" i="46"/>
  <c r="V71" i="46"/>
  <c r="U71" i="46"/>
  <c r="T71" i="46"/>
  <c r="L71" i="46"/>
  <c r="J71" i="46"/>
  <c r="I71" i="46"/>
  <c r="AJ70" i="46"/>
  <c r="AI70" i="46"/>
  <c r="AB70" i="46"/>
  <c r="AA70" i="46"/>
  <c r="X70" i="46"/>
  <c r="P70" i="46"/>
  <c r="N70" i="46"/>
  <c r="M70" i="46"/>
  <c r="L70" i="46"/>
  <c r="K70" i="46"/>
  <c r="AG69" i="46"/>
  <c r="AF69" i="46"/>
  <c r="AC69" i="46"/>
  <c r="AB69" i="46"/>
  <c r="V69" i="46"/>
  <c r="U69" i="46"/>
  <c r="T69" i="46"/>
  <c r="S69" i="46"/>
  <c r="J69" i="46"/>
  <c r="I69" i="46"/>
  <c r="Z68" i="46"/>
  <c r="Y68" i="46"/>
  <c r="X68" i="46"/>
  <c r="U68" i="46"/>
  <c r="M68" i="46"/>
  <c r="I68" i="46"/>
  <c r="AE67" i="46"/>
  <c r="AD67" i="46"/>
  <c r="AC67" i="46"/>
  <c r="S67" i="46"/>
  <c r="R67" i="46"/>
  <c r="M67" i="46"/>
  <c r="AH66" i="46"/>
  <c r="AC66" i="46"/>
  <c r="W66" i="46"/>
  <c r="V66" i="46"/>
  <c r="K66" i="46"/>
  <c r="J66" i="46"/>
  <c r="AJ59" i="46"/>
  <c r="AH59" i="46"/>
  <c r="AG59" i="46"/>
  <c r="AF59" i="46"/>
  <c r="AE59" i="46"/>
  <c r="Y59" i="46"/>
  <c r="X59" i="46"/>
  <c r="W59" i="46"/>
  <c r="V59" i="46"/>
  <c r="S59" i="46"/>
  <c r="L59" i="46"/>
  <c r="J59" i="46"/>
  <c r="I59" i="46"/>
  <c r="AJ58" i="46"/>
  <c r="AI58" i="46"/>
  <c r="AB58" i="46"/>
  <c r="AA58" i="46"/>
  <c r="Z58" i="46"/>
  <c r="W58" i="46"/>
  <c r="Q58" i="46"/>
  <c r="P58" i="46"/>
  <c r="O58" i="46"/>
  <c r="N58" i="46"/>
  <c r="M58" i="46"/>
  <c r="L58" i="46"/>
  <c r="K58" i="46"/>
  <c r="AH57" i="46"/>
  <c r="AG57" i="46"/>
  <c r="AE57" i="46"/>
  <c r="AD57" i="46"/>
  <c r="V57" i="46"/>
  <c r="U57" i="46"/>
  <c r="T57" i="46"/>
  <c r="S57" i="46"/>
  <c r="R57" i="46"/>
  <c r="Q57" i="46"/>
  <c r="I57" i="46"/>
  <c r="AJ56" i="46"/>
  <c r="AI56" i="46"/>
  <c r="AH56" i="46"/>
  <c r="AG56" i="46"/>
  <c r="AF56" i="46"/>
  <c r="Y56" i="46"/>
  <c r="X56" i="46"/>
  <c r="V56" i="46"/>
  <c r="U56" i="46"/>
  <c r="T56" i="46"/>
  <c r="N56" i="46"/>
  <c r="M56" i="46"/>
  <c r="L56" i="46"/>
  <c r="K56" i="46"/>
  <c r="J56" i="46"/>
  <c r="I56" i="46"/>
  <c r="AF55" i="46"/>
  <c r="AE55" i="46"/>
  <c r="AD55" i="46"/>
  <c r="AC55" i="46"/>
  <c r="AA55" i="46"/>
  <c r="R55" i="46"/>
  <c r="O55" i="46"/>
  <c r="N55" i="46"/>
  <c r="M55" i="46"/>
  <c r="AH54" i="46"/>
  <c r="AE54" i="46"/>
  <c r="AD54" i="46"/>
  <c r="AC54" i="46"/>
  <c r="V54" i="46"/>
  <c r="U54" i="46"/>
  <c r="T54" i="46"/>
  <c r="S54" i="46"/>
  <c r="R54" i="46"/>
  <c r="Q54" i="46"/>
  <c r="J54" i="46"/>
  <c r="I54" i="46"/>
  <c r="AD53" i="46"/>
  <c r="M53" i="46"/>
  <c r="L53" i="46"/>
  <c r="F35" i="46"/>
  <c r="F34" i="46"/>
  <c r="F33" i="46"/>
  <c r="F32" i="46"/>
  <c r="F31" i="46"/>
  <c r="F30" i="46"/>
  <c r="F23" i="46"/>
  <c r="F22" i="46"/>
  <c r="F21" i="46"/>
  <c r="F20" i="46"/>
  <c r="F19" i="46"/>
  <c r="F18" i="46"/>
  <c r="F11" i="46"/>
  <c r="F10" i="46"/>
  <c r="F9" i="46"/>
  <c r="F8" i="46"/>
  <c r="F7" i="46"/>
  <c r="F6" i="46"/>
  <c r="D51" i="45"/>
  <c r="C49" i="45"/>
  <c r="E48" i="45"/>
  <c r="E47" i="45"/>
  <c r="D47" i="45" s="1"/>
  <c r="E46" i="45"/>
  <c r="D46" i="45" s="1"/>
  <c r="E45" i="45"/>
  <c r="D45" i="45" s="1"/>
  <c r="E44" i="45"/>
  <c r="D44" i="45" s="1"/>
  <c r="E43" i="45"/>
  <c r="D43" i="45" s="1"/>
  <c r="E42" i="45"/>
  <c r="D42" i="45" s="1"/>
  <c r="E41" i="45"/>
  <c r="E40" i="45"/>
  <c r="D40" i="45" s="1"/>
  <c r="D17" i="45"/>
  <c r="E17" i="45" s="1"/>
  <c r="D16" i="45"/>
  <c r="E16" i="45" s="1"/>
  <c r="D15" i="45"/>
  <c r="E15" i="45" s="1"/>
  <c r="C173" i="46" s="1"/>
  <c r="D14" i="45"/>
  <c r="E14" i="45" s="1"/>
  <c r="C257" i="46" s="1"/>
  <c r="D13" i="45"/>
  <c r="E13" i="45" s="1"/>
  <c r="C161" i="46" s="1"/>
  <c r="D12" i="45"/>
  <c r="E12" i="45" s="1"/>
  <c r="C137" i="46" s="1"/>
  <c r="D11" i="45"/>
  <c r="E11" i="45" s="1"/>
  <c r="C125" i="46" s="1"/>
  <c r="D10" i="45"/>
  <c r="E10" i="45" s="1"/>
  <c r="C233" i="46" s="1"/>
  <c r="D9" i="45"/>
  <c r="E9" i="45" s="1"/>
  <c r="D8" i="45"/>
  <c r="E8" i="45" s="1"/>
  <c r="C53" i="46" s="1"/>
  <c r="D7" i="45"/>
  <c r="E7" i="45" s="1"/>
  <c r="C41" i="46" s="1"/>
  <c r="D6" i="45"/>
  <c r="E6" i="45" s="1"/>
  <c r="C29" i="46" s="1"/>
  <c r="D5" i="45"/>
  <c r="E5" i="45" s="1"/>
  <c r="C17" i="46" s="1"/>
  <c r="E4" i="45"/>
  <c r="E23" i="45" s="1"/>
  <c r="I41" i="46" s="1"/>
  <c r="D4" i="45"/>
  <c r="F137" i="44"/>
  <c r="F140" i="44"/>
  <c r="C161" i="44"/>
  <c r="C137" i="44"/>
  <c r="F155" i="44"/>
  <c r="F154" i="44"/>
  <c r="F153" i="44"/>
  <c r="F152" i="44"/>
  <c r="F151" i="44"/>
  <c r="F150" i="44"/>
  <c r="AJ143" i="44"/>
  <c r="AJ71" i="44" s="1"/>
  <c r="AI143" i="44"/>
  <c r="AI71" i="44" s="1"/>
  <c r="AH143" i="44"/>
  <c r="AG143" i="44"/>
  <c r="AF143" i="44"/>
  <c r="AF59" i="44" s="1"/>
  <c r="AE143" i="44"/>
  <c r="AE59" i="44" s="1"/>
  <c r="AD143" i="44"/>
  <c r="AD59" i="44" s="1"/>
  <c r="AC143" i="44"/>
  <c r="AC59" i="44" s="1"/>
  <c r="AB143" i="44"/>
  <c r="AB59" i="44" s="1"/>
  <c r="AA143" i="44"/>
  <c r="AA59" i="44" s="1"/>
  <c r="Z143" i="44"/>
  <c r="Y143" i="44"/>
  <c r="Y71" i="44" s="1"/>
  <c r="X143" i="44"/>
  <c r="X59" i="44" s="1"/>
  <c r="W143" i="44"/>
  <c r="W59" i="44" s="1"/>
  <c r="V143" i="44"/>
  <c r="U143" i="44"/>
  <c r="U59" i="44" s="1"/>
  <c r="T143" i="44"/>
  <c r="S143" i="44"/>
  <c r="S71" i="44" s="1"/>
  <c r="R143" i="44"/>
  <c r="R59" i="44" s="1"/>
  <c r="Q143" i="44"/>
  <c r="Q59" i="44" s="1"/>
  <c r="P143" i="44"/>
  <c r="P59" i="44" s="1"/>
  <c r="O143" i="44"/>
  <c r="O59" i="44" s="1"/>
  <c r="N143" i="44"/>
  <c r="M143" i="44"/>
  <c r="M71" i="44" s="1"/>
  <c r="L143" i="44"/>
  <c r="L71" i="44" s="1"/>
  <c r="K143" i="44"/>
  <c r="K71" i="44" s="1"/>
  <c r="J143" i="44"/>
  <c r="I143" i="44"/>
  <c r="I71" i="44" s="1"/>
  <c r="AJ142" i="44"/>
  <c r="AI142" i="44"/>
  <c r="AH142" i="44"/>
  <c r="AH58" i="44" s="1"/>
  <c r="AG142" i="44"/>
  <c r="AG58" i="44" s="1"/>
  <c r="AF142" i="44"/>
  <c r="AF58" i="44" s="1"/>
  <c r="AE142" i="44"/>
  <c r="AE58" i="44" s="1"/>
  <c r="AD142" i="44"/>
  <c r="AD58" i="44" s="1"/>
  <c r="AC142" i="44"/>
  <c r="AC58" i="44" s="1"/>
  <c r="AB142" i="44"/>
  <c r="AB70" i="44" s="1"/>
  <c r="AA142" i="44"/>
  <c r="AA70" i="44" s="1"/>
  <c r="Z142" i="44"/>
  <c r="Z70" i="44" s="1"/>
  <c r="Y142" i="44"/>
  <c r="Y70" i="44" s="1"/>
  <c r="X142" i="44"/>
  <c r="X70" i="44" s="1"/>
  <c r="W142" i="44"/>
  <c r="W70" i="44" s="1"/>
  <c r="V142" i="44"/>
  <c r="V58" i="44" s="1"/>
  <c r="U142" i="44"/>
  <c r="U58" i="44" s="1"/>
  <c r="T142" i="44"/>
  <c r="T58" i="44" s="1"/>
  <c r="S142" i="44"/>
  <c r="S58" i="44" s="1"/>
  <c r="R142" i="44"/>
  <c r="R58" i="44" s="1"/>
  <c r="Q142" i="44"/>
  <c r="Q58" i="44" s="1"/>
  <c r="P142" i="44"/>
  <c r="P58" i="44" s="1"/>
  <c r="O142" i="44"/>
  <c r="N142" i="44"/>
  <c r="M142" i="44"/>
  <c r="M58" i="44" s="1"/>
  <c r="L142" i="44"/>
  <c r="L70" i="44" s="1"/>
  <c r="K142" i="44"/>
  <c r="K70" i="44" s="1"/>
  <c r="J142" i="44"/>
  <c r="J58" i="44" s="1"/>
  <c r="I142" i="44"/>
  <c r="I58" i="44" s="1"/>
  <c r="AJ141" i="44"/>
  <c r="AJ57" i="44" s="1"/>
  <c r="AI141" i="44"/>
  <c r="AI69" i="44" s="1"/>
  <c r="AH141" i="44"/>
  <c r="AH57" i="44" s="1"/>
  <c r="AG141" i="44"/>
  <c r="AG69" i="44" s="1"/>
  <c r="AF141" i="44"/>
  <c r="AF57" i="44" s="1"/>
  <c r="AE141" i="44"/>
  <c r="AD141" i="44"/>
  <c r="AC141" i="44"/>
  <c r="AC69" i="44" s="1"/>
  <c r="AB141" i="44"/>
  <c r="AB69" i="44" s="1"/>
  <c r="AA141" i="44"/>
  <c r="AA57" i="44" s="1"/>
  <c r="Z141" i="44"/>
  <c r="Z57" i="44" s="1"/>
  <c r="Y141" i="44"/>
  <c r="Y57" i="44" s="1"/>
  <c r="X141" i="44"/>
  <c r="X57" i="44" s="1"/>
  <c r="W141" i="44"/>
  <c r="W69" i="44" s="1"/>
  <c r="V141" i="44"/>
  <c r="V57" i="44" s="1"/>
  <c r="U141" i="44"/>
  <c r="U69" i="44" s="1"/>
  <c r="T141" i="44"/>
  <c r="T57" i="44" s="1"/>
  <c r="S141" i="44"/>
  <c r="R141" i="44"/>
  <c r="Q141" i="44"/>
  <c r="Q69" i="44" s="1"/>
  <c r="P141" i="44"/>
  <c r="P69" i="44" s="1"/>
  <c r="O141" i="44"/>
  <c r="O69" i="44" s="1"/>
  <c r="N141" i="44"/>
  <c r="N57" i="44" s="1"/>
  <c r="M141" i="44"/>
  <c r="M57" i="44" s="1"/>
  <c r="L141" i="44"/>
  <c r="L57" i="44" s="1"/>
  <c r="K141" i="44"/>
  <c r="K57" i="44" s="1"/>
  <c r="J141" i="44"/>
  <c r="J57" i="44" s="1"/>
  <c r="I141" i="44"/>
  <c r="I57" i="44" s="1"/>
  <c r="AJ140" i="44"/>
  <c r="AJ56" i="44" s="1"/>
  <c r="AI140" i="44"/>
  <c r="AH140" i="44"/>
  <c r="AH68" i="44" s="1"/>
  <c r="AG140" i="44"/>
  <c r="AG68" i="44" s="1"/>
  <c r="AF140" i="44"/>
  <c r="AF68" i="44" s="1"/>
  <c r="AE140" i="44"/>
  <c r="AE68" i="44" s="1"/>
  <c r="AD140" i="44"/>
  <c r="AD56" i="44" s="1"/>
  <c r="AC140" i="44"/>
  <c r="AC56" i="44" s="1"/>
  <c r="AB140" i="44"/>
  <c r="AB68" i="44" s="1"/>
  <c r="AA140" i="44"/>
  <c r="AA68" i="44" s="1"/>
  <c r="Z140" i="44"/>
  <c r="Z68" i="44" s="1"/>
  <c r="Y140" i="44"/>
  <c r="Y56" i="44" s="1"/>
  <c r="X140" i="44"/>
  <c r="X56" i="44" s="1"/>
  <c r="W140" i="44"/>
  <c r="V140" i="44"/>
  <c r="V68" i="44" s="1"/>
  <c r="U140" i="44"/>
  <c r="U68" i="44" s="1"/>
  <c r="T140" i="44"/>
  <c r="T68" i="44" s="1"/>
  <c r="S140" i="44"/>
  <c r="S68" i="44" s="1"/>
  <c r="R140" i="44"/>
  <c r="R56" i="44" s="1"/>
  <c r="Q140" i="44"/>
  <c r="Q56" i="44" s="1"/>
  <c r="P140" i="44"/>
  <c r="P68" i="44" s="1"/>
  <c r="O140" i="44"/>
  <c r="O68" i="44" s="1"/>
  <c r="N140" i="44"/>
  <c r="N68" i="44" s="1"/>
  <c r="M140" i="44"/>
  <c r="M56" i="44" s="1"/>
  <c r="L140" i="44"/>
  <c r="L56" i="44" s="1"/>
  <c r="K140" i="44"/>
  <c r="J140" i="44"/>
  <c r="J68" i="44" s="1"/>
  <c r="I140" i="44"/>
  <c r="I68" i="44" s="1"/>
  <c r="AJ139" i="44"/>
  <c r="AJ55" i="44" s="1"/>
  <c r="AI139" i="44"/>
  <c r="AI67" i="44" s="1"/>
  <c r="AH139" i="44"/>
  <c r="AH55" i="44" s="1"/>
  <c r="AG139" i="44"/>
  <c r="AG137" i="44" s="1"/>
  <c r="AG65" i="44" s="1"/>
  <c r="AF139" i="44"/>
  <c r="AF137" i="44" s="1"/>
  <c r="AE139" i="44"/>
  <c r="AE67" i="44" s="1"/>
  <c r="AD139" i="44"/>
  <c r="AD67" i="44" s="1"/>
  <c r="AC139" i="44"/>
  <c r="AC67" i="44" s="1"/>
  <c r="AB139" i="44"/>
  <c r="AB67" i="44" s="1"/>
  <c r="AA139" i="44"/>
  <c r="Z139" i="44"/>
  <c r="Y139" i="44"/>
  <c r="Y67" i="44" s="1"/>
  <c r="X139" i="44"/>
  <c r="X137" i="44" s="1"/>
  <c r="W139" i="44"/>
  <c r="W55" i="44" s="1"/>
  <c r="V139" i="44"/>
  <c r="V55" i="44" s="1"/>
  <c r="U139" i="44"/>
  <c r="U55" i="44" s="1"/>
  <c r="T139" i="44"/>
  <c r="T55" i="44" s="1"/>
  <c r="S139" i="44"/>
  <c r="S55" i="44" s="1"/>
  <c r="R139" i="44"/>
  <c r="R55" i="44" s="1"/>
  <c r="Q139" i="44"/>
  <c r="Q55" i="44" s="1"/>
  <c r="P139" i="44"/>
  <c r="P67" i="44" s="1"/>
  <c r="O139" i="44"/>
  <c r="N139" i="44"/>
  <c r="M139" i="44"/>
  <c r="M67" i="44" s="1"/>
  <c r="L139" i="44"/>
  <c r="L137" i="44" s="1"/>
  <c r="K139" i="44"/>
  <c r="K137" i="44" s="1"/>
  <c r="J139" i="44"/>
  <c r="J55" i="44" s="1"/>
  <c r="I139" i="44"/>
  <c r="I137" i="44" s="1"/>
  <c r="AJ138" i="44"/>
  <c r="AJ66" i="44" s="1"/>
  <c r="AI138" i="44"/>
  <c r="AI54" i="44" s="1"/>
  <c r="AH138" i="44"/>
  <c r="AH54" i="44" s="1"/>
  <c r="AG138" i="44"/>
  <c r="AG54" i="44" s="1"/>
  <c r="AF138" i="44"/>
  <c r="AF66" i="44" s="1"/>
  <c r="AE138" i="44"/>
  <c r="AE66" i="44" s="1"/>
  <c r="AD138" i="44"/>
  <c r="AD66" i="44" s="1"/>
  <c r="AC138" i="44"/>
  <c r="AC66" i="44" s="1"/>
  <c r="AB138" i="44"/>
  <c r="AB54" i="44" s="1"/>
  <c r="AA138" i="44"/>
  <c r="AA54" i="44" s="1"/>
  <c r="Z138" i="44"/>
  <c r="Y138" i="44"/>
  <c r="Y54" i="44" s="1"/>
  <c r="X138" i="44"/>
  <c r="X54" i="44" s="1"/>
  <c r="W138" i="44"/>
  <c r="W54" i="44" s="1"/>
  <c r="V138" i="44"/>
  <c r="V54" i="44" s="1"/>
  <c r="U138" i="44"/>
  <c r="U66" i="44" s="1"/>
  <c r="T138" i="44"/>
  <c r="T66" i="44" s="1"/>
  <c r="S138" i="44"/>
  <c r="S66" i="44" s="1"/>
  <c r="R138" i="44"/>
  <c r="R66" i="44" s="1"/>
  <c r="Q138" i="44"/>
  <c r="Q66" i="44" s="1"/>
  <c r="P138" i="44"/>
  <c r="P66" i="44" s="1"/>
  <c r="O138" i="44"/>
  <c r="O54" i="44" s="1"/>
  <c r="N138" i="44"/>
  <c r="N54" i="44" s="1"/>
  <c r="M138" i="44"/>
  <c r="M66" i="44" s="1"/>
  <c r="L138" i="44"/>
  <c r="L66" i="44" s="1"/>
  <c r="K138" i="44"/>
  <c r="K66" i="44" s="1"/>
  <c r="J138" i="44"/>
  <c r="J66" i="44" s="1"/>
  <c r="I138" i="44"/>
  <c r="I54" i="44" s="1"/>
  <c r="M137" i="44"/>
  <c r="AJ107" i="44"/>
  <c r="AJ95" i="44" s="1"/>
  <c r="AI107" i="44"/>
  <c r="AH107" i="44"/>
  <c r="AH95" i="44" s="1"/>
  <c r="AG107" i="44"/>
  <c r="AG95" i="44" s="1"/>
  <c r="AF107" i="44"/>
  <c r="AF83" i="44" s="1"/>
  <c r="AE107" i="44"/>
  <c r="AE83" i="44" s="1"/>
  <c r="AD107" i="44"/>
  <c r="AC107" i="44"/>
  <c r="AB107" i="44"/>
  <c r="AB95" i="44" s="1"/>
  <c r="AA107" i="44"/>
  <c r="AA95" i="44" s="1"/>
  <c r="Z107" i="44"/>
  <c r="Y107" i="44"/>
  <c r="X107" i="44"/>
  <c r="W107" i="44"/>
  <c r="W83" i="44" s="1"/>
  <c r="V107" i="44"/>
  <c r="V95" i="44" s="1"/>
  <c r="U107" i="44"/>
  <c r="T107" i="44"/>
  <c r="T83" i="44" s="1"/>
  <c r="S107" i="44"/>
  <c r="S83" i="44" s="1"/>
  <c r="R107" i="44"/>
  <c r="Q107" i="44"/>
  <c r="P107" i="44"/>
  <c r="P95" i="44" s="1"/>
  <c r="O107" i="44"/>
  <c r="O95" i="44" s="1"/>
  <c r="N107" i="44"/>
  <c r="M107" i="44"/>
  <c r="L107" i="44"/>
  <c r="L95" i="44" s="1"/>
  <c r="K107" i="44"/>
  <c r="K95" i="44" s="1"/>
  <c r="J107" i="44"/>
  <c r="J95" i="44" s="1"/>
  <c r="I107" i="44"/>
  <c r="AJ106" i="44"/>
  <c r="AJ82" i="44" s="1"/>
  <c r="AI106" i="44"/>
  <c r="AI82" i="44" s="1"/>
  <c r="AH106" i="44"/>
  <c r="AG106" i="44"/>
  <c r="AF106" i="44"/>
  <c r="AF94" i="44" s="1"/>
  <c r="AE106" i="44"/>
  <c r="AE94" i="44" s="1"/>
  <c r="AD106" i="44"/>
  <c r="AC106" i="44"/>
  <c r="AB106" i="44"/>
  <c r="AB94" i="44" s="1"/>
  <c r="AA106" i="44"/>
  <c r="AA94" i="44" s="1"/>
  <c r="Z106" i="44"/>
  <c r="Z82" i="44" s="1"/>
  <c r="Y106" i="44"/>
  <c r="Y82" i="44" s="1"/>
  <c r="X106" i="44"/>
  <c r="X82" i="44" s="1"/>
  <c r="W106" i="44"/>
  <c r="W82" i="44" s="1"/>
  <c r="V106" i="44"/>
  <c r="U106" i="44"/>
  <c r="T106" i="44"/>
  <c r="T94" i="44" s="1"/>
  <c r="S106" i="44"/>
  <c r="S94" i="44" s="1"/>
  <c r="R106" i="44"/>
  <c r="Q106" i="44"/>
  <c r="P106" i="44"/>
  <c r="P94" i="44" s="1"/>
  <c r="O106" i="44"/>
  <c r="O82" i="44" s="1"/>
  <c r="N106" i="44"/>
  <c r="N82" i="44" s="1"/>
  <c r="M106" i="44"/>
  <c r="L106" i="44"/>
  <c r="L82" i="44" s="1"/>
  <c r="K106" i="44"/>
  <c r="K82" i="44" s="1"/>
  <c r="J106" i="44"/>
  <c r="I106" i="44"/>
  <c r="AJ105" i="44"/>
  <c r="AJ93" i="44" s="1"/>
  <c r="AI105" i="44"/>
  <c r="AI93" i="44" s="1"/>
  <c r="AH105" i="44"/>
  <c r="AG105" i="44"/>
  <c r="AG93" i="44" s="1"/>
  <c r="AF105" i="44"/>
  <c r="AE105" i="44"/>
  <c r="AD105" i="44"/>
  <c r="AC105" i="44"/>
  <c r="AB105" i="44"/>
  <c r="AB81" i="44" s="1"/>
  <c r="AA105" i="44"/>
  <c r="AA81" i="44" s="1"/>
  <c r="Z105" i="44"/>
  <c r="Y105" i="44"/>
  <c r="X105" i="44"/>
  <c r="X93" i="44" s="1"/>
  <c r="W105" i="44"/>
  <c r="W93" i="44" s="1"/>
  <c r="V105" i="44"/>
  <c r="U105" i="44"/>
  <c r="U81" i="44" s="1"/>
  <c r="T105" i="44"/>
  <c r="S105" i="44"/>
  <c r="S81" i="44" s="1"/>
  <c r="R105" i="44"/>
  <c r="R81" i="44" s="1"/>
  <c r="Q105" i="44"/>
  <c r="Q81" i="44" s="1"/>
  <c r="P105" i="44"/>
  <c r="P81" i="44" s="1"/>
  <c r="O105" i="44"/>
  <c r="O81" i="44" s="1"/>
  <c r="N105" i="44"/>
  <c r="M105" i="44"/>
  <c r="L105" i="44"/>
  <c r="L93" i="44" s="1"/>
  <c r="K105" i="44"/>
  <c r="K93" i="44" s="1"/>
  <c r="J105" i="44"/>
  <c r="I105" i="44"/>
  <c r="I93" i="44" s="1"/>
  <c r="AJ104" i="44"/>
  <c r="AI104" i="44"/>
  <c r="AH104" i="44"/>
  <c r="AG104" i="44"/>
  <c r="AF104" i="44"/>
  <c r="AF80" i="44" s="1"/>
  <c r="AE104" i="44"/>
  <c r="AE80" i="44" s="1"/>
  <c r="AD104" i="44"/>
  <c r="AC104" i="44"/>
  <c r="AB104" i="44"/>
  <c r="AB92" i="44" s="1"/>
  <c r="AA104" i="44"/>
  <c r="AA92" i="44" s="1"/>
  <c r="Z104" i="44"/>
  <c r="Y104" i="44"/>
  <c r="Y92" i="44" s="1"/>
  <c r="X104" i="44"/>
  <c r="W104" i="44"/>
  <c r="W80" i="44" s="1"/>
  <c r="V104" i="44"/>
  <c r="V80" i="44" s="1"/>
  <c r="U104" i="44"/>
  <c r="U80" i="44" s="1"/>
  <c r="T104" i="44"/>
  <c r="T80" i="44" s="1"/>
  <c r="S104" i="44"/>
  <c r="S80" i="44" s="1"/>
  <c r="R104" i="44"/>
  <c r="Q104" i="44"/>
  <c r="P104" i="44"/>
  <c r="P92" i="44" s="1"/>
  <c r="O104" i="44"/>
  <c r="O92" i="44" s="1"/>
  <c r="N104" i="44"/>
  <c r="M104" i="44"/>
  <c r="M80" i="44" s="1"/>
  <c r="L104" i="44"/>
  <c r="K104" i="44"/>
  <c r="J104" i="44"/>
  <c r="J92" i="44" s="1"/>
  <c r="I104" i="44"/>
  <c r="I92" i="44" s="1"/>
  <c r="AJ103" i="44"/>
  <c r="AI103" i="44"/>
  <c r="AI91" i="44" s="1"/>
  <c r="AH103" i="44"/>
  <c r="AG103" i="44"/>
  <c r="AF103" i="44"/>
  <c r="AF91" i="44" s="1"/>
  <c r="AE103" i="44"/>
  <c r="AE91" i="44" s="1"/>
  <c r="AD103" i="44"/>
  <c r="AC103" i="44"/>
  <c r="AC91" i="44" s="1"/>
  <c r="AB103" i="44"/>
  <c r="AA103" i="44"/>
  <c r="AA79" i="44" s="1"/>
  <c r="Z103" i="44"/>
  <c r="Z79" i="44" s="1"/>
  <c r="Y103" i="44"/>
  <c r="Y79" i="44" s="1"/>
  <c r="X103" i="44"/>
  <c r="W103" i="44"/>
  <c r="V103" i="44"/>
  <c r="U103" i="44"/>
  <c r="T103" i="44"/>
  <c r="T91" i="44" s="1"/>
  <c r="S103" i="44"/>
  <c r="S91" i="44" s="1"/>
  <c r="R103" i="44"/>
  <c r="Q103" i="44"/>
  <c r="Q91" i="44" s="1"/>
  <c r="P103" i="44"/>
  <c r="P101" i="44" s="1"/>
  <c r="O103" i="44"/>
  <c r="O101" i="44" s="1"/>
  <c r="O89" i="44" s="1"/>
  <c r="N103" i="44"/>
  <c r="N91" i="44" s="1"/>
  <c r="M103" i="44"/>
  <c r="M91" i="44" s="1"/>
  <c r="L103" i="44"/>
  <c r="L91" i="44" s="1"/>
  <c r="K103" i="44"/>
  <c r="K91" i="44" s="1"/>
  <c r="J103" i="44"/>
  <c r="I103" i="44"/>
  <c r="AJ102" i="44"/>
  <c r="AJ90" i="44" s="1"/>
  <c r="AI102" i="44"/>
  <c r="AI90" i="44" s="1"/>
  <c r="AH102" i="44"/>
  <c r="AG102" i="44"/>
  <c r="AG78" i="44" s="1"/>
  <c r="AF102" i="44"/>
  <c r="AE102" i="44"/>
  <c r="AE78" i="44" s="1"/>
  <c r="AD102" i="44"/>
  <c r="AD78" i="44" s="1"/>
  <c r="AC102" i="44"/>
  <c r="AC78" i="44" s="1"/>
  <c r="AB102" i="44"/>
  <c r="AB78" i="44" s="1"/>
  <c r="AA102" i="44"/>
  <c r="AA78" i="44" s="1"/>
  <c r="Z102" i="44"/>
  <c r="Y102" i="44"/>
  <c r="X102" i="44"/>
  <c r="X90" i="44" s="1"/>
  <c r="W102" i="44"/>
  <c r="W90" i="44" s="1"/>
  <c r="V102" i="44"/>
  <c r="U102" i="44"/>
  <c r="T102" i="44"/>
  <c r="S102" i="44"/>
  <c r="R102" i="44"/>
  <c r="R90" i="44" s="1"/>
  <c r="Q102" i="44"/>
  <c r="Q78" i="44" s="1"/>
  <c r="P102" i="44"/>
  <c r="P78" i="44" s="1"/>
  <c r="O102" i="44"/>
  <c r="O78" i="44" s="1"/>
  <c r="N102" i="44"/>
  <c r="M102" i="44"/>
  <c r="L102" i="44"/>
  <c r="L90" i="44" s="1"/>
  <c r="K102" i="44"/>
  <c r="K90" i="44" s="1"/>
  <c r="J102" i="44"/>
  <c r="I102" i="44"/>
  <c r="AD101" i="44"/>
  <c r="AB101" i="44"/>
  <c r="AB89" i="44" s="1"/>
  <c r="AA101" i="44"/>
  <c r="AA89" i="44" s="1"/>
  <c r="Z101" i="44"/>
  <c r="Z89" i="44" s="1"/>
  <c r="Y101" i="44"/>
  <c r="Y89" i="44" s="1"/>
  <c r="S101" i="44"/>
  <c r="S77" i="44" s="1"/>
  <c r="R101" i="44"/>
  <c r="Q101" i="44"/>
  <c r="AI95" i="44"/>
  <c r="Z95" i="44"/>
  <c r="Y95" i="44"/>
  <c r="X95" i="44"/>
  <c r="U95" i="44"/>
  <c r="T95" i="44"/>
  <c r="S95" i="44"/>
  <c r="N95" i="44"/>
  <c r="M95" i="44"/>
  <c r="I95" i="44"/>
  <c r="AD94" i="44"/>
  <c r="AC94" i="44"/>
  <c r="Z94" i="44"/>
  <c r="R94" i="44"/>
  <c r="Q94" i="44"/>
  <c r="O94" i="44"/>
  <c r="N94" i="44"/>
  <c r="M94" i="44"/>
  <c r="AH93" i="44"/>
  <c r="AF93" i="44"/>
  <c r="AE93" i="44"/>
  <c r="AD93" i="44"/>
  <c r="AC93" i="44"/>
  <c r="V93" i="44"/>
  <c r="U93" i="44"/>
  <c r="T93" i="44"/>
  <c r="S93" i="44"/>
  <c r="R93" i="44"/>
  <c r="Q93" i="44"/>
  <c r="J93" i="44"/>
  <c r="AJ92" i="44"/>
  <c r="AI92" i="44"/>
  <c r="AH92" i="44"/>
  <c r="AG92" i="44"/>
  <c r="Z92" i="44"/>
  <c r="X92" i="44"/>
  <c r="W92" i="44"/>
  <c r="V92" i="44"/>
  <c r="U92" i="44"/>
  <c r="N92" i="44"/>
  <c r="M92" i="44"/>
  <c r="L92" i="44"/>
  <c r="K92" i="44"/>
  <c r="AD91" i="44"/>
  <c r="AB91" i="44"/>
  <c r="AA91" i="44"/>
  <c r="Z91" i="44"/>
  <c r="Y91" i="44"/>
  <c r="X91" i="44"/>
  <c r="W91" i="44"/>
  <c r="R91" i="44"/>
  <c r="P91" i="44"/>
  <c r="O91" i="44"/>
  <c r="AH90" i="44"/>
  <c r="AF90" i="44"/>
  <c r="AE90" i="44"/>
  <c r="AD90" i="44"/>
  <c r="AC90" i="44"/>
  <c r="V90" i="44"/>
  <c r="U90" i="44"/>
  <c r="T90" i="44"/>
  <c r="S90" i="44"/>
  <c r="J90" i="44"/>
  <c r="I90" i="44"/>
  <c r="AJ83" i="44"/>
  <c r="AI83" i="44"/>
  <c r="Z83" i="44"/>
  <c r="Y83" i="44"/>
  <c r="X83" i="44"/>
  <c r="U83" i="44"/>
  <c r="N83" i="44"/>
  <c r="M83" i="44"/>
  <c r="J83" i="44"/>
  <c r="I83" i="44"/>
  <c r="AF82" i="44"/>
  <c r="AD82" i="44"/>
  <c r="AC82" i="44"/>
  <c r="AB82" i="44"/>
  <c r="AA82" i="44"/>
  <c r="R82" i="44"/>
  <c r="Q82" i="44"/>
  <c r="P82" i="44"/>
  <c r="M82" i="44"/>
  <c r="AH81" i="44"/>
  <c r="AG81" i="44"/>
  <c r="AF81" i="44"/>
  <c r="AE81" i="44"/>
  <c r="AD81" i="44"/>
  <c r="AC81" i="44"/>
  <c r="V81" i="44"/>
  <c r="T81" i="44"/>
  <c r="K81" i="44"/>
  <c r="J81" i="44"/>
  <c r="I81" i="44"/>
  <c r="AJ80" i="44"/>
  <c r="AI80" i="44"/>
  <c r="AH80" i="44"/>
  <c r="AG80" i="44"/>
  <c r="Z80" i="44"/>
  <c r="Y80" i="44"/>
  <c r="X80" i="44"/>
  <c r="N80" i="44"/>
  <c r="L80" i="44"/>
  <c r="K80" i="44"/>
  <c r="J80" i="44"/>
  <c r="I80" i="44"/>
  <c r="AF79" i="44"/>
  <c r="AD79" i="44"/>
  <c r="AC79" i="44"/>
  <c r="AB79" i="44"/>
  <c r="R79" i="44"/>
  <c r="Q79" i="44"/>
  <c r="P79" i="44"/>
  <c r="O79" i="44"/>
  <c r="N79" i="44"/>
  <c r="M79" i="44"/>
  <c r="AH78" i="44"/>
  <c r="AF78" i="44"/>
  <c r="W78" i="44"/>
  <c r="V78" i="44"/>
  <c r="U78" i="44"/>
  <c r="T78" i="44"/>
  <c r="S78" i="44"/>
  <c r="R78" i="44"/>
  <c r="J78" i="44"/>
  <c r="I78" i="44"/>
  <c r="AH71" i="44"/>
  <c r="AG71" i="44"/>
  <c r="AF71" i="44"/>
  <c r="AE71" i="44"/>
  <c r="W71" i="44"/>
  <c r="V71" i="44"/>
  <c r="U71" i="44"/>
  <c r="T71" i="44"/>
  <c r="J71" i="44"/>
  <c r="AJ70" i="44"/>
  <c r="AI70" i="44"/>
  <c r="AH70" i="44"/>
  <c r="AG70" i="44"/>
  <c r="AF70" i="44"/>
  <c r="AD70" i="44"/>
  <c r="AC70" i="44"/>
  <c r="P70" i="44"/>
  <c r="O70" i="44"/>
  <c r="N70" i="44"/>
  <c r="M70" i="44"/>
  <c r="AE69" i="44"/>
  <c r="AD69" i="44"/>
  <c r="AA69" i="44"/>
  <c r="Z69" i="44"/>
  <c r="S69" i="44"/>
  <c r="R69" i="44"/>
  <c r="AI68" i="44"/>
  <c r="X68" i="44"/>
  <c r="W68" i="44"/>
  <c r="K68" i="44"/>
  <c r="AJ67" i="44"/>
  <c r="AH67" i="44"/>
  <c r="AG67" i="44"/>
  <c r="Z66" i="44"/>
  <c r="Y66" i="44"/>
  <c r="X66" i="44"/>
  <c r="W66" i="44"/>
  <c r="AI59" i="44"/>
  <c r="AH59" i="44"/>
  <c r="AG59" i="44"/>
  <c r="V59" i="44"/>
  <c r="T59" i="44"/>
  <c r="S59" i="44"/>
  <c r="K59" i="44"/>
  <c r="J59" i="44"/>
  <c r="I59" i="44"/>
  <c r="AJ58" i="44"/>
  <c r="AI58" i="44"/>
  <c r="AA58" i="44"/>
  <c r="Z58" i="44"/>
  <c r="O58" i="44"/>
  <c r="N58" i="44"/>
  <c r="L58" i="44"/>
  <c r="K58" i="44"/>
  <c r="AE57" i="44"/>
  <c r="AD57" i="44"/>
  <c r="S57" i="44"/>
  <c r="R57" i="44"/>
  <c r="Q57" i="44"/>
  <c r="P57" i="44"/>
  <c r="O57" i="44"/>
  <c r="AI56" i="44"/>
  <c r="AH56" i="44"/>
  <c r="W56" i="44"/>
  <c r="V56" i="44"/>
  <c r="K56" i="44"/>
  <c r="J56" i="44"/>
  <c r="AG55" i="44"/>
  <c r="AF55" i="44"/>
  <c r="AA55" i="44"/>
  <c r="Z55" i="44"/>
  <c r="Y55" i="44"/>
  <c r="O55" i="44"/>
  <c r="N55" i="44"/>
  <c r="M55" i="44"/>
  <c r="K55" i="44"/>
  <c r="I55" i="44"/>
  <c r="AJ54" i="44"/>
  <c r="AE54" i="44"/>
  <c r="AD54" i="44"/>
  <c r="Z54" i="44"/>
  <c r="S54" i="44"/>
  <c r="R54" i="44"/>
  <c r="F35" i="44"/>
  <c r="F34" i="44"/>
  <c r="F33" i="44"/>
  <c r="F32" i="44"/>
  <c r="F31" i="44"/>
  <c r="F30" i="44"/>
  <c r="F23" i="44"/>
  <c r="F22" i="44"/>
  <c r="F21" i="44"/>
  <c r="F20" i="44"/>
  <c r="F19" i="44"/>
  <c r="F18" i="44"/>
  <c r="F11" i="44"/>
  <c r="F10" i="44"/>
  <c r="F9" i="44"/>
  <c r="F8" i="44"/>
  <c r="F7" i="44"/>
  <c r="F6" i="44"/>
  <c r="D51" i="43"/>
  <c r="C49" i="43"/>
  <c r="E48" i="43"/>
  <c r="E47" i="43"/>
  <c r="D47" i="43" s="1"/>
  <c r="E46" i="43"/>
  <c r="D46" i="43" s="1"/>
  <c r="E45" i="43"/>
  <c r="D45" i="43" s="1"/>
  <c r="E44" i="43"/>
  <c r="D44" i="43" s="1"/>
  <c r="E43" i="43"/>
  <c r="D43" i="43" s="1"/>
  <c r="E42" i="43"/>
  <c r="D42" i="43" s="1"/>
  <c r="E41" i="43"/>
  <c r="E40" i="43"/>
  <c r="D40" i="43" s="1"/>
  <c r="D17" i="43"/>
  <c r="E17" i="43" s="1"/>
  <c r="D16" i="43"/>
  <c r="E16" i="43" s="1"/>
  <c r="D15" i="43"/>
  <c r="E15" i="43" s="1"/>
  <c r="C173" i="44" s="1"/>
  <c r="D14" i="43"/>
  <c r="E14" i="43" s="1"/>
  <c r="C257" i="44" s="1"/>
  <c r="D13" i="43"/>
  <c r="E13" i="43" s="1"/>
  <c r="D12" i="43"/>
  <c r="E12" i="43" s="1"/>
  <c r="D11" i="43"/>
  <c r="E11" i="43" s="1"/>
  <c r="C125" i="44" s="1"/>
  <c r="D10" i="43"/>
  <c r="E10" i="43" s="1"/>
  <c r="C233" i="44" s="1"/>
  <c r="D9" i="43"/>
  <c r="E9" i="43" s="1"/>
  <c r="C221" i="44" s="1"/>
  <c r="D8" i="43"/>
  <c r="E8" i="43" s="1"/>
  <c r="C53" i="44" s="1"/>
  <c r="D7" i="43"/>
  <c r="E7" i="43" s="1"/>
  <c r="C41" i="44" s="1"/>
  <c r="D6" i="43"/>
  <c r="E6" i="43" s="1"/>
  <c r="C29" i="44" s="1"/>
  <c r="D5" i="43"/>
  <c r="E5" i="43" s="1"/>
  <c r="C17" i="44" s="1"/>
  <c r="D4" i="43"/>
  <c r="E4" i="43" s="1"/>
  <c r="F138" i="48" l="1"/>
  <c r="R70" i="48"/>
  <c r="I59" i="48"/>
  <c r="AB71" i="48"/>
  <c r="Q70" i="48"/>
  <c r="S70" i="48"/>
  <c r="AG71" i="48"/>
  <c r="W66" i="48"/>
  <c r="W137" i="48"/>
  <c r="W65" i="48" s="1"/>
  <c r="J54" i="48"/>
  <c r="AI57" i="48"/>
  <c r="U69" i="48"/>
  <c r="V69" i="48"/>
  <c r="S137" i="48"/>
  <c r="AH54" i="48"/>
  <c r="R67" i="48"/>
  <c r="AI54" i="48"/>
  <c r="V67" i="48"/>
  <c r="AD137" i="48"/>
  <c r="AF137" i="48"/>
  <c r="W69" i="48"/>
  <c r="AG54" i="48"/>
  <c r="AE68" i="48"/>
  <c r="R55" i="48"/>
  <c r="I69" i="48"/>
  <c r="AH69" i="48"/>
  <c r="V55" i="48"/>
  <c r="AF67" i="48"/>
  <c r="J69" i="48"/>
  <c r="AA82" i="48"/>
  <c r="X83" i="48"/>
  <c r="P94" i="48"/>
  <c r="Y95" i="48"/>
  <c r="AB83" i="48"/>
  <c r="Z94" i="48"/>
  <c r="O94" i="48"/>
  <c r="AI83" i="48"/>
  <c r="O77" i="48"/>
  <c r="O89" i="48"/>
  <c r="AD77" i="48"/>
  <c r="S90" i="48"/>
  <c r="Q91" i="48"/>
  <c r="Y92" i="48"/>
  <c r="AC93" i="48"/>
  <c r="AB77" i="48"/>
  <c r="O91" i="48"/>
  <c r="AC77" i="48"/>
  <c r="P91" i="48"/>
  <c r="X92" i="48"/>
  <c r="AB93" i="48"/>
  <c r="O79" i="48"/>
  <c r="T90" i="48"/>
  <c r="AD93" i="48"/>
  <c r="AB91" i="48"/>
  <c r="Q79" i="48"/>
  <c r="P101" i="48"/>
  <c r="P89" i="48" s="1"/>
  <c r="AE93" i="48"/>
  <c r="F145" i="46"/>
  <c r="F142" i="46"/>
  <c r="F140" i="46"/>
  <c r="F146" i="46"/>
  <c r="K59" i="46"/>
  <c r="R58" i="46"/>
  <c r="AE70" i="46"/>
  <c r="Y70" i="46"/>
  <c r="R71" i="46"/>
  <c r="AD70" i="46"/>
  <c r="AB56" i="46"/>
  <c r="X66" i="46"/>
  <c r="Y66" i="46"/>
  <c r="AA68" i="46"/>
  <c r="Q55" i="46"/>
  <c r="Z66" i="46"/>
  <c r="Z69" i="46"/>
  <c r="U137" i="46"/>
  <c r="U65" i="46" s="1"/>
  <c r="W69" i="46"/>
  <c r="P55" i="46"/>
  <c r="X69" i="46"/>
  <c r="Q53" i="46"/>
  <c r="AB54" i="46"/>
  <c r="AA66" i="46"/>
  <c r="AF67" i="46"/>
  <c r="AA69" i="46"/>
  <c r="R53" i="46"/>
  <c r="O56" i="46"/>
  <c r="AG67" i="46"/>
  <c r="T67" i="46"/>
  <c r="AB55" i="46"/>
  <c r="AH67" i="46"/>
  <c r="Q56" i="46"/>
  <c r="K69" i="46"/>
  <c r="AF54" i="46"/>
  <c r="AI57" i="46"/>
  <c r="L69" i="46"/>
  <c r="P56" i="46"/>
  <c r="L67" i="46"/>
  <c r="P54" i="46"/>
  <c r="AG54" i="46"/>
  <c r="AJ57" i="46"/>
  <c r="AJ83" i="46"/>
  <c r="AI94" i="46"/>
  <c r="I82" i="46"/>
  <c r="O90" i="46"/>
  <c r="AH90" i="46"/>
  <c r="AC80" i="46"/>
  <c r="K78" i="46"/>
  <c r="AA90" i="46"/>
  <c r="S92" i="46"/>
  <c r="M78" i="46"/>
  <c r="T92" i="46"/>
  <c r="U93" i="46"/>
  <c r="W81" i="46"/>
  <c r="AE92" i="46"/>
  <c r="V93" i="46"/>
  <c r="AI91" i="46"/>
  <c r="AA93" i="46"/>
  <c r="C5" i="44"/>
  <c r="E23" i="43"/>
  <c r="I41" i="44" s="1"/>
  <c r="I43" i="44" s="1"/>
  <c r="D22" i="43"/>
  <c r="I29" i="44" s="1"/>
  <c r="AB29" i="44" s="1"/>
  <c r="Q70" i="44"/>
  <c r="W58" i="44"/>
  <c r="I70" i="44"/>
  <c r="X58" i="44"/>
  <c r="J70" i="44"/>
  <c r="T70" i="44"/>
  <c r="R70" i="44"/>
  <c r="U70" i="44"/>
  <c r="V70" i="44"/>
  <c r="Q71" i="44"/>
  <c r="R71" i="44"/>
  <c r="AA56" i="44"/>
  <c r="U67" i="44"/>
  <c r="X55" i="44"/>
  <c r="AB56" i="44"/>
  <c r="N66" i="44"/>
  <c r="V67" i="44"/>
  <c r="K54" i="44"/>
  <c r="L54" i="44"/>
  <c r="Q67" i="44"/>
  <c r="M54" i="44"/>
  <c r="R67" i="44"/>
  <c r="W57" i="44"/>
  <c r="Y68" i="44"/>
  <c r="Z56" i="44"/>
  <c r="T67" i="44"/>
  <c r="AE56" i="44"/>
  <c r="O66" i="44"/>
  <c r="W67" i="44"/>
  <c r="Q137" i="44"/>
  <c r="J54" i="44"/>
  <c r="S67" i="44"/>
  <c r="V66" i="44"/>
  <c r="AF67" i="44"/>
  <c r="W94" i="44"/>
  <c r="Y94" i="44"/>
  <c r="W95" i="44"/>
  <c r="AG83" i="44"/>
  <c r="K94" i="44"/>
  <c r="AE95" i="44"/>
  <c r="L94" i="44"/>
  <c r="AI94" i="44"/>
  <c r="P89" i="44"/>
  <c r="P77" i="44"/>
  <c r="Z77" i="44"/>
  <c r="O90" i="44"/>
  <c r="M101" i="44"/>
  <c r="X78" i="44"/>
  <c r="Y77" i="44"/>
  <c r="L81" i="44"/>
  <c r="P90" i="44"/>
  <c r="N101" i="44"/>
  <c r="Q90" i="44"/>
  <c r="AE92" i="44"/>
  <c r="T101" i="44"/>
  <c r="T77" i="44" s="1"/>
  <c r="S92" i="44"/>
  <c r="AF92" i="44"/>
  <c r="AA93" i="44"/>
  <c r="D49" i="47"/>
  <c r="AC58" i="48"/>
  <c r="AD58" i="48"/>
  <c r="Y59" i="48"/>
  <c r="Z59" i="48"/>
  <c r="P71" i="48"/>
  <c r="M59" i="48"/>
  <c r="N59" i="48"/>
  <c r="AE70" i="48"/>
  <c r="R65" i="48"/>
  <c r="R53" i="48"/>
  <c r="V65" i="48"/>
  <c r="V53" i="48"/>
  <c r="X54" i="48"/>
  <c r="S55" i="48"/>
  <c r="Y56" i="48"/>
  <c r="AJ57" i="48"/>
  <c r="AF68" i="48"/>
  <c r="T137" i="48"/>
  <c r="Y54" i="48"/>
  <c r="T55" i="48"/>
  <c r="U137" i="48"/>
  <c r="U53" i="48" s="1"/>
  <c r="I54" i="48"/>
  <c r="U55" i="48"/>
  <c r="AC56" i="48"/>
  <c r="L54" i="48"/>
  <c r="AJ66" i="48"/>
  <c r="AE67" i="48"/>
  <c r="K69" i="48"/>
  <c r="AG69" i="48"/>
  <c r="AE137" i="48"/>
  <c r="M54" i="48"/>
  <c r="N54" i="48"/>
  <c r="J67" i="48"/>
  <c r="AG67" i="48"/>
  <c r="N69" i="48"/>
  <c r="I137" i="48"/>
  <c r="AG137" i="48"/>
  <c r="O54" i="48"/>
  <c r="I55" i="48"/>
  <c r="K67" i="48"/>
  <c r="AH67" i="48"/>
  <c r="J137" i="48"/>
  <c r="AH137" i="48"/>
  <c r="U54" i="48"/>
  <c r="AI67" i="48"/>
  <c r="AI137" i="48"/>
  <c r="AI65" i="48" s="1"/>
  <c r="W53" i="48"/>
  <c r="V54" i="48"/>
  <c r="W56" i="48"/>
  <c r="N67" i="48"/>
  <c r="AD68" i="48"/>
  <c r="K83" i="48"/>
  <c r="W95" i="48"/>
  <c r="U82" i="48"/>
  <c r="AD83" i="48"/>
  <c r="AC83" i="48"/>
  <c r="V82" i="48"/>
  <c r="Q83" i="48"/>
  <c r="I95" i="48"/>
  <c r="AF95" i="48"/>
  <c r="AJ94" i="48"/>
  <c r="I82" i="48"/>
  <c r="R83" i="48"/>
  <c r="J95" i="48"/>
  <c r="AH95" i="48"/>
  <c r="J82" i="48"/>
  <c r="X94" i="48"/>
  <c r="AG79" i="48"/>
  <c r="Y78" i="48"/>
  <c r="AH79" i="48"/>
  <c r="S81" i="48"/>
  <c r="J92" i="48"/>
  <c r="AE78" i="48"/>
  <c r="AC80" i="48"/>
  <c r="J101" i="48"/>
  <c r="V79" i="48"/>
  <c r="AB90" i="48"/>
  <c r="N78" i="48"/>
  <c r="AA79" i="48"/>
  <c r="O80" i="48"/>
  <c r="X81" i="48"/>
  <c r="AA89" i="48"/>
  <c r="AD90" i="48"/>
  <c r="S91" i="48"/>
  <c r="AH101" i="48"/>
  <c r="U79" i="48"/>
  <c r="M78" i="48"/>
  <c r="AG101" i="48"/>
  <c r="P80" i="48"/>
  <c r="Y81" i="48"/>
  <c r="T92" i="48"/>
  <c r="P93" i="48"/>
  <c r="AD80" i="48"/>
  <c r="V89" i="48"/>
  <c r="AJ78" i="48"/>
  <c r="Q80" i="48"/>
  <c r="Z81" i="48"/>
  <c r="V92" i="48"/>
  <c r="R93" i="48"/>
  <c r="I79" i="48"/>
  <c r="R80" i="48"/>
  <c r="W92" i="48"/>
  <c r="T101" i="48"/>
  <c r="J79" i="48"/>
  <c r="U101" i="48"/>
  <c r="F145" i="48"/>
  <c r="F140" i="48"/>
  <c r="F146" i="48"/>
  <c r="F142" i="48"/>
  <c r="L65" i="48"/>
  <c r="L53" i="48"/>
  <c r="M65" i="48"/>
  <c r="M53" i="48"/>
  <c r="Y65" i="48"/>
  <c r="Y53" i="48"/>
  <c r="Z65" i="48"/>
  <c r="Z53" i="48"/>
  <c r="R66" i="48"/>
  <c r="Y67" i="48"/>
  <c r="AA69" i="48"/>
  <c r="L70" i="48"/>
  <c r="X70" i="48"/>
  <c r="AJ70" i="48"/>
  <c r="AE89" i="48"/>
  <c r="AE77" i="48"/>
  <c r="M101" i="48"/>
  <c r="M79" i="48"/>
  <c r="Y101" i="48"/>
  <c r="Y79" i="48"/>
  <c r="N137" i="48"/>
  <c r="T56" i="48"/>
  <c r="Z67" i="48"/>
  <c r="O69" i="48"/>
  <c r="AB69" i="48"/>
  <c r="AF101" i="48"/>
  <c r="N101" i="48"/>
  <c r="N79" i="48"/>
  <c r="Z101" i="48"/>
  <c r="Z79" i="48"/>
  <c r="O65" i="48"/>
  <c r="O53" i="48"/>
  <c r="O71" i="48"/>
  <c r="O59" i="48"/>
  <c r="AA71" i="48"/>
  <c r="AA59" i="48"/>
  <c r="U56" i="48"/>
  <c r="L67" i="48"/>
  <c r="P69" i="48"/>
  <c r="AC69" i="48"/>
  <c r="M91" i="48"/>
  <c r="U92" i="48"/>
  <c r="L55" i="48"/>
  <c r="Y55" i="48"/>
  <c r="S68" i="48"/>
  <c r="P54" i="48"/>
  <c r="AB54" i="48"/>
  <c r="M55" i="48"/>
  <c r="Z55" i="48"/>
  <c r="AC90" i="48"/>
  <c r="I92" i="48"/>
  <c r="Q93" i="48"/>
  <c r="Y94" i="48"/>
  <c r="AG95" i="48"/>
  <c r="AJ137" i="48"/>
  <c r="Q54" i="48"/>
  <c r="AC54" i="48"/>
  <c r="AC71" i="48"/>
  <c r="P67" i="48"/>
  <c r="P137" i="48"/>
  <c r="AB67" i="48"/>
  <c r="AB137" i="48"/>
  <c r="X55" i="48"/>
  <c r="S89" i="48"/>
  <c r="S77" i="48"/>
  <c r="AD54" i="48"/>
  <c r="O55" i="48"/>
  <c r="AB55" i="48"/>
  <c r="AE57" i="48"/>
  <c r="T70" i="48"/>
  <c r="AF70" i="48"/>
  <c r="Q71" i="48"/>
  <c r="AD71" i="48"/>
  <c r="Q77" i="48"/>
  <c r="X137" i="48"/>
  <c r="Q67" i="48"/>
  <c r="Q137" i="48"/>
  <c r="AC67" i="48"/>
  <c r="AC137" i="48"/>
  <c r="S54" i="48"/>
  <c r="AE54" i="48"/>
  <c r="P55" i="48"/>
  <c r="I70" i="48"/>
  <c r="U70" i="48"/>
  <c r="AG70" i="48"/>
  <c r="R71" i="48"/>
  <c r="AE71" i="48"/>
  <c r="R77" i="48"/>
  <c r="L78" i="48"/>
  <c r="T79" i="48"/>
  <c r="AB80" i="48"/>
  <c r="AJ81" i="48"/>
  <c r="P83" i="48"/>
  <c r="P90" i="48"/>
  <c r="AF92" i="48"/>
  <c r="L94" i="48"/>
  <c r="T95" i="48"/>
  <c r="K137" i="48"/>
  <c r="T54" i="48"/>
  <c r="AF54" i="48"/>
  <c r="W67" i="48"/>
  <c r="Y69" i="48"/>
  <c r="J70" i="48"/>
  <c r="V70" i="48"/>
  <c r="AH70" i="48"/>
  <c r="S71" i="48"/>
  <c r="Q90" i="48"/>
  <c r="Y91" i="48"/>
  <c r="AG92" i="48"/>
  <c r="M94" i="48"/>
  <c r="U95" i="48"/>
  <c r="I101" i="48"/>
  <c r="O90" i="48"/>
  <c r="O78" i="48"/>
  <c r="AA90" i="48"/>
  <c r="AA78" i="48"/>
  <c r="K91" i="48"/>
  <c r="K101" i="48"/>
  <c r="K79" i="48"/>
  <c r="W91" i="48"/>
  <c r="W101" i="48"/>
  <c r="W79" i="48"/>
  <c r="AI91" i="48"/>
  <c r="AI101" i="48"/>
  <c r="AI79" i="48"/>
  <c r="S92" i="48"/>
  <c r="S80" i="48"/>
  <c r="AE92" i="48"/>
  <c r="AE80" i="48"/>
  <c r="O93" i="48"/>
  <c r="O81" i="48"/>
  <c r="AA93" i="48"/>
  <c r="AA81" i="48"/>
  <c r="K94" i="48"/>
  <c r="K82" i="48"/>
  <c r="W94" i="48"/>
  <c r="W82" i="48"/>
  <c r="AI94" i="48"/>
  <c r="AI82" i="48"/>
  <c r="S95" i="48"/>
  <c r="S83" i="48"/>
  <c r="AE95" i="48"/>
  <c r="AE83" i="48"/>
  <c r="M69" i="48"/>
  <c r="Z69" i="48"/>
  <c r="K70" i="48"/>
  <c r="W70" i="48"/>
  <c r="AI70" i="48"/>
  <c r="R90" i="48"/>
  <c r="Z91" i="48"/>
  <c r="AH92" i="48"/>
  <c r="N94" i="48"/>
  <c r="V95" i="48"/>
  <c r="L101" i="48"/>
  <c r="L79" i="48"/>
  <c r="X101" i="48"/>
  <c r="X79" i="48"/>
  <c r="AJ101" i="48"/>
  <c r="AJ79" i="48"/>
  <c r="AA137" i="48"/>
  <c r="F141" i="48"/>
  <c r="F139" i="48"/>
  <c r="E23" i="47"/>
  <c r="D22" i="47"/>
  <c r="I45" i="46"/>
  <c r="I44" i="46"/>
  <c r="AG41" i="46"/>
  <c r="AG44" i="46" s="1"/>
  <c r="Q41" i="46"/>
  <c r="Q47" i="46" s="1"/>
  <c r="AA41" i="46"/>
  <c r="AA44" i="46" s="1"/>
  <c r="Y41" i="46"/>
  <c r="Y42" i="46" s="1"/>
  <c r="I46" i="46"/>
  <c r="X41" i="46"/>
  <c r="X45" i="46" s="1"/>
  <c r="J41" i="46"/>
  <c r="J45" i="46" s="1"/>
  <c r="I42" i="46"/>
  <c r="AF41" i="46"/>
  <c r="P41" i="46"/>
  <c r="M41" i="46"/>
  <c r="M47" i="46" s="1"/>
  <c r="AC41" i="46"/>
  <c r="AC42" i="46" s="1"/>
  <c r="O41" i="46"/>
  <c r="O47" i="46" s="1"/>
  <c r="I43" i="46"/>
  <c r="AB41" i="46"/>
  <c r="AB42" i="46" s="1"/>
  <c r="N41" i="46"/>
  <c r="N47" i="46" s="1"/>
  <c r="K41" i="46"/>
  <c r="K46" i="46" s="1"/>
  <c r="W41" i="46"/>
  <c r="W47" i="46" s="1"/>
  <c r="Z41" i="46"/>
  <c r="Z45" i="46" s="1"/>
  <c r="L41" i="46"/>
  <c r="L44" i="46" s="1"/>
  <c r="AJ41" i="46"/>
  <c r="AJ47" i="46" s="1"/>
  <c r="V41" i="46"/>
  <c r="AI41" i="46"/>
  <c r="AI45" i="46" s="1"/>
  <c r="U41" i="46"/>
  <c r="U42" i="46" s="1"/>
  <c r="AH41" i="46"/>
  <c r="AH42" i="46" s="1"/>
  <c r="T41" i="46"/>
  <c r="T47" i="46" s="1"/>
  <c r="D22" i="45"/>
  <c r="I17" i="46"/>
  <c r="C5" i="46"/>
  <c r="D49" i="45"/>
  <c r="AC70" i="46"/>
  <c r="M59" i="46"/>
  <c r="S70" i="46"/>
  <c r="AD71" i="46"/>
  <c r="S65" i="46"/>
  <c r="S53" i="46"/>
  <c r="AE65" i="46"/>
  <c r="AE53" i="46"/>
  <c r="T65" i="46"/>
  <c r="T53" i="46"/>
  <c r="AF65" i="46"/>
  <c r="AF53" i="46"/>
  <c r="AG53" i="46"/>
  <c r="AG65" i="46"/>
  <c r="AC56" i="46"/>
  <c r="V137" i="46"/>
  <c r="W137" i="46"/>
  <c r="W65" i="46" s="1"/>
  <c r="S55" i="46"/>
  <c r="L66" i="46"/>
  <c r="AI54" i="46"/>
  <c r="T55" i="46"/>
  <c r="W56" i="46"/>
  <c r="M66" i="46"/>
  <c r="V67" i="46"/>
  <c r="AD68" i="46"/>
  <c r="P69" i="46"/>
  <c r="J137" i="46"/>
  <c r="J65" i="46" s="1"/>
  <c r="AG55" i="46"/>
  <c r="I65" i="46"/>
  <c r="U67" i="46"/>
  <c r="O69" i="46"/>
  <c r="K137" i="46"/>
  <c r="K65" i="46" s="1"/>
  <c r="AJ54" i="46"/>
  <c r="N66" i="46"/>
  <c r="X67" i="46"/>
  <c r="AE68" i="46"/>
  <c r="AH137" i="46"/>
  <c r="M69" i="46"/>
  <c r="I55" i="46"/>
  <c r="Y53" i="46"/>
  <c r="K55" i="46"/>
  <c r="Y55" i="46"/>
  <c r="J67" i="46"/>
  <c r="N69" i="46"/>
  <c r="X55" i="46"/>
  <c r="O66" i="46"/>
  <c r="Y67" i="46"/>
  <c r="AC53" i="46"/>
  <c r="L55" i="46"/>
  <c r="Z55" i="46"/>
  <c r="AD82" i="46"/>
  <c r="Y83" i="46"/>
  <c r="AC94" i="46"/>
  <c r="AE82" i="46"/>
  <c r="Z83" i="46"/>
  <c r="N94" i="46"/>
  <c r="V95" i="46"/>
  <c r="AA83" i="46"/>
  <c r="M83" i="46"/>
  <c r="R94" i="46"/>
  <c r="N83" i="46"/>
  <c r="S82" i="46"/>
  <c r="O83" i="46"/>
  <c r="Q94" i="46"/>
  <c r="Z82" i="46"/>
  <c r="AA82" i="46"/>
  <c r="AB82" i="46"/>
  <c r="K94" i="46"/>
  <c r="S95" i="46"/>
  <c r="Z89" i="46"/>
  <c r="Z77" i="46"/>
  <c r="AA89" i="46"/>
  <c r="AA77" i="46"/>
  <c r="AB89" i="46"/>
  <c r="AB77" i="46"/>
  <c r="AC79" i="46"/>
  <c r="Y80" i="46"/>
  <c r="J90" i="46"/>
  <c r="R91" i="46"/>
  <c r="Z92" i="46"/>
  <c r="AH93" i="46"/>
  <c r="AC101" i="46"/>
  <c r="N77" i="46"/>
  <c r="AI78" i="46"/>
  <c r="AD79" i="46"/>
  <c r="AD101" i="46"/>
  <c r="O77" i="46"/>
  <c r="N79" i="46"/>
  <c r="AE79" i="46"/>
  <c r="AA80" i="46"/>
  <c r="AE101" i="46"/>
  <c r="Q79" i="46"/>
  <c r="V78" i="46"/>
  <c r="R79" i="46"/>
  <c r="AJ80" i="46"/>
  <c r="AF81" i="46"/>
  <c r="AB91" i="46"/>
  <c r="Q101" i="46"/>
  <c r="Q89" i="46" s="1"/>
  <c r="U78" i="46"/>
  <c r="W78" i="46"/>
  <c r="S79" i="46"/>
  <c r="I81" i="46"/>
  <c r="AG81" i="46"/>
  <c r="O80" i="46"/>
  <c r="J81" i="46"/>
  <c r="V92" i="46"/>
  <c r="S101" i="46"/>
  <c r="Z79" i="46"/>
  <c r="K81" i="46"/>
  <c r="AI81" i="46"/>
  <c r="W92" i="46"/>
  <c r="K77" i="46"/>
  <c r="I78" i="46"/>
  <c r="AA79" i="46"/>
  <c r="X92" i="46"/>
  <c r="AB79" i="46"/>
  <c r="AH43" i="46"/>
  <c r="AG46" i="46"/>
  <c r="AH46" i="46"/>
  <c r="I47" i="46"/>
  <c r="R41" i="46"/>
  <c r="R44" i="46" s="1"/>
  <c r="AD41" i="46"/>
  <c r="AD43" i="46" s="1"/>
  <c r="S41" i="46"/>
  <c r="S47" i="46" s="1"/>
  <c r="AE41" i="46"/>
  <c r="U43" i="46"/>
  <c r="R89" i="46"/>
  <c r="R77" i="46"/>
  <c r="AG91" i="46"/>
  <c r="AG101" i="46"/>
  <c r="AG82" i="46"/>
  <c r="Z90" i="46"/>
  <c r="Z78" i="46"/>
  <c r="R92" i="46"/>
  <c r="R80" i="46"/>
  <c r="J94" i="46"/>
  <c r="J82" i="46"/>
  <c r="AH94" i="46"/>
  <c r="AH82" i="46"/>
  <c r="O46" i="46"/>
  <c r="O43" i="46"/>
  <c r="O45" i="46"/>
  <c r="O42" i="46"/>
  <c r="AA46" i="46"/>
  <c r="O44" i="46"/>
  <c r="AJ53" i="46"/>
  <c r="S68" i="46"/>
  <c r="AA71" i="46"/>
  <c r="AI77" i="46"/>
  <c r="N90" i="46"/>
  <c r="N78" i="46"/>
  <c r="AH91" i="46"/>
  <c r="AH101" i="46"/>
  <c r="AH79" i="46"/>
  <c r="Z93" i="46"/>
  <c r="Z81" i="46"/>
  <c r="AB45" i="46"/>
  <c r="AB43" i="46"/>
  <c r="O71" i="46"/>
  <c r="AB71" i="46"/>
  <c r="X78" i="46"/>
  <c r="AF79" i="46"/>
  <c r="L81" i="46"/>
  <c r="T82" i="46"/>
  <c r="AB83" i="46"/>
  <c r="P80" i="46"/>
  <c r="AF82" i="46"/>
  <c r="I91" i="46"/>
  <c r="I101" i="46"/>
  <c r="Y43" i="46"/>
  <c r="I79" i="46"/>
  <c r="Y81" i="46"/>
  <c r="J91" i="46"/>
  <c r="J101" i="46"/>
  <c r="J79" i="46"/>
  <c r="AD92" i="46"/>
  <c r="AD80" i="46"/>
  <c r="V94" i="46"/>
  <c r="V82" i="46"/>
  <c r="AD95" i="46"/>
  <c r="AD83" i="46"/>
  <c r="R68" i="46"/>
  <c r="AC45" i="46"/>
  <c r="AC43" i="46"/>
  <c r="W53" i="46"/>
  <c r="AI67" i="46"/>
  <c r="P71" i="46"/>
  <c r="AC71" i="46"/>
  <c r="Y78" i="46"/>
  <c r="AG79" i="46"/>
  <c r="M81" i="46"/>
  <c r="U82" i="46"/>
  <c r="AC83" i="46"/>
  <c r="AD89" i="46"/>
  <c r="AD77" i="46"/>
  <c r="AI137" i="46"/>
  <c r="AJ78" i="46"/>
  <c r="X81" i="46"/>
  <c r="U91" i="46"/>
  <c r="U101" i="46"/>
  <c r="Q80" i="46"/>
  <c r="V91" i="46"/>
  <c r="V101" i="46"/>
  <c r="V79" i="46"/>
  <c r="N93" i="46"/>
  <c r="N81" i="46"/>
  <c r="R95" i="46"/>
  <c r="R83" i="46"/>
  <c r="X53" i="46"/>
  <c r="AJ67" i="46"/>
  <c r="T70" i="46"/>
  <c r="AF70" i="46"/>
  <c r="Q71" i="46"/>
  <c r="P77" i="46"/>
  <c r="T101" i="46"/>
  <c r="I70" i="46"/>
  <c r="U70" i="46"/>
  <c r="AG70" i="46"/>
  <c r="AF101" i="46"/>
  <c r="K53" i="46"/>
  <c r="W55" i="46"/>
  <c r="AJ55" i="46"/>
  <c r="Y69" i="46"/>
  <c r="J70" i="46"/>
  <c r="V70" i="46"/>
  <c r="AH70" i="46"/>
  <c r="W77" i="46"/>
  <c r="L78" i="46"/>
  <c r="T79" i="46"/>
  <c r="AB80" i="46"/>
  <c r="AJ81" i="46"/>
  <c r="P83" i="46"/>
  <c r="F143" i="46"/>
  <c r="W43" i="46"/>
  <c r="W46" i="46"/>
  <c r="AI46" i="46"/>
  <c r="AE47" i="46"/>
  <c r="N53" i="46"/>
  <c r="Z53" i="46"/>
  <c r="N59" i="46"/>
  <c r="Z59" i="46"/>
  <c r="O137" i="46"/>
  <c r="AA137" i="46"/>
  <c r="K79" i="46"/>
  <c r="W79" i="46"/>
  <c r="AI79" i="46"/>
  <c r="P137" i="46"/>
  <c r="AB137" i="46"/>
  <c r="F141" i="46"/>
  <c r="U44" i="46"/>
  <c r="L79" i="46"/>
  <c r="X79" i="46"/>
  <c r="AJ79" i="46"/>
  <c r="AH44" i="46"/>
  <c r="M79" i="46"/>
  <c r="Y79" i="46"/>
  <c r="F139" i="46"/>
  <c r="AE42" i="46"/>
  <c r="W44" i="46"/>
  <c r="F144" i="46"/>
  <c r="D49" i="43"/>
  <c r="I35" i="44"/>
  <c r="N29" i="44"/>
  <c r="N34" i="44" s="1"/>
  <c r="W29" i="44"/>
  <c r="W32" i="44" s="1"/>
  <c r="I31" i="44"/>
  <c r="I46" i="44"/>
  <c r="W41" i="44"/>
  <c r="V41" i="44"/>
  <c r="V43" i="44" s="1"/>
  <c r="U41" i="44"/>
  <c r="U47" i="44" s="1"/>
  <c r="AI41" i="44"/>
  <c r="AI47" i="44" s="1"/>
  <c r="K41" i="44"/>
  <c r="K47" i="44" s="1"/>
  <c r="AH41" i="44"/>
  <c r="AH47" i="44" s="1"/>
  <c r="R41" i="44"/>
  <c r="R45" i="44" s="1"/>
  <c r="L41" i="44"/>
  <c r="L45" i="44" s="1"/>
  <c r="I45" i="44"/>
  <c r="AC41" i="44"/>
  <c r="AC44" i="44" s="1"/>
  <c r="AG41" i="44"/>
  <c r="AG47" i="44" s="1"/>
  <c r="I44" i="44"/>
  <c r="AB41" i="44"/>
  <c r="AB45" i="44" s="1"/>
  <c r="I5" i="44"/>
  <c r="AH5" i="44" s="1"/>
  <c r="I17" i="44"/>
  <c r="Y59" i="44"/>
  <c r="L59" i="44"/>
  <c r="Y58" i="44"/>
  <c r="M59" i="44"/>
  <c r="X71" i="44"/>
  <c r="AJ59" i="44"/>
  <c r="AB58" i="44"/>
  <c r="AD71" i="44"/>
  <c r="AB71" i="44"/>
  <c r="AF65" i="44"/>
  <c r="AF53" i="44"/>
  <c r="I65" i="44"/>
  <c r="I53" i="44"/>
  <c r="AF69" i="44"/>
  <c r="T69" i="44"/>
  <c r="AG57" i="44"/>
  <c r="AH69" i="44"/>
  <c r="AF56" i="44"/>
  <c r="V69" i="44"/>
  <c r="AC54" i="44"/>
  <c r="AC55" i="44"/>
  <c r="P56" i="44"/>
  <c r="AG56" i="44"/>
  <c r="AI57" i="44"/>
  <c r="AB66" i="44"/>
  <c r="L68" i="44"/>
  <c r="AJ69" i="44"/>
  <c r="T137" i="44"/>
  <c r="Q54" i="44"/>
  <c r="P55" i="44"/>
  <c r="AD55" i="44"/>
  <c r="T56" i="44"/>
  <c r="U57" i="44"/>
  <c r="AG66" i="44"/>
  <c r="M68" i="44"/>
  <c r="X69" i="44"/>
  <c r="U137" i="44"/>
  <c r="P137" i="44"/>
  <c r="N56" i="44"/>
  <c r="I66" i="44"/>
  <c r="R137" i="44"/>
  <c r="AB55" i="44"/>
  <c r="O56" i="44"/>
  <c r="S137" i="44"/>
  <c r="P54" i="44"/>
  <c r="AE55" i="44"/>
  <c r="U56" i="44"/>
  <c r="AH66" i="44"/>
  <c r="X67" i="44"/>
  <c r="AJ68" i="44"/>
  <c r="Y69" i="44"/>
  <c r="AB137" i="44"/>
  <c r="I56" i="44"/>
  <c r="K69" i="44"/>
  <c r="AE137" i="44"/>
  <c r="AF54" i="44"/>
  <c r="AI66" i="44"/>
  <c r="I69" i="44"/>
  <c r="AC137" i="44"/>
  <c r="T54" i="44"/>
  <c r="J69" i="44"/>
  <c r="AD137" i="44"/>
  <c r="AG53" i="44"/>
  <c r="U54" i="44"/>
  <c r="AB57" i="44"/>
  <c r="I67" i="44"/>
  <c r="AC57" i="44"/>
  <c r="S82" i="44"/>
  <c r="K83" i="44"/>
  <c r="AA83" i="44"/>
  <c r="T82" i="44"/>
  <c r="L83" i="44"/>
  <c r="AB83" i="44"/>
  <c r="AH83" i="44"/>
  <c r="O83" i="44"/>
  <c r="P83" i="44"/>
  <c r="V83" i="44"/>
  <c r="AE82" i="44"/>
  <c r="K78" i="44"/>
  <c r="S79" i="44"/>
  <c r="AA80" i="44"/>
  <c r="AI81" i="44"/>
  <c r="AG90" i="44"/>
  <c r="AE79" i="44"/>
  <c r="L78" i="44"/>
  <c r="T79" i="44"/>
  <c r="AB80" i="44"/>
  <c r="AJ81" i="44"/>
  <c r="AC101" i="44"/>
  <c r="AC77" i="44" s="1"/>
  <c r="AI78" i="44"/>
  <c r="O80" i="44"/>
  <c r="W81" i="44"/>
  <c r="S89" i="44"/>
  <c r="AE101" i="44"/>
  <c r="AJ78" i="44"/>
  <c r="P80" i="44"/>
  <c r="X81" i="44"/>
  <c r="T89" i="44"/>
  <c r="AF101" i="44"/>
  <c r="AJ41" i="44"/>
  <c r="AJ47" i="44" s="1"/>
  <c r="M41" i="44"/>
  <c r="Y41" i="44"/>
  <c r="I42" i="44"/>
  <c r="V42" i="44"/>
  <c r="Z41" i="44"/>
  <c r="Z46" i="44" s="1"/>
  <c r="O41" i="44"/>
  <c r="O44" i="44" s="1"/>
  <c r="AA41" i="44"/>
  <c r="AA44" i="44" s="1"/>
  <c r="K42" i="44"/>
  <c r="AG43" i="44"/>
  <c r="F146" i="44"/>
  <c r="F142" i="44"/>
  <c r="L65" i="44"/>
  <c r="L53" i="44"/>
  <c r="X65" i="44"/>
  <c r="X53" i="44"/>
  <c r="K65" i="44"/>
  <c r="K53" i="44"/>
  <c r="AJ101" i="44"/>
  <c r="AJ79" i="44"/>
  <c r="Z71" i="44"/>
  <c r="Z59" i="44"/>
  <c r="M69" i="44"/>
  <c r="J67" i="44"/>
  <c r="T92" i="44"/>
  <c r="AJ94" i="44"/>
  <c r="K67" i="44"/>
  <c r="AC68" i="44"/>
  <c r="AA77" i="44"/>
  <c r="Q89" i="44"/>
  <c r="Q77" i="44"/>
  <c r="AH137" i="44"/>
  <c r="X101" i="44"/>
  <c r="X79" i="44"/>
  <c r="N69" i="44"/>
  <c r="S56" i="44"/>
  <c r="L67" i="44"/>
  <c r="AD68" i="44"/>
  <c r="AB77" i="44"/>
  <c r="R89" i="44"/>
  <c r="R77" i="44"/>
  <c r="AI137" i="44"/>
  <c r="N67" i="44"/>
  <c r="N137" i="44"/>
  <c r="Z67" i="44"/>
  <c r="Z137" i="44"/>
  <c r="L101" i="44"/>
  <c r="L79" i="44"/>
  <c r="M65" i="44"/>
  <c r="M53" i="44"/>
  <c r="L69" i="44"/>
  <c r="AB93" i="44"/>
  <c r="AJ46" i="44"/>
  <c r="AJ43" i="44"/>
  <c r="Q68" i="44"/>
  <c r="AA90" i="44"/>
  <c r="O93" i="44"/>
  <c r="F144" i="44"/>
  <c r="F139" i="44"/>
  <c r="F141" i="44"/>
  <c r="F143" i="44"/>
  <c r="V137" i="44"/>
  <c r="AJ137" i="44"/>
  <c r="O67" i="44"/>
  <c r="O137" i="44"/>
  <c r="AA67" i="44"/>
  <c r="AA137" i="44"/>
  <c r="N71" i="44"/>
  <c r="N59" i="44"/>
  <c r="AC89" i="44"/>
  <c r="AD89" i="44"/>
  <c r="AD77" i="44"/>
  <c r="AI55" i="44"/>
  <c r="R68" i="44"/>
  <c r="AB90" i="44"/>
  <c r="AJ91" i="44"/>
  <c r="P93" i="44"/>
  <c r="X94" i="44"/>
  <c r="AF95" i="44"/>
  <c r="W137" i="44"/>
  <c r="F138" i="44"/>
  <c r="AA66" i="44"/>
  <c r="AA71" i="44"/>
  <c r="M90" i="44"/>
  <c r="M78" i="44"/>
  <c r="Y90" i="44"/>
  <c r="Y78" i="44"/>
  <c r="I91" i="44"/>
  <c r="I101" i="44"/>
  <c r="I79" i="44"/>
  <c r="U91" i="44"/>
  <c r="U101" i="44"/>
  <c r="U79" i="44"/>
  <c r="AG91" i="44"/>
  <c r="AG101" i="44"/>
  <c r="AG79" i="44"/>
  <c r="Q92" i="44"/>
  <c r="Q80" i="44"/>
  <c r="AC92" i="44"/>
  <c r="AC80" i="44"/>
  <c r="M93" i="44"/>
  <c r="M81" i="44"/>
  <c r="Y93" i="44"/>
  <c r="Y81" i="44"/>
  <c r="I94" i="44"/>
  <c r="I82" i="44"/>
  <c r="U94" i="44"/>
  <c r="U82" i="44"/>
  <c r="AG94" i="44"/>
  <c r="AG82" i="44"/>
  <c r="Q95" i="44"/>
  <c r="Q83" i="44"/>
  <c r="AC95" i="44"/>
  <c r="AC83" i="44"/>
  <c r="J137" i="44"/>
  <c r="Z90" i="44"/>
  <c r="Z78" i="44"/>
  <c r="J91" i="44"/>
  <c r="J101" i="44"/>
  <c r="J79" i="44"/>
  <c r="V91" i="44"/>
  <c r="V101" i="44"/>
  <c r="V79" i="44"/>
  <c r="AH91" i="44"/>
  <c r="AH101" i="44"/>
  <c r="AH79" i="44"/>
  <c r="R92" i="44"/>
  <c r="R80" i="44"/>
  <c r="AD92" i="44"/>
  <c r="AD80" i="44"/>
  <c r="N93" i="44"/>
  <c r="N81" i="44"/>
  <c r="Z93" i="44"/>
  <c r="Z81" i="44"/>
  <c r="J94" i="44"/>
  <c r="J82" i="44"/>
  <c r="V94" i="44"/>
  <c r="V82" i="44"/>
  <c r="AH94" i="44"/>
  <c r="AH82" i="44"/>
  <c r="R95" i="44"/>
  <c r="R83" i="44"/>
  <c r="AD95" i="44"/>
  <c r="AD83" i="44"/>
  <c r="Y137" i="44"/>
  <c r="O43" i="44"/>
  <c r="O45" i="44"/>
  <c r="O42" i="44"/>
  <c r="O71" i="44"/>
  <c r="N90" i="44"/>
  <c r="N78" i="44"/>
  <c r="L55" i="44"/>
  <c r="S70" i="44"/>
  <c r="AE70" i="44"/>
  <c r="P71" i="44"/>
  <c r="AC71" i="44"/>
  <c r="O77" i="44"/>
  <c r="K101" i="44"/>
  <c r="K79" i="44"/>
  <c r="W101" i="44"/>
  <c r="W79" i="44"/>
  <c r="AI101" i="44"/>
  <c r="AI79" i="44"/>
  <c r="F145" i="44"/>
  <c r="K43" i="44"/>
  <c r="K46" i="44"/>
  <c r="W46" i="44"/>
  <c r="S53" i="48" l="1"/>
  <c r="S65" i="48"/>
  <c r="AD65" i="48"/>
  <c r="AD53" i="48"/>
  <c r="AF53" i="48"/>
  <c r="AF65" i="48"/>
  <c r="P77" i="48"/>
  <c r="AJ43" i="46"/>
  <c r="W45" i="46"/>
  <c r="J42" i="46"/>
  <c r="L43" i="46"/>
  <c r="L46" i="46"/>
  <c r="X44" i="46"/>
  <c r="X47" i="46"/>
  <c r="L47" i="46"/>
  <c r="L42" i="46"/>
  <c r="M45" i="46"/>
  <c r="M43" i="46"/>
  <c r="M44" i="46"/>
  <c r="M46" i="46"/>
  <c r="Y47" i="46"/>
  <c r="W42" i="46"/>
  <c r="U53" i="46"/>
  <c r="Q77" i="46"/>
  <c r="AH46" i="44"/>
  <c r="K45" i="44"/>
  <c r="Q41" i="44"/>
  <c r="Q43" i="44" s="1"/>
  <c r="T41" i="44"/>
  <c r="T47" i="44" s="1"/>
  <c r="AB43" i="44"/>
  <c r="AH42" i="44"/>
  <c r="AB42" i="44"/>
  <c r="AH45" i="44"/>
  <c r="AG42" i="44"/>
  <c r="AF41" i="44"/>
  <c r="K29" i="44"/>
  <c r="K35" i="44" s="1"/>
  <c r="I30" i="44"/>
  <c r="T5" i="44"/>
  <c r="AI29" i="44"/>
  <c r="AI35" i="44" s="1"/>
  <c r="I10" i="44"/>
  <c r="V10" i="44" s="1"/>
  <c r="I34" i="44"/>
  <c r="AG5" i="44"/>
  <c r="AJ29" i="44"/>
  <c r="AJ32" i="44" s="1"/>
  <c r="Y29" i="44"/>
  <c r="Y34" i="44" s="1"/>
  <c r="Q29" i="44"/>
  <c r="Q32" i="44" s="1"/>
  <c r="Z29" i="44"/>
  <c r="Z34" i="44" s="1"/>
  <c r="J29" i="44"/>
  <c r="J32" i="44" s="1"/>
  <c r="AC29" i="44"/>
  <c r="AC31" i="44" s="1"/>
  <c r="W30" i="44"/>
  <c r="R29" i="44"/>
  <c r="R30" i="44" s="1"/>
  <c r="AD29" i="44"/>
  <c r="AD30" i="44" s="1"/>
  <c r="W33" i="44"/>
  <c r="S29" i="44"/>
  <c r="S34" i="44" s="1"/>
  <c r="M29" i="44"/>
  <c r="M33" i="44" s="1"/>
  <c r="AB34" i="44"/>
  <c r="AB33" i="44"/>
  <c r="AB31" i="44"/>
  <c r="AB35" i="44"/>
  <c r="V46" i="44"/>
  <c r="AF29" i="44"/>
  <c r="AF34" i="44" s="1"/>
  <c r="AC43" i="44"/>
  <c r="AD5" i="44"/>
  <c r="U46" i="44"/>
  <c r="AD41" i="44"/>
  <c r="P41" i="44"/>
  <c r="U29" i="44"/>
  <c r="U32" i="44" s="1"/>
  <c r="L29" i="44"/>
  <c r="L31" i="44" s="1"/>
  <c r="AA29" i="44"/>
  <c r="AA33" i="44" s="1"/>
  <c r="I11" i="44"/>
  <c r="U11" i="44" s="1"/>
  <c r="W5" i="44"/>
  <c r="T29" i="44"/>
  <c r="T32" i="44" s="1"/>
  <c r="O29" i="44"/>
  <c r="K44" i="44"/>
  <c r="AC47" i="44"/>
  <c r="AC42" i="44"/>
  <c r="AI10" i="44"/>
  <c r="I7" i="44"/>
  <c r="L7" i="44" s="1"/>
  <c r="AE41" i="44"/>
  <c r="S41" i="44"/>
  <c r="S45" i="44" s="1"/>
  <c r="AG29" i="44"/>
  <c r="AG34" i="44" s="1"/>
  <c r="X29" i="44"/>
  <c r="X31" i="44" s="1"/>
  <c r="I33" i="44"/>
  <c r="AC46" i="44"/>
  <c r="AH44" i="44"/>
  <c r="AH43" i="44"/>
  <c r="AG10" i="44"/>
  <c r="AC45" i="44"/>
  <c r="W10" i="44"/>
  <c r="X5" i="44"/>
  <c r="V44" i="44"/>
  <c r="M5" i="44"/>
  <c r="R42" i="44"/>
  <c r="V29" i="44"/>
  <c r="V34" i="44" s="1"/>
  <c r="I32" i="44"/>
  <c r="P29" i="44"/>
  <c r="AA42" i="44"/>
  <c r="Z42" i="44"/>
  <c r="R33" i="44"/>
  <c r="I47" i="44"/>
  <c r="N41" i="44"/>
  <c r="N44" i="44" s="1"/>
  <c r="X41" i="44"/>
  <c r="X45" i="44" s="1"/>
  <c r="J41" i="44"/>
  <c r="AH29" i="44"/>
  <c r="AH30" i="44" s="1"/>
  <c r="AE29" i="44"/>
  <c r="Q65" i="44"/>
  <c r="Q53" i="44"/>
  <c r="N89" i="44"/>
  <c r="N77" i="44"/>
  <c r="M89" i="44"/>
  <c r="M77" i="44"/>
  <c r="I29" i="48"/>
  <c r="I5" i="48"/>
  <c r="I41" i="48"/>
  <c r="I17" i="48"/>
  <c r="AH53" i="48"/>
  <c r="AH65" i="48"/>
  <c r="J65" i="48"/>
  <c r="J53" i="48"/>
  <c r="AE65" i="48"/>
  <c r="AE53" i="48"/>
  <c r="T53" i="48"/>
  <c r="T65" i="48"/>
  <c r="AG53" i="48"/>
  <c r="AG65" i="48"/>
  <c r="AI53" i="48"/>
  <c r="U65" i="48"/>
  <c r="I53" i="48"/>
  <c r="I65" i="48"/>
  <c r="AG77" i="48"/>
  <c r="AG89" i="48"/>
  <c r="J77" i="48"/>
  <c r="J89" i="48"/>
  <c r="AH77" i="48"/>
  <c r="AH89" i="48"/>
  <c r="U77" i="48"/>
  <c r="U89" i="48"/>
  <c r="T77" i="48"/>
  <c r="T89" i="48"/>
  <c r="X77" i="48"/>
  <c r="X89" i="48"/>
  <c r="K77" i="48"/>
  <c r="K89" i="48"/>
  <c r="AB53" i="48"/>
  <c r="AB65" i="48"/>
  <c r="L77" i="48"/>
  <c r="L89" i="48"/>
  <c r="P53" i="48"/>
  <c r="P65" i="48"/>
  <c r="N65" i="48"/>
  <c r="N53" i="48"/>
  <c r="N77" i="48"/>
  <c r="N89" i="48"/>
  <c r="AI77" i="48"/>
  <c r="AI89" i="48"/>
  <c r="I77" i="48"/>
  <c r="I89" i="48"/>
  <c r="AC53" i="48"/>
  <c r="AC65" i="48"/>
  <c r="AF77" i="48"/>
  <c r="AF89" i="48"/>
  <c r="M77" i="48"/>
  <c r="M89" i="48"/>
  <c r="Y77" i="48"/>
  <c r="Y89" i="48"/>
  <c r="Z89" i="48"/>
  <c r="Z77" i="48"/>
  <c r="AA65" i="48"/>
  <c r="AA53" i="48"/>
  <c r="Q53" i="48"/>
  <c r="Q65" i="48"/>
  <c r="AJ65" i="48"/>
  <c r="AJ53" i="48"/>
  <c r="W77" i="48"/>
  <c r="W89" i="48"/>
  <c r="K65" i="48"/>
  <c r="K53" i="48"/>
  <c r="AJ89" i="48"/>
  <c r="AJ77" i="48"/>
  <c r="X65" i="48"/>
  <c r="X53" i="48"/>
  <c r="AB46" i="46"/>
  <c r="Q45" i="46"/>
  <c r="AA47" i="46"/>
  <c r="Q42" i="46"/>
  <c r="T42" i="46"/>
  <c r="N42" i="46"/>
  <c r="T43" i="46"/>
  <c r="AD42" i="46"/>
  <c r="Q46" i="46"/>
  <c r="AD45" i="46"/>
  <c r="R42" i="46"/>
  <c r="Q44" i="46"/>
  <c r="T46" i="46"/>
  <c r="T44" i="46"/>
  <c r="AA45" i="46"/>
  <c r="T45" i="46"/>
  <c r="Q43" i="46"/>
  <c r="J43" i="46"/>
  <c r="AA43" i="46"/>
  <c r="K45" i="46"/>
  <c r="P46" i="46"/>
  <c r="P43" i="46"/>
  <c r="P44" i="46"/>
  <c r="P45" i="46"/>
  <c r="P47" i="46"/>
  <c r="P42" i="46"/>
  <c r="V43" i="46"/>
  <c r="V47" i="46"/>
  <c r="V44" i="46"/>
  <c r="V46" i="46"/>
  <c r="V42" i="46"/>
  <c r="V45" i="46"/>
  <c r="AF47" i="46"/>
  <c r="AF46" i="46"/>
  <c r="AF42" i="46"/>
  <c r="AF43" i="46"/>
  <c r="AF45" i="46"/>
  <c r="Y46" i="46"/>
  <c r="AF44" i="46"/>
  <c r="AI43" i="46"/>
  <c r="R45" i="46"/>
  <c r="AA42" i="46"/>
  <c r="Z42" i="46"/>
  <c r="Z47" i="46"/>
  <c r="K47" i="46"/>
  <c r="K42" i="46"/>
  <c r="K43" i="46"/>
  <c r="AJ46" i="46"/>
  <c r="L45" i="46"/>
  <c r="N43" i="46"/>
  <c r="N44" i="46"/>
  <c r="J47" i="46"/>
  <c r="X42" i="46"/>
  <c r="AI17" i="46"/>
  <c r="W17" i="46"/>
  <c r="K17" i="46"/>
  <c r="AE17" i="46"/>
  <c r="S17" i="46"/>
  <c r="Q17" i="46"/>
  <c r="P17" i="46"/>
  <c r="O17" i="46"/>
  <c r="AH17" i="46"/>
  <c r="V17" i="46"/>
  <c r="J17" i="46"/>
  <c r="I23" i="46"/>
  <c r="I21" i="46"/>
  <c r="I19" i="46"/>
  <c r="AG17" i="46"/>
  <c r="U17" i="46"/>
  <c r="AF17" i="46"/>
  <c r="T17" i="46"/>
  <c r="I20" i="46"/>
  <c r="AC17" i="46"/>
  <c r="AB17" i="46"/>
  <c r="AA17" i="46"/>
  <c r="AD17" i="46"/>
  <c r="R17" i="46"/>
  <c r="I22" i="46"/>
  <c r="I18" i="46"/>
  <c r="Z17" i="46"/>
  <c r="N17" i="46"/>
  <c r="Y17" i="46"/>
  <c r="M17" i="46"/>
  <c r="AJ17" i="46"/>
  <c r="X17" i="46"/>
  <c r="L17" i="46"/>
  <c r="I29" i="46"/>
  <c r="I5" i="46"/>
  <c r="AI44" i="46"/>
  <c r="AJ45" i="46"/>
  <c r="M42" i="46"/>
  <c r="N46" i="46"/>
  <c r="Z43" i="46"/>
  <c r="X43" i="46"/>
  <c r="AH47" i="46"/>
  <c r="AH45" i="46"/>
  <c r="AG47" i="46"/>
  <c r="AG43" i="46"/>
  <c r="AG42" i="46"/>
  <c r="AG45" i="46"/>
  <c r="J46" i="46"/>
  <c r="J44" i="46"/>
  <c r="AB44" i="46"/>
  <c r="AB47" i="46"/>
  <c r="N45" i="46"/>
  <c r="Z46" i="46"/>
  <c r="X46" i="46"/>
  <c r="U47" i="46"/>
  <c r="U46" i="46"/>
  <c r="U45" i="46"/>
  <c r="AC44" i="46"/>
  <c r="AC47" i="46"/>
  <c r="AC46" i="46"/>
  <c r="K44" i="46"/>
  <c r="Y44" i="46"/>
  <c r="AJ42" i="46"/>
  <c r="Y45" i="46"/>
  <c r="AJ44" i="46"/>
  <c r="Z44" i="46"/>
  <c r="AI47" i="46"/>
  <c r="AI42" i="46"/>
  <c r="V65" i="46"/>
  <c r="V53" i="46"/>
  <c r="AH65" i="46"/>
  <c r="AH53" i="46"/>
  <c r="J53" i="46"/>
  <c r="AE77" i="46"/>
  <c r="AE89" i="46"/>
  <c r="S77" i="46"/>
  <c r="S89" i="46"/>
  <c r="AC89" i="46"/>
  <c r="AC77" i="46"/>
  <c r="S42" i="46"/>
  <c r="AE45" i="46"/>
  <c r="AE43" i="46"/>
  <c r="AE46" i="46"/>
  <c r="AE44" i="46"/>
  <c r="S45" i="46"/>
  <c r="S46" i="46"/>
  <c r="S43" i="46"/>
  <c r="S44" i="46"/>
  <c r="AD44" i="46"/>
  <c r="AD47" i="46"/>
  <c r="AD46" i="46"/>
  <c r="R47" i="46"/>
  <c r="R46" i="46"/>
  <c r="R43" i="46"/>
  <c r="AF77" i="46"/>
  <c r="AF89" i="46"/>
  <c r="AI65" i="46"/>
  <c r="AI53" i="46"/>
  <c r="AB53" i="46"/>
  <c r="AB65" i="46"/>
  <c r="I77" i="46"/>
  <c r="I89" i="46"/>
  <c r="T77" i="46"/>
  <c r="T89" i="46"/>
  <c r="P53" i="46"/>
  <c r="P65" i="46"/>
  <c r="V77" i="46"/>
  <c r="V89" i="46"/>
  <c r="AH77" i="46"/>
  <c r="AH89" i="46"/>
  <c r="J77" i="46"/>
  <c r="J89" i="46"/>
  <c r="AA53" i="46"/>
  <c r="AA65" i="46"/>
  <c r="U77" i="46"/>
  <c r="U89" i="46"/>
  <c r="O53" i="46"/>
  <c r="O65" i="46"/>
  <c r="AG77" i="46"/>
  <c r="AG89" i="46"/>
  <c r="AG44" i="44"/>
  <c r="AA47" i="44"/>
  <c r="AG46" i="44"/>
  <c r="AG45" i="44"/>
  <c r="U44" i="44"/>
  <c r="R44" i="44"/>
  <c r="L47" i="44"/>
  <c r="AI45" i="44"/>
  <c r="U43" i="44"/>
  <c r="T44" i="44"/>
  <c r="AI46" i="44"/>
  <c r="AA45" i="44"/>
  <c r="O47" i="44"/>
  <c r="AA43" i="44"/>
  <c r="U42" i="44"/>
  <c r="AA46" i="44"/>
  <c r="U45" i="44"/>
  <c r="T33" i="44"/>
  <c r="U5" i="44"/>
  <c r="AJ30" i="44"/>
  <c r="AJ5" i="44"/>
  <c r="K30" i="44"/>
  <c r="S35" i="44"/>
  <c r="AF5" i="44"/>
  <c r="K5" i="44"/>
  <c r="S30" i="44"/>
  <c r="AA10" i="44"/>
  <c r="Y10" i="44"/>
  <c r="AI5" i="44"/>
  <c r="I8" i="44"/>
  <c r="L8" i="44" s="1"/>
  <c r="AC35" i="44"/>
  <c r="AE5" i="44"/>
  <c r="S5" i="44"/>
  <c r="AB5" i="44"/>
  <c r="I9" i="44"/>
  <c r="AB9" i="44" s="1"/>
  <c r="N30" i="44"/>
  <c r="AA32" i="44"/>
  <c r="AA5" i="44"/>
  <c r="P5" i="44"/>
  <c r="M10" i="44"/>
  <c r="J10" i="44"/>
  <c r="N35" i="44"/>
  <c r="AH10" i="44"/>
  <c r="AA35" i="44"/>
  <c r="V5" i="44"/>
  <c r="N5" i="44"/>
  <c r="Z5" i="44"/>
  <c r="O10" i="44"/>
  <c r="J5" i="44"/>
  <c r="L5" i="44"/>
  <c r="Y5" i="44"/>
  <c r="Z43" i="44"/>
  <c r="K33" i="44"/>
  <c r="Z10" i="44"/>
  <c r="X10" i="44"/>
  <c r="AJ31" i="44"/>
  <c r="T43" i="44"/>
  <c r="R47" i="44"/>
  <c r="R43" i="44"/>
  <c r="R46" i="44"/>
  <c r="AI31" i="44"/>
  <c r="S31" i="44"/>
  <c r="S32" i="44"/>
  <c r="S33" i="44"/>
  <c r="W47" i="44"/>
  <c r="W45" i="44"/>
  <c r="M35" i="44"/>
  <c r="N10" i="44"/>
  <c r="AC5" i="44"/>
  <c r="AB46" i="44"/>
  <c r="AB47" i="44"/>
  <c r="AB44" i="44"/>
  <c r="S43" i="44"/>
  <c r="S46" i="44"/>
  <c r="AJ33" i="44"/>
  <c r="M34" i="44"/>
  <c r="Q42" i="44"/>
  <c r="Q47" i="44"/>
  <c r="K32" i="44"/>
  <c r="K34" i="44"/>
  <c r="Z45" i="44"/>
  <c r="AJ10" i="44"/>
  <c r="W34" i="44"/>
  <c r="W31" i="44"/>
  <c r="K31" i="44"/>
  <c r="AI7" i="44"/>
  <c r="Q5" i="44"/>
  <c r="N33" i="44"/>
  <c r="AI42" i="44"/>
  <c r="T42" i="44"/>
  <c r="AI43" i="44"/>
  <c r="Q46" i="44"/>
  <c r="L44" i="44"/>
  <c r="L42" i="44"/>
  <c r="W43" i="44"/>
  <c r="N31" i="44"/>
  <c r="U10" i="44"/>
  <c r="I23" i="44"/>
  <c r="I21" i="44"/>
  <c r="I18" i="44"/>
  <c r="Z17" i="44"/>
  <c r="N17" i="44"/>
  <c r="AI17" i="44"/>
  <c r="AB17" i="44"/>
  <c r="Y17" i="44"/>
  <c r="M17" i="44"/>
  <c r="W17" i="44"/>
  <c r="AJ17" i="44"/>
  <c r="X17" i="44"/>
  <c r="L17" i="44"/>
  <c r="K17" i="44"/>
  <c r="AA17" i="44"/>
  <c r="AH17" i="44"/>
  <c r="V17" i="44"/>
  <c r="J17" i="44"/>
  <c r="S17" i="44"/>
  <c r="AC17" i="44"/>
  <c r="AG17" i="44"/>
  <c r="U17" i="44"/>
  <c r="AD17" i="44"/>
  <c r="Q17" i="44"/>
  <c r="I19" i="44"/>
  <c r="AF17" i="44"/>
  <c r="T17" i="44"/>
  <c r="I22" i="44"/>
  <c r="I20" i="44"/>
  <c r="AE17" i="44"/>
  <c r="R17" i="44"/>
  <c r="P17" i="44"/>
  <c r="O17" i="44"/>
  <c r="Q44" i="44"/>
  <c r="N32" i="44"/>
  <c r="Q10" i="44"/>
  <c r="R5" i="44"/>
  <c r="I6" i="44"/>
  <c r="AD6" i="44" s="1"/>
  <c r="Q31" i="44"/>
  <c r="Q35" i="44"/>
  <c r="W42" i="44"/>
  <c r="P47" i="44"/>
  <c r="P46" i="44"/>
  <c r="U35" i="44"/>
  <c r="V31" i="44"/>
  <c r="AE32" i="44"/>
  <c r="AE35" i="44"/>
  <c r="AB32" i="44"/>
  <c r="AB30" i="44"/>
  <c r="AE43" i="44"/>
  <c r="AI44" i="44"/>
  <c r="M31" i="44"/>
  <c r="L43" i="44"/>
  <c r="AF46" i="44"/>
  <c r="AF43" i="44"/>
  <c r="AE42" i="44"/>
  <c r="T46" i="44"/>
  <c r="W44" i="44"/>
  <c r="AE44" i="44"/>
  <c r="W35" i="44"/>
  <c r="L46" i="44"/>
  <c r="O5" i="44"/>
  <c r="AF42" i="44"/>
  <c r="V47" i="44"/>
  <c r="V45" i="44"/>
  <c r="R65" i="44"/>
  <c r="R53" i="44"/>
  <c r="AE53" i="44"/>
  <c r="AE65" i="44"/>
  <c r="AB65" i="44"/>
  <c r="AB53" i="44"/>
  <c r="S65" i="44"/>
  <c r="S53" i="44"/>
  <c r="AD53" i="44"/>
  <c r="AD65" i="44"/>
  <c r="P53" i="44"/>
  <c r="P65" i="44"/>
  <c r="U65" i="44"/>
  <c r="U53" i="44"/>
  <c r="AC65" i="44"/>
  <c r="AC53" i="44"/>
  <c r="T65" i="44"/>
  <c r="T53" i="44"/>
  <c r="AF77" i="44"/>
  <c r="AF89" i="44"/>
  <c r="AE77" i="44"/>
  <c r="AE89" i="44"/>
  <c r="Y47" i="44"/>
  <c r="Y45" i="44"/>
  <c r="Y44" i="44"/>
  <c r="Z44" i="44"/>
  <c r="Z47" i="44"/>
  <c r="N45" i="44"/>
  <c r="Y42" i="44"/>
  <c r="N47" i="44"/>
  <c r="Y43" i="44"/>
  <c r="M47" i="44"/>
  <c r="M44" i="44"/>
  <c r="M42" i="44"/>
  <c r="M45" i="44"/>
  <c r="O46" i="44"/>
  <c r="Y46" i="44"/>
  <c r="M43" i="44"/>
  <c r="M46" i="44"/>
  <c r="AJ44" i="44"/>
  <c r="AJ42" i="44"/>
  <c r="AJ45" i="44"/>
  <c r="AC10" i="44"/>
  <c r="P10" i="44"/>
  <c r="AD10" i="44"/>
  <c r="AF10" i="44"/>
  <c r="T10" i="44"/>
  <c r="R10" i="44"/>
  <c r="AE10" i="44"/>
  <c r="AB10" i="44"/>
  <c r="I77" i="44"/>
  <c r="I89" i="44"/>
  <c r="W89" i="44"/>
  <c r="W77" i="44"/>
  <c r="O53" i="44"/>
  <c r="O65" i="44"/>
  <c r="U77" i="44"/>
  <c r="U89" i="44"/>
  <c r="AJ89" i="44"/>
  <c r="AJ77" i="44"/>
  <c r="AA53" i="44"/>
  <c r="AA65" i="44"/>
  <c r="L77" i="44"/>
  <c r="L89" i="44"/>
  <c r="AH65" i="44"/>
  <c r="AH53" i="44"/>
  <c r="V77" i="44"/>
  <c r="V89" i="44"/>
  <c r="N65" i="44"/>
  <c r="N53" i="44"/>
  <c r="X77" i="44"/>
  <c r="X89" i="44"/>
  <c r="K77" i="44"/>
  <c r="K89" i="44"/>
  <c r="Y65" i="44"/>
  <c r="Y53" i="44"/>
  <c r="W65" i="44"/>
  <c r="W53" i="44"/>
  <c r="AJ65" i="44"/>
  <c r="AJ53" i="44"/>
  <c r="J65" i="44"/>
  <c r="J53" i="44"/>
  <c r="AI89" i="44"/>
  <c r="AI77" i="44"/>
  <c r="Z65" i="44"/>
  <c r="Z53" i="44"/>
  <c r="V65" i="44"/>
  <c r="V53" i="44"/>
  <c r="AI65" i="44"/>
  <c r="AI53" i="44"/>
  <c r="AH77" i="44"/>
  <c r="AH89" i="44"/>
  <c r="J77" i="44"/>
  <c r="J89" i="44"/>
  <c r="AG77" i="44"/>
  <c r="AG89" i="44"/>
  <c r="AF47" i="44" l="1"/>
  <c r="AF45" i="44"/>
  <c r="AF44" i="44"/>
  <c r="S47" i="44"/>
  <c r="T45" i="44"/>
  <c r="Q45" i="44"/>
  <c r="Y30" i="44"/>
  <c r="AJ34" i="44"/>
  <c r="Z30" i="44"/>
  <c r="U33" i="44"/>
  <c r="AC7" i="44"/>
  <c r="AJ35" i="44"/>
  <c r="Z7" i="44"/>
  <c r="K9" i="44"/>
  <c r="AD7" i="44"/>
  <c r="V7" i="44"/>
  <c r="P11" i="44"/>
  <c r="X7" i="44"/>
  <c r="W11" i="44"/>
  <c r="J34" i="44"/>
  <c r="K7" i="44"/>
  <c r="J7" i="44"/>
  <c r="AF7" i="44"/>
  <c r="M30" i="44"/>
  <c r="Z33" i="44"/>
  <c r="Y7" i="44"/>
  <c r="Q7" i="44"/>
  <c r="Y33" i="44"/>
  <c r="Q33" i="44"/>
  <c r="Z32" i="44"/>
  <c r="W7" i="44"/>
  <c r="Q34" i="44"/>
  <c r="L30" i="44"/>
  <c r="S10" i="44"/>
  <c r="M32" i="44"/>
  <c r="Q30" i="44"/>
  <c r="L10" i="44"/>
  <c r="K10" i="44"/>
  <c r="Y35" i="44"/>
  <c r="M7" i="44"/>
  <c r="AD32" i="44"/>
  <c r="AD34" i="44"/>
  <c r="AD35" i="44"/>
  <c r="N11" i="44"/>
  <c r="AI33" i="44"/>
  <c r="O11" i="44"/>
  <c r="AD11" i="44"/>
  <c r="Z11" i="44"/>
  <c r="AI30" i="44"/>
  <c r="S11" i="44"/>
  <c r="K11" i="44"/>
  <c r="AE11" i="44"/>
  <c r="AG6" i="44"/>
  <c r="AA11" i="44"/>
  <c r="U7" i="44"/>
  <c r="P9" i="44"/>
  <c r="AA7" i="44"/>
  <c r="AC32" i="44"/>
  <c r="AA30" i="44"/>
  <c r="AH8" i="44"/>
  <c r="L11" i="44"/>
  <c r="J30" i="44"/>
  <c r="Z9" i="44"/>
  <c r="AH7" i="44"/>
  <c r="P7" i="44"/>
  <c r="Z35" i="44"/>
  <c r="X32" i="44"/>
  <c r="Z31" i="44"/>
  <c r="L34" i="44"/>
  <c r="U34" i="44"/>
  <c r="J33" i="44"/>
  <c r="Y32" i="44"/>
  <c r="AD9" i="44"/>
  <c r="AJ9" i="44"/>
  <c r="X34" i="44"/>
  <c r="Y31" i="44"/>
  <c r="AI34" i="44"/>
  <c r="R34" i="44"/>
  <c r="R31" i="44"/>
  <c r="M11" i="44"/>
  <c r="AI32" i="44"/>
  <c r="AG35" i="44"/>
  <c r="R32" i="44"/>
  <c r="W9" i="44"/>
  <c r="Q8" i="44"/>
  <c r="AB11" i="44"/>
  <c r="L33" i="44"/>
  <c r="J35" i="44"/>
  <c r="J31" i="44"/>
  <c r="AB7" i="44"/>
  <c r="AJ8" i="44"/>
  <c r="AG11" i="44"/>
  <c r="O9" i="44"/>
  <c r="L32" i="44"/>
  <c r="AC30" i="44"/>
  <c r="AA34" i="44"/>
  <c r="R35" i="44"/>
  <c r="V11" i="44"/>
  <c r="R9" i="44"/>
  <c r="X35" i="44"/>
  <c r="U30" i="44"/>
  <c r="X33" i="44"/>
  <c r="AC34" i="44"/>
  <c r="AA31" i="44"/>
  <c r="AC33" i="44"/>
  <c r="AD31" i="44"/>
  <c r="AD33" i="44"/>
  <c r="O8" i="44"/>
  <c r="N7" i="44"/>
  <c r="T7" i="44"/>
  <c r="AE47" i="44"/>
  <c r="AE46" i="44"/>
  <c r="AD42" i="44"/>
  <c r="AD46" i="44"/>
  <c r="AD43" i="44"/>
  <c r="AD44" i="44"/>
  <c r="O30" i="44"/>
  <c r="O35" i="44"/>
  <c r="O32" i="44"/>
  <c r="O31" i="44"/>
  <c r="O33" i="44"/>
  <c r="AI9" i="44"/>
  <c r="N46" i="44"/>
  <c r="T34" i="44"/>
  <c r="T35" i="44"/>
  <c r="T31" i="44"/>
  <c r="W8" i="44"/>
  <c r="AC9" i="44"/>
  <c r="U8" i="44"/>
  <c r="N8" i="44"/>
  <c r="AF35" i="44"/>
  <c r="AF32" i="44"/>
  <c r="AF30" i="44"/>
  <c r="AF31" i="44"/>
  <c r="AF33" i="44"/>
  <c r="J8" i="44"/>
  <c r="P8" i="44"/>
  <c r="AB8" i="44"/>
  <c r="AJ11" i="44"/>
  <c r="X47" i="44"/>
  <c r="AG31" i="44"/>
  <c r="O34" i="44"/>
  <c r="T11" i="44"/>
  <c r="V8" i="44"/>
  <c r="S8" i="44"/>
  <c r="X11" i="44"/>
  <c r="X44" i="44"/>
  <c r="AJ7" i="44"/>
  <c r="R11" i="44"/>
  <c r="R6" i="44"/>
  <c r="T8" i="44"/>
  <c r="AC8" i="44"/>
  <c r="AH11" i="44"/>
  <c r="AD45" i="44"/>
  <c r="AG33" i="44"/>
  <c r="S44" i="44"/>
  <c r="AE45" i="44"/>
  <c r="O7" i="44"/>
  <c r="X43" i="44"/>
  <c r="X46" i="44"/>
  <c r="J47" i="44"/>
  <c r="J43" i="44"/>
  <c r="J44" i="44"/>
  <c r="J42" i="44"/>
  <c r="J45" i="44"/>
  <c r="J46" i="44"/>
  <c r="Z8" i="44"/>
  <c r="M8" i="44"/>
  <c r="AA8" i="44"/>
  <c r="X8" i="44"/>
  <c r="S9" i="44"/>
  <c r="AI8" i="44"/>
  <c r="X42" i="44"/>
  <c r="S7" i="44"/>
  <c r="Y6" i="44"/>
  <c r="Y8" i="44"/>
  <c r="Y11" i="44"/>
  <c r="S42" i="44"/>
  <c r="L9" i="44"/>
  <c r="R7" i="44"/>
  <c r="L35" i="44"/>
  <c r="AE30" i="44"/>
  <c r="AE33" i="44"/>
  <c r="AE34" i="44"/>
  <c r="R8" i="44"/>
  <c r="AF8" i="44"/>
  <c r="N42" i="44"/>
  <c r="AH9" i="44"/>
  <c r="X9" i="44"/>
  <c r="AF11" i="44"/>
  <c r="AA6" i="44"/>
  <c r="K8" i="44"/>
  <c r="AI11" i="44"/>
  <c r="AD47" i="44"/>
  <c r="X30" i="44"/>
  <c r="AG30" i="44"/>
  <c r="P32" i="44"/>
  <c r="P30" i="44"/>
  <c r="P34" i="44"/>
  <c r="P31" i="44"/>
  <c r="P33" i="44"/>
  <c r="P35" i="44"/>
  <c r="AC11" i="44"/>
  <c r="AG32" i="44"/>
  <c r="AE7" i="44"/>
  <c r="AC6" i="44"/>
  <c r="AD8" i="44"/>
  <c r="Q11" i="44"/>
  <c r="J11" i="44"/>
  <c r="N43" i="44"/>
  <c r="AG7" i="44"/>
  <c r="AE31" i="44"/>
  <c r="U31" i="44"/>
  <c r="T30" i="44"/>
  <c r="AH34" i="44"/>
  <c r="AH32" i="44"/>
  <c r="AH31" i="44"/>
  <c r="AH33" i="44"/>
  <c r="AH35" i="44"/>
  <c r="V30" i="44"/>
  <c r="V32" i="44"/>
  <c r="V33" i="44"/>
  <c r="V35" i="44"/>
  <c r="P44" i="44"/>
  <c r="P43" i="44"/>
  <c r="P42" i="44"/>
  <c r="P45" i="44"/>
  <c r="I19" i="48"/>
  <c r="AI17" i="48"/>
  <c r="W17" i="48"/>
  <c r="K17" i="48"/>
  <c r="I23" i="48"/>
  <c r="Z17" i="48"/>
  <c r="Y17" i="48"/>
  <c r="X17" i="48"/>
  <c r="AH17" i="48"/>
  <c r="V17" i="48"/>
  <c r="J17" i="48"/>
  <c r="I22" i="48"/>
  <c r="AG17" i="48"/>
  <c r="U17" i="48"/>
  <c r="AF17" i="48"/>
  <c r="T17" i="48"/>
  <c r="AA17" i="48"/>
  <c r="I18" i="48"/>
  <c r="AE17" i="48"/>
  <c r="S17" i="48"/>
  <c r="I20" i="48"/>
  <c r="AD17" i="48"/>
  <c r="R17" i="48"/>
  <c r="AJ17" i="48"/>
  <c r="AC17" i="48"/>
  <c r="Q17" i="48"/>
  <c r="AB17" i="48"/>
  <c r="P17" i="48"/>
  <c r="O17" i="48"/>
  <c r="N17" i="48"/>
  <c r="M17" i="48"/>
  <c r="I21" i="48"/>
  <c r="L17" i="48"/>
  <c r="I45" i="48"/>
  <c r="AC41" i="48"/>
  <c r="Q41" i="48"/>
  <c r="AJ41" i="48"/>
  <c r="U41" i="48"/>
  <c r="AF41" i="48"/>
  <c r="S41" i="48"/>
  <c r="R41" i="48"/>
  <c r="AB41" i="48"/>
  <c r="P41" i="48"/>
  <c r="AA41" i="48"/>
  <c r="O41" i="48"/>
  <c r="Z41" i="48"/>
  <c r="N41" i="48"/>
  <c r="AG41" i="48"/>
  <c r="I43" i="48"/>
  <c r="I42" i="48"/>
  <c r="Y41" i="48"/>
  <c r="M41" i="48"/>
  <c r="X41" i="48"/>
  <c r="I46" i="48"/>
  <c r="AE41" i="48"/>
  <c r="AD41" i="48"/>
  <c r="L41" i="48"/>
  <c r="I47" i="48"/>
  <c r="AI41" i="48"/>
  <c r="W41" i="48"/>
  <c r="K41" i="48"/>
  <c r="I44" i="48"/>
  <c r="AH41" i="48"/>
  <c r="V41" i="48"/>
  <c r="J41" i="48"/>
  <c r="T41" i="48"/>
  <c r="I7" i="48"/>
  <c r="AD5" i="48"/>
  <c r="R5" i="48"/>
  <c r="J5" i="48"/>
  <c r="AC5" i="48"/>
  <c r="Q5" i="48"/>
  <c r="I11" i="48"/>
  <c r="AB5" i="48"/>
  <c r="P5" i="48"/>
  <c r="AA5" i="48"/>
  <c r="O5" i="48"/>
  <c r="Y5" i="48"/>
  <c r="AH5" i="48"/>
  <c r="I8" i="48"/>
  <c r="S5" i="48"/>
  <c r="I6" i="48"/>
  <c r="Z5" i="48"/>
  <c r="N5" i="48"/>
  <c r="I10" i="48"/>
  <c r="M5" i="48"/>
  <c r="V5" i="48"/>
  <c r="U5" i="48"/>
  <c r="T5" i="48"/>
  <c r="AJ5" i="48"/>
  <c r="X5" i="48"/>
  <c r="L5" i="48"/>
  <c r="I9" i="48"/>
  <c r="AI5" i="48"/>
  <c r="W5" i="48"/>
  <c r="K5" i="48"/>
  <c r="AG5" i="48"/>
  <c r="AF5" i="48"/>
  <c r="AE5" i="48"/>
  <c r="AH29" i="48"/>
  <c r="V29" i="48"/>
  <c r="J29" i="48"/>
  <c r="M29" i="48"/>
  <c r="I34" i="48"/>
  <c r="I35" i="48"/>
  <c r="I31" i="48"/>
  <c r="AG29" i="48"/>
  <c r="U29" i="48"/>
  <c r="Q29" i="48"/>
  <c r="AF29" i="48"/>
  <c r="T29" i="48"/>
  <c r="AC29" i="48"/>
  <c r="I33" i="48"/>
  <c r="AE29" i="48"/>
  <c r="S29" i="48"/>
  <c r="N29" i="48"/>
  <c r="Y29" i="48"/>
  <c r="X29" i="48"/>
  <c r="W29" i="48"/>
  <c r="AD29" i="48"/>
  <c r="R29" i="48"/>
  <c r="Z29" i="48"/>
  <c r="I32" i="48"/>
  <c r="AJ29" i="48"/>
  <c r="K29" i="48"/>
  <c r="AB29" i="48"/>
  <c r="P29" i="48"/>
  <c r="AA29" i="48"/>
  <c r="O29" i="48"/>
  <c r="I30" i="48"/>
  <c r="L29" i="48"/>
  <c r="AI29" i="48"/>
  <c r="Z22" i="46"/>
  <c r="Z23" i="46"/>
  <c r="Z21" i="46"/>
  <c r="Z20" i="46"/>
  <c r="Z18" i="46"/>
  <c r="Z19" i="46"/>
  <c r="R22" i="46"/>
  <c r="R19" i="46"/>
  <c r="R23" i="46"/>
  <c r="R18" i="46"/>
  <c r="R20" i="46"/>
  <c r="R21" i="46"/>
  <c r="AI22" i="46"/>
  <c r="AI20" i="46"/>
  <c r="AI19" i="46"/>
  <c r="AI21" i="46"/>
  <c r="AI18" i="46"/>
  <c r="AI23" i="46"/>
  <c r="AJ5" i="46"/>
  <c r="X5" i="46"/>
  <c r="L5" i="46"/>
  <c r="AF5" i="46"/>
  <c r="T5" i="46"/>
  <c r="AD5" i="46"/>
  <c r="I7" i="46"/>
  <c r="Q5" i="46"/>
  <c r="AB5" i="46"/>
  <c r="P5" i="46"/>
  <c r="I8" i="46"/>
  <c r="AI5" i="46"/>
  <c r="W5" i="46"/>
  <c r="K5" i="46"/>
  <c r="AH5" i="46"/>
  <c r="V5" i="46"/>
  <c r="J5" i="46"/>
  <c r="AG5" i="46"/>
  <c r="U5" i="46"/>
  <c r="R5" i="46"/>
  <c r="AC5" i="46"/>
  <c r="I10" i="46"/>
  <c r="I11" i="46"/>
  <c r="AE5" i="46"/>
  <c r="S5" i="46"/>
  <c r="AA5" i="46"/>
  <c r="O5" i="46"/>
  <c r="I6" i="46"/>
  <c r="Z5" i="46"/>
  <c r="N5" i="46"/>
  <c r="I9" i="46"/>
  <c r="Y5" i="46"/>
  <c r="M5" i="46"/>
  <c r="AD22" i="46"/>
  <c r="AD21" i="46"/>
  <c r="AD23" i="46"/>
  <c r="AD18" i="46"/>
  <c r="AD19" i="46"/>
  <c r="AD20" i="46"/>
  <c r="J23" i="46"/>
  <c r="J20" i="46"/>
  <c r="J18" i="46"/>
  <c r="J19" i="46"/>
  <c r="J22" i="46"/>
  <c r="J21" i="46"/>
  <c r="AG23" i="46"/>
  <c r="AG20" i="46"/>
  <c r="AG21" i="46"/>
  <c r="AG22" i="46"/>
  <c r="AG18" i="46"/>
  <c r="AG19" i="46"/>
  <c r="AJ22" i="46"/>
  <c r="AJ18" i="46"/>
  <c r="AJ23" i="46"/>
  <c r="AJ20" i="46"/>
  <c r="AJ19" i="46"/>
  <c r="AJ21" i="46"/>
  <c r="P21" i="46"/>
  <c r="P19" i="46"/>
  <c r="P22" i="46"/>
  <c r="P18" i="46"/>
  <c r="P23" i="46"/>
  <c r="P20" i="46"/>
  <c r="K22" i="46"/>
  <c r="K21" i="46"/>
  <c r="K18" i="46"/>
  <c r="K19" i="46"/>
  <c r="K20" i="46"/>
  <c r="K23" i="46"/>
  <c r="AD29" i="46"/>
  <c r="R29" i="46"/>
  <c r="I34" i="46"/>
  <c r="I32" i="46"/>
  <c r="I30" i="46"/>
  <c r="Z29" i="46"/>
  <c r="W29" i="46"/>
  <c r="K29" i="46"/>
  <c r="V29" i="46"/>
  <c r="AC29" i="46"/>
  <c r="Q29" i="46"/>
  <c r="L29" i="46"/>
  <c r="AB29" i="46"/>
  <c r="P29" i="46"/>
  <c r="N29" i="46"/>
  <c r="AJ29" i="46"/>
  <c r="AA29" i="46"/>
  <c r="O29" i="46"/>
  <c r="X29" i="46"/>
  <c r="AI29" i="46"/>
  <c r="I33" i="46"/>
  <c r="AH29" i="46"/>
  <c r="J29" i="46"/>
  <c r="Y29" i="46"/>
  <c r="M29" i="46"/>
  <c r="AG29" i="46"/>
  <c r="U29" i="46"/>
  <c r="AF29" i="46"/>
  <c r="T29" i="46"/>
  <c r="I35" i="46"/>
  <c r="I31" i="46"/>
  <c r="AE29" i="46"/>
  <c r="S29" i="46"/>
  <c r="AA23" i="46"/>
  <c r="AA22" i="46"/>
  <c r="AA19" i="46"/>
  <c r="AA21" i="46"/>
  <c r="AA18" i="46"/>
  <c r="AA20" i="46"/>
  <c r="V23" i="46"/>
  <c r="V18" i="46"/>
  <c r="V21" i="46"/>
  <c r="V22" i="46"/>
  <c r="V19" i="46"/>
  <c r="V20" i="46"/>
  <c r="L22" i="46"/>
  <c r="L18" i="46"/>
  <c r="L23" i="46"/>
  <c r="L20" i="46"/>
  <c r="L19" i="46"/>
  <c r="L21" i="46"/>
  <c r="AB21" i="46"/>
  <c r="AB23" i="46"/>
  <c r="AB22" i="46"/>
  <c r="AB20" i="46"/>
  <c r="AB18" i="46"/>
  <c r="AB19" i="46"/>
  <c r="AH23" i="46"/>
  <c r="AH22" i="46"/>
  <c r="AH18" i="46"/>
  <c r="AH19" i="46"/>
  <c r="AH20" i="46"/>
  <c r="AH21" i="46"/>
  <c r="X22" i="46"/>
  <c r="X18" i="46"/>
  <c r="X20" i="46"/>
  <c r="X19" i="46"/>
  <c r="X23" i="46"/>
  <c r="X21" i="46"/>
  <c r="AC21" i="46"/>
  <c r="AC23" i="46"/>
  <c r="AC22" i="46"/>
  <c r="AC18" i="46"/>
  <c r="AC19" i="46"/>
  <c r="AC20" i="46"/>
  <c r="O19" i="46"/>
  <c r="O22" i="46"/>
  <c r="O18" i="46"/>
  <c r="O21" i="46"/>
  <c r="O20" i="46"/>
  <c r="O23" i="46"/>
  <c r="M23" i="46"/>
  <c r="M18" i="46"/>
  <c r="M22" i="46"/>
  <c r="M19" i="46"/>
  <c r="M20" i="46"/>
  <c r="M21" i="46"/>
  <c r="T20" i="46"/>
  <c r="T18" i="46"/>
  <c r="T19" i="46"/>
  <c r="T23" i="46"/>
  <c r="T21" i="46"/>
  <c r="T22" i="46"/>
  <c r="Q21" i="46"/>
  <c r="Q19" i="46"/>
  <c r="Q20" i="46"/>
  <c r="Q18" i="46"/>
  <c r="Q22" i="46"/>
  <c r="Q23" i="46"/>
  <c r="W22" i="46"/>
  <c r="W18" i="46"/>
  <c r="W20" i="46"/>
  <c r="W19" i="46"/>
  <c r="W21" i="46"/>
  <c r="W23" i="46"/>
  <c r="Y23" i="46"/>
  <c r="Y18" i="46"/>
  <c r="Y20" i="46"/>
  <c r="Y22" i="46"/>
  <c r="Y19" i="46"/>
  <c r="Y21" i="46"/>
  <c r="AF20" i="46"/>
  <c r="AF22" i="46"/>
  <c r="AF18" i="46"/>
  <c r="AF23" i="46"/>
  <c r="AF21" i="46"/>
  <c r="AF19" i="46"/>
  <c r="S18" i="46"/>
  <c r="S19" i="46"/>
  <c r="S22" i="46"/>
  <c r="S21" i="46"/>
  <c r="S23" i="46"/>
  <c r="S20" i="46"/>
  <c r="N19" i="46"/>
  <c r="N21" i="46"/>
  <c r="N23" i="46"/>
  <c r="N20" i="46"/>
  <c r="N22" i="46"/>
  <c r="N18" i="46"/>
  <c r="U23" i="46"/>
  <c r="U21" i="46"/>
  <c r="U20" i="46"/>
  <c r="U18" i="46"/>
  <c r="U19" i="46"/>
  <c r="U22" i="46"/>
  <c r="AE18" i="46"/>
  <c r="AE21" i="46"/>
  <c r="AE22" i="46"/>
  <c r="AE23" i="46"/>
  <c r="AE19" i="46"/>
  <c r="AE20" i="46"/>
  <c r="Y9" i="44"/>
  <c r="M6" i="44"/>
  <c r="AF9" i="44"/>
  <c r="S6" i="44"/>
  <c r="M9" i="44"/>
  <c r="AB6" i="44"/>
  <c r="T9" i="44"/>
  <c r="Q9" i="44"/>
  <c r="W6" i="44"/>
  <c r="AE9" i="44"/>
  <c r="AG8" i="44"/>
  <c r="AE8" i="44"/>
  <c r="T6" i="44"/>
  <c r="X6" i="44"/>
  <c r="N6" i="44"/>
  <c r="AE6" i="44"/>
  <c r="O6" i="44"/>
  <c r="K6" i="44"/>
  <c r="AF6" i="44"/>
  <c r="U6" i="44"/>
  <c r="Z6" i="44"/>
  <c r="P6" i="44"/>
  <c r="V6" i="44"/>
  <c r="AH6" i="44"/>
  <c r="J6" i="44"/>
  <c r="Q6" i="44"/>
  <c r="N9" i="44"/>
  <c r="AA9" i="44"/>
  <c r="V9" i="44"/>
  <c r="U9" i="44"/>
  <c r="AG9" i="44"/>
  <c r="J9" i="44"/>
  <c r="L6" i="44"/>
  <c r="AI6" i="44"/>
  <c r="L20" i="44"/>
  <c r="L18" i="44"/>
  <c r="L19" i="44"/>
  <c r="L21" i="44"/>
  <c r="L22" i="44"/>
  <c r="L23" i="44"/>
  <c r="V23" i="44"/>
  <c r="V19" i="44"/>
  <c r="V20" i="44"/>
  <c r="V21" i="44"/>
  <c r="V22" i="44"/>
  <c r="V18" i="44"/>
  <c r="Z23" i="44"/>
  <c r="Z18" i="44"/>
  <c r="Z19" i="44"/>
  <c r="Z21" i="44"/>
  <c r="Z20" i="44"/>
  <c r="Z22" i="44"/>
  <c r="T20" i="44"/>
  <c r="T22" i="44"/>
  <c r="T19" i="44"/>
  <c r="T21" i="44"/>
  <c r="T18" i="44"/>
  <c r="T23" i="44"/>
  <c r="K18" i="44"/>
  <c r="K19" i="44"/>
  <c r="K22" i="44"/>
  <c r="K23" i="44"/>
  <c r="K20" i="44"/>
  <c r="K21" i="44"/>
  <c r="Q22" i="44"/>
  <c r="Q19" i="44"/>
  <c r="Q20" i="44"/>
  <c r="Q21" i="44"/>
  <c r="Q23" i="44"/>
  <c r="Q18" i="44"/>
  <c r="X20" i="44"/>
  <c r="X22" i="44"/>
  <c r="X19" i="44"/>
  <c r="X23" i="44"/>
  <c r="X21" i="44"/>
  <c r="X18" i="44"/>
  <c r="N21" i="44"/>
  <c r="N19" i="44"/>
  <c r="N22" i="44"/>
  <c r="N18" i="44"/>
  <c r="N20" i="44"/>
  <c r="N23" i="44"/>
  <c r="AH23" i="44"/>
  <c r="AH18" i="44"/>
  <c r="AH21" i="44"/>
  <c r="AH19" i="44"/>
  <c r="AH20" i="44"/>
  <c r="AH22" i="44"/>
  <c r="AA22" i="44"/>
  <c r="AA23" i="44"/>
  <c r="AA20" i="44"/>
  <c r="AA18" i="44"/>
  <c r="AA19" i="44"/>
  <c r="AA21" i="44"/>
  <c r="AF19" i="44"/>
  <c r="AF20" i="44"/>
  <c r="AF23" i="44"/>
  <c r="AF18" i="44"/>
  <c r="AF22" i="44"/>
  <c r="AF21" i="44"/>
  <c r="AD21" i="44"/>
  <c r="AD22" i="44"/>
  <c r="AD23" i="44"/>
  <c r="AD18" i="44"/>
  <c r="AD19" i="44"/>
  <c r="AD20" i="44"/>
  <c r="AJ20" i="44"/>
  <c r="AJ22" i="44"/>
  <c r="AJ18" i="44"/>
  <c r="AJ19" i="44"/>
  <c r="AJ23" i="44"/>
  <c r="AJ21" i="44"/>
  <c r="U21" i="44"/>
  <c r="U22" i="44"/>
  <c r="U20" i="44"/>
  <c r="U23" i="44"/>
  <c r="U19" i="44"/>
  <c r="U18" i="44"/>
  <c r="W21" i="44"/>
  <c r="W18" i="44"/>
  <c r="W19" i="44"/>
  <c r="W23" i="44"/>
  <c r="W22" i="44"/>
  <c r="W20" i="44"/>
  <c r="O22" i="44"/>
  <c r="O19" i="44"/>
  <c r="O21" i="44"/>
  <c r="O20" i="44"/>
  <c r="O23" i="44"/>
  <c r="O18" i="44"/>
  <c r="M22" i="44"/>
  <c r="M19" i="44"/>
  <c r="M21" i="44"/>
  <c r="M20" i="44"/>
  <c r="M23" i="44"/>
  <c r="M18" i="44"/>
  <c r="P23" i="44"/>
  <c r="P18" i="44"/>
  <c r="P19" i="44"/>
  <c r="P20" i="44"/>
  <c r="P21" i="44"/>
  <c r="P22" i="44"/>
  <c r="AC18" i="44"/>
  <c r="AC22" i="44"/>
  <c r="AC23" i="44"/>
  <c r="AC20" i="44"/>
  <c r="AC19" i="44"/>
  <c r="AC21" i="44"/>
  <c r="Y21" i="44"/>
  <c r="Y23" i="44"/>
  <c r="Y20" i="44"/>
  <c r="Y22" i="44"/>
  <c r="Y18" i="44"/>
  <c r="Y19" i="44"/>
  <c r="R21" i="44"/>
  <c r="R19" i="44"/>
  <c r="R20" i="44"/>
  <c r="R18" i="44"/>
  <c r="R22" i="44"/>
  <c r="R23" i="44"/>
  <c r="S21" i="44"/>
  <c r="S18" i="44"/>
  <c r="S19" i="44"/>
  <c r="S20" i="44"/>
  <c r="S23" i="44"/>
  <c r="S22" i="44"/>
  <c r="AB21" i="44"/>
  <c r="AB23" i="44"/>
  <c r="AB18" i="44"/>
  <c r="AB22" i="44"/>
  <c r="AB19" i="44"/>
  <c r="AB20" i="44"/>
  <c r="AG19" i="44"/>
  <c r="AG22" i="44"/>
  <c r="AG20" i="44"/>
  <c r="AG18" i="44"/>
  <c r="AG23" i="44"/>
  <c r="AG21" i="44"/>
  <c r="AJ6" i="44"/>
  <c r="AE18" i="44"/>
  <c r="AE22" i="44"/>
  <c r="AE23" i="44"/>
  <c r="AE19" i="44"/>
  <c r="AE21" i="44"/>
  <c r="AE20" i="44"/>
  <c r="J23" i="44"/>
  <c r="J21" i="44"/>
  <c r="J20" i="44"/>
  <c r="J19" i="44"/>
  <c r="J22" i="44"/>
  <c r="J18" i="44"/>
  <c r="AI18" i="44"/>
  <c r="AI21" i="44"/>
  <c r="AI23" i="44"/>
  <c r="AI19" i="44"/>
  <c r="AI20" i="44"/>
  <c r="AI22" i="44"/>
  <c r="U33" i="48" l="1"/>
  <c r="U30" i="48"/>
  <c r="U32" i="48"/>
  <c r="U34" i="48"/>
  <c r="U35" i="48"/>
  <c r="U31" i="48"/>
  <c r="W47" i="48"/>
  <c r="W42" i="48"/>
  <c r="W46" i="48"/>
  <c r="W45" i="48"/>
  <c r="W43" i="48"/>
  <c r="W44" i="48"/>
  <c r="Q45" i="48"/>
  <c r="Q46" i="48"/>
  <c r="Q44" i="48"/>
  <c r="Q42" i="48"/>
  <c r="Q43" i="48"/>
  <c r="Q47" i="48"/>
  <c r="AJ23" i="48"/>
  <c r="AJ19" i="48"/>
  <c r="AJ18" i="48"/>
  <c r="AJ22" i="48"/>
  <c r="AJ21" i="48"/>
  <c r="AJ20" i="48"/>
  <c r="L31" i="48"/>
  <c r="L30" i="48"/>
  <c r="L34" i="48"/>
  <c r="L32" i="48"/>
  <c r="L33" i="48"/>
  <c r="L35" i="48"/>
  <c r="W33" i="48"/>
  <c r="W32" i="48"/>
  <c r="W35" i="48"/>
  <c r="W31" i="48"/>
  <c r="W34" i="48"/>
  <c r="W30" i="48"/>
  <c r="AG32" i="48"/>
  <c r="AG35" i="48"/>
  <c r="AG33" i="48"/>
  <c r="AG34" i="48"/>
  <c r="AG31" i="48"/>
  <c r="AG30" i="48"/>
  <c r="AI47" i="48"/>
  <c r="AI42" i="48"/>
  <c r="AI43" i="48"/>
  <c r="AI44" i="48"/>
  <c r="AI46" i="48"/>
  <c r="AI45" i="48"/>
  <c r="N47" i="48"/>
  <c r="N42" i="48"/>
  <c r="N44" i="48"/>
  <c r="N45" i="48"/>
  <c r="N46" i="48"/>
  <c r="N43" i="48"/>
  <c r="AC44" i="48"/>
  <c r="AC43" i="48"/>
  <c r="AC47" i="48"/>
  <c r="AC45" i="48"/>
  <c r="AC46" i="48"/>
  <c r="AC42" i="48"/>
  <c r="R19" i="48"/>
  <c r="R20" i="48"/>
  <c r="R22" i="48"/>
  <c r="R23" i="48"/>
  <c r="R18" i="48"/>
  <c r="R21" i="48"/>
  <c r="J23" i="48"/>
  <c r="J22" i="48"/>
  <c r="J19" i="48"/>
  <c r="J18" i="48"/>
  <c r="J20" i="48"/>
  <c r="J21" i="48"/>
  <c r="AG47" i="48"/>
  <c r="AG42" i="48"/>
  <c r="AG43" i="48"/>
  <c r="AG46" i="48"/>
  <c r="AG45" i="48"/>
  <c r="AG44" i="48"/>
  <c r="X32" i="48"/>
  <c r="X34" i="48"/>
  <c r="X31" i="48"/>
  <c r="X33" i="48"/>
  <c r="X30" i="48"/>
  <c r="X35" i="48"/>
  <c r="AG6" i="48"/>
  <c r="N6" i="48"/>
  <c r="V6" i="48"/>
  <c r="Q6" i="48"/>
  <c r="O6" i="48"/>
  <c r="M6" i="48"/>
  <c r="AJ6" i="48"/>
  <c r="L6" i="48"/>
  <c r="AI6" i="48"/>
  <c r="J6" i="48"/>
  <c r="AH6" i="48"/>
  <c r="AA6" i="48"/>
  <c r="Y6" i="48"/>
  <c r="X6" i="48"/>
  <c r="W6" i="48"/>
  <c r="K6" i="48"/>
  <c r="AC6" i="48"/>
  <c r="S6" i="48"/>
  <c r="U6" i="48"/>
  <c r="R6" i="48"/>
  <c r="AE6" i="48"/>
  <c r="P6" i="48"/>
  <c r="AD6" i="48"/>
  <c r="T6" i="48"/>
  <c r="Z6" i="48"/>
  <c r="AB6" i="48"/>
  <c r="AF6" i="48"/>
  <c r="Z45" i="48"/>
  <c r="Z42" i="48"/>
  <c r="Z44" i="48"/>
  <c r="Z47" i="48"/>
  <c r="Z43" i="48"/>
  <c r="Z46" i="48"/>
  <c r="AD19" i="48"/>
  <c r="AD22" i="48"/>
  <c r="AD23" i="48"/>
  <c r="AD20" i="48"/>
  <c r="AD21" i="48"/>
  <c r="AD18" i="48"/>
  <c r="V23" i="48"/>
  <c r="V18" i="48"/>
  <c r="V19" i="48"/>
  <c r="V21" i="48"/>
  <c r="V20" i="48"/>
  <c r="V22" i="48"/>
  <c r="AH23" i="48"/>
  <c r="AH22" i="48"/>
  <c r="AH21" i="48"/>
  <c r="AH18" i="48"/>
  <c r="AH19" i="48"/>
  <c r="AH20" i="48"/>
  <c r="AE47" i="48"/>
  <c r="AE42" i="48"/>
  <c r="AE45" i="48"/>
  <c r="AE44" i="48"/>
  <c r="AE43" i="48"/>
  <c r="AE46" i="48"/>
  <c r="X23" i="48"/>
  <c r="X19" i="48"/>
  <c r="X18" i="48"/>
  <c r="X22" i="48"/>
  <c r="X21" i="48"/>
  <c r="X20" i="48"/>
  <c r="Z22" i="48"/>
  <c r="Z23" i="48"/>
  <c r="Z20" i="48"/>
  <c r="Z18" i="48"/>
  <c r="Z19" i="48"/>
  <c r="Z21" i="48"/>
  <c r="AI33" i="48"/>
  <c r="AI34" i="48"/>
  <c r="AI32" i="48"/>
  <c r="AI35" i="48"/>
  <c r="AI30" i="48"/>
  <c r="AI31" i="48"/>
  <c r="O35" i="48"/>
  <c r="O31" i="48"/>
  <c r="O34" i="48"/>
  <c r="O30" i="48"/>
  <c r="O32" i="48"/>
  <c r="O33" i="48"/>
  <c r="AD9" i="48"/>
  <c r="W9" i="48"/>
  <c r="V9" i="48"/>
  <c r="T9" i="48"/>
  <c r="S9" i="48"/>
  <c r="L9" i="48"/>
  <c r="X9" i="48"/>
  <c r="N9" i="48"/>
  <c r="AH9" i="48"/>
  <c r="AE9" i="48"/>
  <c r="Z9" i="48"/>
  <c r="J9" i="48"/>
  <c r="AJ9" i="48"/>
  <c r="AI9" i="48"/>
  <c r="P9" i="48"/>
  <c r="R9" i="48"/>
  <c r="K9" i="48"/>
  <c r="AB9" i="48"/>
  <c r="Q9" i="48"/>
  <c r="U9" i="48"/>
  <c r="M9" i="48"/>
  <c r="O9" i="48"/>
  <c r="AC9" i="48"/>
  <c r="AF9" i="48"/>
  <c r="AG9" i="48"/>
  <c r="Y9" i="48"/>
  <c r="AA9" i="48"/>
  <c r="O46" i="48"/>
  <c r="O43" i="48"/>
  <c r="O47" i="48"/>
  <c r="O45" i="48"/>
  <c r="O44" i="48"/>
  <c r="O42" i="48"/>
  <c r="AA34" i="48"/>
  <c r="AA31" i="48"/>
  <c r="AA33" i="48"/>
  <c r="AA32" i="48"/>
  <c r="AA35" i="48"/>
  <c r="AA30" i="48"/>
  <c r="AG8" i="48"/>
  <c r="W8" i="48"/>
  <c r="Y8" i="48"/>
  <c r="N8" i="48"/>
  <c r="AJ8" i="48"/>
  <c r="K8" i="48"/>
  <c r="AB8" i="48"/>
  <c r="AD8" i="48"/>
  <c r="S8" i="48"/>
  <c r="O8" i="48"/>
  <c r="R8" i="48"/>
  <c r="L8" i="48"/>
  <c r="AC8" i="48"/>
  <c r="AH8" i="48"/>
  <c r="U8" i="48"/>
  <c r="T8" i="48"/>
  <c r="Z8" i="48"/>
  <c r="P8" i="48"/>
  <c r="J8" i="48"/>
  <c r="M8" i="48"/>
  <c r="AF8" i="48"/>
  <c r="X8" i="48"/>
  <c r="AA8" i="48"/>
  <c r="Q8" i="48"/>
  <c r="AI8" i="48"/>
  <c r="AE8" i="48"/>
  <c r="V8" i="48"/>
  <c r="AA46" i="48"/>
  <c r="AA47" i="48"/>
  <c r="AA45" i="48"/>
  <c r="AA44" i="48"/>
  <c r="AA43" i="48"/>
  <c r="AA42" i="48"/>
  <c r="P30" i="48"/>
  <c r="P31" i="48"/>
  <c r="P32" i="48"/>
  <c r="P33" i="48"/>
  <c r="P35" i="48"/>
  <c r="P34" i="48"/>
  <c r="AE21" i="48"/>
  <c r="AE23" i="48"/>
  <c r="AE18" i="48"/>
  <c r="AE19" i="48"/>
  <c r="AE20" i="48"/>
  <c r="AE22" i="48"/>
  <c r="AE34" i="48"/>
  <c r="AE31" i="48"/>
  <c r="AE30" i="48"/>
  <c r="AE32" i="48"/>
  <c r="AE33" i="48"/>
  <c r="AE35" i="48"/>
  <c r="N20" i="48"/>
  <c r="N22" i="48"/>
  <c r="N18" i="48"/>
  <c r="N19" i="48"/>
  <c r="N23" i="48"/>
  <c r="N21" i="48"/>
  <c r="K33" i="48"/>
  <c r="K34" i="48"/>
  <c r="K30" i="48"/>
  <c r="K35" i="48"/>
  <c r="K31" i="48"/>
  <c r="K32" i="48"/>
  <c r="V35" i="48"/>
  <c r="V32" i="48"/>
  <c r="V34" i="48"/>
  <c r="V30" i="48"/>
  <c r="V31" i="48"/>
  <c r="V33" i="48"/>
  <c r="J47" i="48"/>
  <c r="J45" i="48"/>
  <c r="J46" i="48"/>
  <c r="J43" i="48"/>
  <c r="J44" i="48"/>
  <c r="J42" i="48"/>
  <c r="X47" i="48"/>
  <c r="X46" i="48"/>
  <c r="X44" i="48"/>
  <c r="X43" i="48"/>
  <c r="X45" i="48"/>
  <c r="X42" i="48"/>
  <c r="R47" i="48"/>
  <c r="R43" i="48"/>
  <c r="R44" i="48"/>
  <c r="R46" i="48"/>
  <c r="R45" i="48"/>
  <c r="R42" i="48"/>
  <c r="O22" i="48"/>
  <c r="O23" i="48"/>
  <c r="O18" i="48"/>
  <c r="O21" i="48"/>
  <c r="O20" i="48"/>
  <c r="O19" i="48"/>
  <c r="AA22" i="48"/>
  <c r="AA23" i="48"/>
  <c r="AA20" i="48"/>
  <c r="AA18" i="48"/>
  <c r="AA21" i="48"/>
  <c r="AA19" i="48"/>
  <c r="L47" i="48"/>
  <c r="L42" i="48"/>
  <c r="L43" i="48"/>
  <c r="L45" i="48"/>
  <c r="L46" i="48"/>
  <c r="L44" i="48"/>
  <c r="S34" i="48"/>
  <c r="S33" i="48"/>
  <c r="S32" i="48"/>
  <c r="S35" i="48"/>
  <c r="S31" i="48"/>
  <c r="S30" i="48"/>
  <c r="Y22" i="48"/>
  <c r="Y23" i="48"/>
  <c r="Y18" i="48"/>
  <c r="Y21" i="48"/>
  <c r="Y20" i="48"/>
  <c r="Y19" i="48"/>
  <c r="J35" i="48"/>
  <c r="J34" i="48"/>
  <c r="J30" i="48"/>
  <c r="J31" i="48"/>
  <c r="J33" i="48"/>
  <c r="J32" i="48"/>
  <c r="AB44" i="48"/>
  <c r="AB42" i="48"/>
  <c r="AB47" i="48"/>
  <c r="AB46" i="48"/>
  <c r="AB43" i="48"/>
  <c r="AB45" i="48"/>
  <c r="AJ30" i="48"/>
  <c r="AJ31" i="48"/>
  <c r="AJ33" i="48"/>
  <c r="AJ35" i="48"/>
  <c r="AJ32" i="48"/>
  <c r="AJ34" i="48"/>
  <c r="AC31" i="48"/>
  <c r="AC30" i="48"/>
  <c r="AC35" i="48"/>
  <c r="AC33" i="48"/>
  <c r="AC32" i="48"/>
  <c r="AC34" i="48"/>
  <c r="AH30" i="48"/>
  <c r="AH35" i="48"/>
  <c r="AH32" i="48"/>
  <c r="AH34" i="48"/>
  <c r="AH33" i="48"/>
  <c r="AH31" i="48"/>
  <c r="V47" i="48"/>
  <c r="V45" i="48"/>
  <c r="V44" i="48"/>
  <c r="V43" i="48"/>
  <c r="V42" i="48"/>
  <c r="V46" i="48"/>
  <c r="M42" i="48"/>
  <c r="M44" i="48"/>
  <c r="M45" i="48"/>
  <c r="M46" i="48"/>
  <c r="M43" i="48"/>
  <c r="M47" i="48"/>
  <c r="S44" i="48"/>
  <c r="S43" i="48"/>
  <c r="S46" i="48"/>
  <c r="S47" i="48"/>
  <c r="S45" i="48"/>
  <c r="S42" i="48"/>
  <c r="P22" i="48"/>
  <c r="P23" i="48"/>
  <c r="P18" i="48"/>
  <c r="P21" i="48"/>
  <c r="P19" i="48"/>
  <c r="P20" i="48"/>
  <c r="T21" i="48"/>
  <c r="T23" i="48"/>
  <c r="T22" i="48"/>
  <c r="T18" i="48"/>
  <c r="T20" i="48"/>
  <c r="T19" i="48"/>
  <c r="K23" i="48"/>
  <c r="K21" i="48"/>
  <c r="K18" i="48"/>
  <c r="K19" i="48"/>
  <c r="K20" i="48"/>
  <c r="K22" i="48"/>
  <c r="AD34" i="48"/>
  <c r="AD35" i="48"/>
  <c r="AD33" i="48"/>
  <c r="AD31" i="48"/>
  <c r="AD32" i="48"/>
  <c r="AD30" i="48"/>
  <c r="L23" i="48"/>
  <c r="L22" i="48"/>
  <c r="L19" i="48"/>
  <c r="L21" i="48"/>
  <c r="L18" i="48"/>
  <c r="L20" i="48"/>
  <c r="S21" i="48"/>
  <c r="S19" i="48"/>
  <c r="S18" i="48"/>
  <c r="S23" i="48"/>
  <c r="S20" i="48"/>
  <c r="S22" i="48"/>
  <c r="M34" i="48"/>
  <c r="M35" i="48"/>
  <c r="M30" i="48"/>
  <c r="M31" i="48"/>
  <c r="M32" i="48"/>
  <c r="M33" i="48"/>
  <c r="M19" i="48"/>
  <c r="M20" i="48"/>
  <c r="M18" i="48"/>
  <c r="M21" i="48"/>
  <c r="M23" i="48"/>
  <c r="M22" i="48"/>
  <c r="AB33" i="48"/>
  <c r="AB30" i="48"/>
  <c r="AB31" i="48"/>
  <c r="AB35" i="48"/>
  <c r="AB32" i="48"/>
  <c r="AB34" i="48"/>
  <c r="T31" i="48"/>
  <c r="T33" i="48"/>
  <c r="T34" i="48"/>
  <c r="T30" i="48"/>
  <c r="T35" i="48"/>
  <c r="T32" i="48"/>
  <c r="AH47" i="48"/>
  <c r="AH42" i="48"/>
  <c r="AH45" i="48"/>
  <c r="AH43" i="48"/>
  <c r="AH46" i="48"/>
  <c r="AH44" i="48"/>
  <c r="Y45" i="48"/>
  <c r="Y42" i="48"/>
  <c r="Y44" i="48"/>
  <c r="Y46" i="48"/>
  <c r="Y43" i="48"/>
  <c r="Y47" i="48"/>
  <c r="AF45" i="48"/>
  <c r="AF43" i="48"/>
  <c r="AF46" i="48"/>
  <c r="AF42" i="48"/>
  <c r="AF47" i="48"/>
  <c r="AF44" i="48"/>
  <c r="AB22" i="48"/>
  <c r="AB23" i="48"/>
  <c r="AB20" i="48"/>
  <c r="AB18" i="48"/>
  <c r="AB19" i="48"/>
  <c r="AB21" i="48"/>
  <c r="AF21" i="48"/>
  <c r="AF23" i="48"/>
  <c r="AF22" i="48"/>
  <c r="AF20" i="48"/>
  <c r="AF18" i="48"/>
  <c r="AF19" i="48"/>
  <c r="W23" i="48"/>
  <c r="W22" i="48"/>
  <c r="W18" i="48"/>
  <c r="W21" i="48"/>
  <c r="W19" i="48"/>
  <c r="W20" i="48"/>
  <c r="AB7" i="48"/>
  <c r="Q7" i="48"/>
  <c r="J7" i="48"/>
  <c r="AH7" i="48"/>
  <c r="AC7" i="48"/>
  <c r="V7" i="48"/>
  <c r="L7" i="48"/>
  <c r="T7" i="48"/>
  <c r="R7" i="48"/>
  <c r="X7" i="48"/>
  <c r="AJ7" i="48"/>
  <c r="Y7" i="48"/>
  <c r="O7" i="48"/>
  <c r="AG7" i="48"/>
  <c r="AD7" i="48"/>
  <c r="K7" i="48"/>
  <c r="AA7" i="48"/>
  <c r="P7" i="48"/>
  <c r="AF7" i="48"/>
  <c r="S7" i="48"/>
  <c r="N7" i="48"/>
  <c r="W7" i="48"/>
  <c r="U7" i="48"/>
  <c r="M7" i="48"/>
  <c r="Z7" i="48"/>
  <c r="AE7" i="48"/>
  <c r="AI7" i="48"/>
  <c r="AF31" i="48"/>
  <c r="AF33" i="48"/>
  <c r="AF30" i="48"/>
  <c r="AF32" i="48"/>
  <c r="AF35" i="48"/>
  <c r="AF34" i="48"/>
  <c r="U47" i="48"/>
  <c r="U43" i="48"/>
  <c r="U46" i="48"/>
  <c r="U42" i="48"/>
  <c r="U44" i="48"/>
  <c r="U45" i="48"/>
  <c r="Q22" i="48"/>
  <c r="Q20" i="48"/>
  <c r="Q21" i="48"/>
  <c r="Q18" i="48"/>
  <c r="Q19" i="48"/>
  <c r="Q23" i="48"/>
  <c r="U21" i="48"/>
  <c r="U20" i="48"/>
  <c r="U18" i="48"/>
  <c r="U23" i="48"/>
  <c r="U19" i="48"/>
  <c r="U22" i="48"/>
  <c r="AI23" i="48"/>
  <c r="AI18" i="48"/>
  <c r="AI22" i="48"/>
  <c r="AI19" i="48"/>
  <c r="AI20" i="48"/>
  <c r="AI21" i="48"/>
  <c r="Y33" i="48"/>
  <c r="Y35" i="48"/>
  <c r="Y30" i="48"/>
  <c r="Y34" i="48"/>
  <c r="Y31" i="48"/>
  <c r="Y32" i="48"/>
  <c r="N31" i="48"/>
  <c r="N33" i="48"/>
  <c r="N35" i="48"/>
  <c r="N30" i="48"/>
  <c r="N34" i="48"/>
  <c r="N32" i="48"/>
  <c r="AD44" i="48"/>
  <c r="AD46" i="48"/>
  <c r="AD43" i="48"/>
  <c r="AD45" i="48"/>
  <c r="AD47" i="48"/>
  <c r="AD42" i="48"/>
  <c r="P45" i="48"/>
  <c r="P47" i="48"/>
  <c r="P44" i="48"/>
  <c r="P42" i="48"/>
  <c r="P46" i="48"/>
  <c r="P43" i="48"/>
  <c r="T45" i="48"/>
  <c r="T42" i="48"/>
  <c r="T47" i="48"/>
  <c r="T44" i="48"/>
  <c r="T43" i="48"/>
  <c r="T46" i="48"/>
  <c r="Z31" i="48"/>
  <c r="Z33" i="48"/>
  <c r="Z34" i="48"/>
  <c r="Z35" i="48"/>
  <c r="Z30" i="48"/>
  <c r="Z32" i="48"/>
  <c r="R34" i="48"/>
  <c r="R31" i="48"/>
  <c r="R32" i="48"/>
  <c r="R30" i="48"/>
  <c r="R33" i="48"/>
  <c r="R35" i="48"/>
  <c r="Q31" i="48"/>
  <c r="Q30" i="48"/>
  <c r="Q34" i="48"/>
  <c r="Q33" i="48"/>
  <c r="Q35" i="48"/>
  <c r="Q32" i="48"/>
  <c r="Y10" i="48"/>
  <c r="AE10" i="48"/>
  <c r="R10" i="48"/>
  <c r="P10" i="48"/>
  <c r="T10" i="48"/>
  <c r="J10" i="48"/>
  <c r="AI10" i="48"/>
  <c r="X10" i="48"/>
  <c r="AD10" i="48"/>
  <c r="AB10" i="48"/>
  <c r="AF10" i="48"/>
  <c r="V10" i="48"/>
  <c r="AJ10" i="48"/>
  <c r="N10" i="48"/>
  <c r="AH10" i="48"/>
  <c r="Q10" i="48"/>
  <c r="Z10" i="48"/>
  <c r="O10" i="48"/>
  <c r="S10" i="48"/>
  <c r="AA10" i="48"/>
  <c r="U10" i="48"/>
  <c r="M10" i="48"/>
  <c r="AC10" i="48"/>
  <c r="AG10" i="48"/>
  <c r="K10" i="48"/>
  <c r="W10" i="48"/>
  <c r="L10" i="48"/>
  <c r="AF11" i="48"/>
  <c r="T11" i="48"/>
  <c r="Z11" i="48"/>
  <c r="R11" i="48"/>
  <c r="N11" i="48"/>
  <c r="K11" i="48"/>
  <c r="O11" i="48"/>
  <c r="AD11" i="48"/>
  <c r="S11" i="48"/>
  <c r="W11" i="48"/>
  <c r="AA11" i="48"/>
  <c r="Q11" i="48"/>
  <c r="AE11" i="48"/>
  <c r="AH11" i="48"/>
  <c r="U11" i="48"/>
  <c r="AI11" i="48"/>
  <c r="AC11" i="48"/>
  <c r="L11" i="48"/>
  <c r="X11" i="48"/>
  <c r="AG11" i="48"/>
  <c r="V11" i="48"/>
  <c r="AJ11" i="48"/>
  <c r="J11" i="48"/>
  <c r="Y11" i="48"/>
  <c r="P11" i="48"/>
  <c r="M11" i="48"/>
  <c r="AB11" i="48"/>
  <c r="K47" i="48"/>
  <c r="K44" i="48"/>
  <c r="K45" i="48"/>
  <c r="K43" i="48"/>
  <c r="K46" i="48"/>
  <c r="K42" i="48"/>
  <c r="AJ47" i="48"/>
  <c r="AJ45" i="48"/>
  <c r="AJ46" i="48"/>
  <c r="AJ44" i="48"/>
  <c r="AJ43" i="48"/>
  <c r="AJ42" i="48"/>
  <c r="AC22" i="48"/>
  <c r="AC21" i="48"/>
  <c r="AC18" i="48"/>
  <c r="AC19" i="48"/>
  <c r="AC23" i="48"/>
  <c r="AC20" i="48"/>
  <c r="AG21" i="48"/>
  <c r="AG20" i="48"/>
  <c r="AG22" i="48"/>
  <c r="AG23" i="48"/>
  <c r="AG18" i="48"/>
  <c r="AG19" i="48"/>
  <c r="O30" i="46"/>
  <c r="O35" i="46"/>
  <c r="O32" i="46"/>
  <c r="O31" i="46"/>
  <c r="O33" i="46"/>
  <c r="O34" i="46"/>
  <c r="T32" i="46"/>
  <c r="T31" i="46"/>
  <c r="T35" i="46"/>
  <c r="T34" i="46"/>
  <c r="T30" i="46"/>
  <c r="T33" i="46"/>
  <c r="S31" i="46"/>
  <c r="S30" i="46"/>
  <c r="S33" i="46"/>
  <c r="S32" i="46"/>
  <c r="S34" i="46"/>
  <c r="S35" i="46"/>
  <c r="AE31" i="46"/>
  <c r="AE30" i="46"/>
  <c r="AE32" i="46"/>
  <c r="AE33" i="46"/>
  <c r="AE35" i="46"/>
  <c r="AE34" i="46"/>
  <c r="AI30" i="46"/>
  <c r="AI32" i="46"/>
  <c r="AI31" i="46"/>
  <c r="AI35" i="46"/>
  <c r="AI34" i="46"/>
  <c r="AI33" i="46"/>
  <c r="K30" i="46"/>
  <c r="K34" i="46"/>
  <c r="K32" i="46"/>
  <c r="K33" i="46"/>
  <c r="K31" i="46"/>
  <c r="K35" i="46"/>
  <c r="V33" i="46"/>
  <c r="V34" i="46"/>
  <c r="V30" i="46"/>
  <c r="V35" i="46"/>
  <c r="V31" i="46"/>
  <c r="V32" i="46"/>
  <c r="X31" i="46"/>
  <c r="X32" i="46"/>
  <c r="X35" i="46"/>
  <c r="X30" i="46"/>
  <c r="X34" i="46"/>
  <c r="X33" i="46"/>
  <c r="W32" i="46"/>
  <c r="W30" i="46"/>
  <c r="W33" i="46"/>
  <c r="W35" i="46"/>
  <c r="W34" i="46"/>
  <c r="W31" i="46"/>
  <c r="AD6" i="46"/>
  <c r="AF6" i="46"/>
  <c r="J6" i="46"/>
  <c r="M6" i="46"/>
  <c r="P6" i="46"/>
  <c r="Q6" i="46"/>
  <c r="AG6" i="46"/>
  <c r="Z6" i="46"/>
  <c r="R6" i="46"/>
  <c r="Y6" i="46"/>
  <c r="AB6" i="46"/>
  <c r="AC6" i="46"/>
  <c r="T6" i="46"/>
  <c r="K6" i="46"/>
  <c r="N6" i="46"/>
  <c r="AI6" i="46"/>
  <c r="U6" i="46"/>
  <c r="O6" i="46"/>
  <c r="L6" i="46"/>
  <c r="AA6" i="46"/>
  <c r="AJ6" i="46"/>
  <c r="S6" i="46"/>
  <c r="V6" i="46"/>
  <c r="X6" i="46"/>
  <c r="AE6" i="46"/>
  <c r="AH6" i="46"/>
  <c r="W6" i="46"/>
  <c r="AA31" i="46"/>
  <c r="AA35" i="46"/>
  <c r="AA32" i="46"/>
  <c r="AA33" i="46"/>
  <c r="AA34" i="46"/>
  <c r="AA30" i="46"/>
  <c r="AF30" i="46"/>
  <c r="AF33" i="46"/>
  <c r="AF34" i="46"/>
  <c r="AF31" i="46"/>
  <c r="AF35" i="46"/>
  <c r="AF32" i="46"/>
  <c r="U33" i="46"/>
  <c r="U34" i="46"/>
  <c r="U30" i="46"/>
  <c r="U32" i="46"/>
  <c r="U35" i="46"/>
  <c r="U31" i="46"/>
  <c r="AG33" i="46"/>
  <c r="AG32" i="46"/>
  <c r="AG31" i="46"/>
  <c r="AG30" i="46"/>
  <c r="AG34" i="46"/>
  <c r="AG35" i="46"/>
  <c r="R32" i="46"/>
  <c r="R35" i="46"/>
  <c r="R33" i="46"/>
  <c r="R30" i="46"/>
  <c r="R31" i="46"/>
  <c r="R34" i="46"/>
  <c r="AH10" i="46"/>
  <c r="Y10" i="46"/>
  <c r="O10" i="46"/>
  <c r="R10" i="46"/>
  <c r="S10" i="46"/>
  <c r="AB10" i="46"/>
  <c r="AA10" i="46"/>
  <c r="W10" i="46"/>
  <c r="AD10" i="46"/>
  <c r="AE10" i="46"/>
  <c r="AI10" i="46"/>
  <c r="M10" i="46"/>
  <c r="P10" i="46"/>
  <c r="X10" i="46"/>
  <c r="U10" i="46"/>
  <c r="N10" i="46"/>
  <c r="Q10" i="46"/>
  <c r="AG10" i="46"/>
  <c r="L10" i="46"/>
  <c r="AC10" i="46"/>
  <c r="T10" i="46"/>
  <c r="J10" i="46"/>
  <c r="AJ10" i="46"/>
  <c r="AF10" i="46"/>
  <c r="V10" i="46"/>
  <c r="Z10" i="46"/>
  <c r="K10" i="46"/>
  <c r="P33" i="46"/>
  <c r="P32" i="46"/>
  <c r="P34" i="46"/>
  <c r="P35" i="46"/>
  <c r="P31" i="46"/>
  <c r="P30" i="46"/>
  <c r="M34" i="46"/>
  <c r="M31" i="46"/>
  <c r="M32" i="46"/>
  <c r="M33" i="46"/>
  <c r="M30" i="46"/>
  <c r="M35" i="46"/>
  <c r="AB35" i="46"/>
  <c r="AB31" i="46"/>
  <c r="AB33" i="46"/>
  <c r="AB30" i="46"/>
  <c r="AB34" i="46"/>
  <c r="AB32" i="46"/>
  <c r="AD32" i="46"/>
  <c r="AD33" i="46"/>
  <c r="AD35" i="46"/>
  <c r="AD34" i="46"/>
  <c r="AD31" i="46"/>
  <c r="AD30" i="46"/>
  <c r="Y31" i="46"/>
  <c r="Y32" i="46"/>
  <c r="Y30" i="46"/>
  <c r="Y33" i="46"/>
  <c r="Y35" i="46"/>
  <c r="Y34" i="46"/>
  <c r="L33" i="46"/>
  <c r="L31" i="46"/>
  <c r="L35" i="46"/>
  <c r="L30" i="46"/>
  <c r="L34" i="46"/>
  <c r="L32" i="46"/>
  <c r="Z32" i="46"/>
  <c r="Z35" i="46"/>
  <c r="Z33" i="46"/>
  <c r="Z34" i="46"/>
  <c r="Z31" i="46"/>
  <c r="Z30" i="46"/>
  <c r="AJ31" i="46"/>
  <c r="AJ32" i="46"/>
  <c r="AJ35" i="46"/>
  <c r="AJ30" i="46"/>
  <c r="AJ34" i="46"/>
  <c r="AJ33" i="46"/>
  <c r="N32" i="46"/>
  <c r="N30" i="46"/>
  <c r="N35" i="46"/>
  <c r="N33" i="46"/>
  <c r="N31" i="46"/>
  <c r="N34" i="46"/>
  <c r="AC11" i="46"/>
  <c r="AD11" i="46"/>
  <c r="AF11" i="46"/>
  <c r="AE11" i="46"/>
  <c r="AJ11" i="46"/>
  <c r="AA11" i="46"/>
  <c r="Y11" i="46"/>
  <c r="J11" i="46"/>
  <c r="R11" i="46"/>
  <c r="T11" i="46"/>
  <c r="U11" i="46"/>
  <c r="M11" i="46"/>
  <c r="N11" i="46"/>
  <c r="AG11" i="46"/>
  <c r="Z11" i="46"/>
  <c r="V11" i="46"/>
  <c r="AH11" i="46"/>
  <c r="S11" i="46"/>
  <c r="K11" i="46"/>
  <c r="AI11" i="46"/>
  <c r="P11" i="46"/>
  <c r="W11" i="46"/>
  <c r="L11" i="46"/>
  <c r="AB11" i="46"/>
  <c r="Q11" i="46"/>
  <c r="X11" i="46"/>
  <c r="O11" i="46"/>
  <c r="AF8" i="46"/>
  <c r="AJ8" i="46"/>
  <c r="AA8" i="46"/>
  <c r="AE8" i="46"/>
  <c r="Y8" i="46"/>
  <c r="U8" i="46"/>
  <c r="X8" i="46"/>
  <c r="R8" i="46"/>
  <c r="O8" i="46"/>
  <c r="S8" i="46"/>
  <c r="K8" i="46"/>
  <c r="AD8" i="46"/>
  <c r="W8" i="46"/>
  <c r="T8" i="46"/>
  <c r="J8" i="46"/>
  <c r="P8" i="46"/>
  <c r="Q8" i="46"/>
  <c r="V8" i="46"/>
  <c r="Z8" i="46"/>
  <c r="AB8" i="46"/>
  <c r="AG8" i="46"/>
  <c r="AC8" i="46"/>
  <c r="AH8" i="46"/>
  <c r="N8" i="46"/>
  <c r="L8" i="46"/>
  <c r="M8" i="46"/>
  <c r="AI8" i="46"/>
  <c r="J33" i="46"/>
  <c r="J31" i="46"/>
  <c r="J30" i="46"/>
  <c r="J32" i="46"/>
  <c r="J34" i="46"/>
  <c r="J35" i="46"/>
  <c r="Q34" i="46"/>
  <c r="Q35" i="46"/>
  <c r="Q31" i="46"/>
  <c r="Q32" i="46"/>
  <c r="Q33" i="46"/>
  <c r="Q30" i="46"/>
  <c r="AH33" i="46"/>
  <c r="AH31" i="46"/>
  <c r="AH35" i="46"/>
  <c r="AH32" i="46"/>
  <c r="AH30" i="46"/>
  <c r="AH34" i="46"/>
  <c r="AC34" i="46"/>
  <c r="AC33" i="46"/>
  <c r="AC35" i="46"/>
  <c r="AC32" i="46"/>
  <c r="AC30" i="46"/>
  <c r="AC31" i="46"/>
  <c r="AA9" i="46"/>
  <c r="AE9" i="46"/>
  <c r="T9" i="46"/>
  <c r="AI9" i="46"/>
  <c r="AJ9" i="46"/>
  <c r="AC9" i="46"/>
  <c r="P9" i="46"/>
  <c r="N9" i="46"/>
  <c r="AB9" i="46"/>
  <c r="Z9" i="46"/>
  <c r="R9" i="46"/>
  <c r="J9" i="46"/>
  <c r="AD9" i="46"/>
  <c r="V9" i="46"/>
  <c r="S9" i="46"/>
  <c r="AH9" i="46"/>
  <c r="U9" i="46"/>
  <c r="M9" i="46"/>
  <c r="Q9" i="46"/>
  <c r="Y9" i="46"/>
  <c r="O9" i="46"/>
  <c r="AF9" i="46"/>
  <c r="K9" i="46"/>
  <c r="L9" i="46"/>
  <c r="AG9" i="46"/>
  <c r="W9" i="46"/>
  <c r="X9" i="46"/>
  <c r="AI7" i="46"/>
  <c r="Z7" i="46"/>
  <c r="X7" i="46"/>
  <c r="L7" i="46"/>
  <c r="V7" i="46"/>
  <c r="J7" i="46"/>
  <c r="O7" i="46"/>
  <c r="AH7" i="46"/>
  <c r="Y7" i="46"/>
  <c r="AC7" i="46"/>
  <c r="T7" i="46"/>
  <c r="W7" i="46"/>
  <c r="AF7" i="46"/>
  <c r="N7" i="46"/>
  <c r="K7" i="46"/>
  <c r="M7" i="46"/>
  <c r="R7" i="46"/>
  <c r="P7" i="46"/>
  <c r="AJ7" i="46"/>
  <c r="AD7" i="46"/>
  <c r="U7" i="46"/>
  <c r="AB7" i="46"/>
  <c r="AG7" i="46"/>
  <c r="AA7" i="46"/>
  <c r="Q7" i="46"/>
  <c r="AE7" i="46"/>
  <c r="S7" i="46"/>
  <c r="D51" i="41"/>
  <c r="C49" i="41"/>
  <c r="E48" i="41"/>
  <c r="E47" i="41"/>
  <c r="D47" i="41" s="1"/>
  <c r="E46" i="41"/>
  <c r="D46" i="41" s="1"/>
  <c r="E45" i="41"/>
  <c r="D45" i="41" s="1"/>
  <c r="E44" i="41"/>
  <c r="D44" i="41" s="1"/>
  <c r="E43" i="41"/>
  <c r="D43" i="41" s="1"/>
  <c r="E42" i="41"/>
  <c r="D42" i="41" s="1"/>
  <c r="E40" i="41"/>
  <c r="D40" i="41" s="1"/>
  <c r="E41" i="41" l="1"/>
  <c r="D49" i="41"/>
  <c r="AJ143" i="42" l="1"/>
  <c r="AI143" i="42"/>
  <c r="AH143" i="42"/>
  <c r="AG143" i="42"/>
  <c r="AF143" i="42"/>
  <c r="AE143" i="42"/>
  <c r="AD143" i="42"/>
  <c r="AC143" i="42"/>
  <c r="AB143" i="42"/>
  <c r="AA143" i="42"/>
  <c r="Z143" i="42"/>
  <c r="Y143" i="42"/>
  <c r="X143" i="42"/>
  <c r="W143" i="42"/>
  <c r="V143" i="42"/>
  <c r="U143" i="42"/>
  <c r="T143" i="42"/>
  <c r="S143" i="42"/>
  <c r="R143" i="42"/>
  <c r="Q143" i="42"/>
  <c r="P143" i="42"/>
  <c r="O143" i="42"/>
  <c r="N143" i="42"/>
  <c r="M143" i="42"/>
  <c r="L143" i="42"/>
  <c r="K143" i="42"/>
  <c r="J143" i="42"/>
  <c r="I143" i="42"/>
  <c r="AJ142" i="42"/>
  <c r="AI142" i="42"/>
  <c r="AH142" i="42"/>
  <c r="AG142" i="42"/>
  <c r="AF142" i="42"/>
  <c r="AE142" i="42"/>
  <c r="AD142" i="42"/>
  <c r="AC142" i="42"/>
  <c r="AB142" i="42"/>
  <c r="AA142" i="42"/>
  <c r="Z142" i="42"/>
  <c r="Y142" i="42"/>
  <c r="X142" i="42"/>
  <c r="W142" i="42"/>
  <c r="V142" i="42"/>
  <c r="U142" i="42"/>
  <c r="T142" i="42"/>
  <c r="S142" i="42"/>
  <c r="R142" i="42"/>
  <c r="Q142" i="42"/>
  <c r="P142" i="42"/>
  <c r="O142" i="42"/>
  <c r="N142" i="42"/>
  <c r="M142" i="42"/>
  <c r="L142" i="42"/>
  <c r="K142" i="42"/>
  <c r="J142" i="42"/>
  <c r="I142" i="42"/>
  <c r="AJ141" i="42"/>
  <c r="AI141" i="42"/>
  <c r="AH141" i="42"/>
  <c r="AG141" i="42"/>
  <c r="AF141" i="42"/>
  <c r="AE141" i="42"/>
  <c r="AD141" i="42"/>
  <c r="AC141" i="42"/>
  <c r="AB141" i="42"/>
  <c r="AA141" i="42"/>
  <c r="Z141" i="42"/>
  <c r="Y141" i="42"/>
  <c r="X141" i="42"/>
  <c r="W141" i="42"/>
  <c r="V141" i="42"/>
  <c r="U141" i="42"/>
  <c r="T141" i="42"/>
  <c r="S141" i="42"/>
  <c r="R141" i="42"/>
  <c r="Q141" i="42"/>
  <c r="P141" i="42"/>
  <c r="O141" i="42"/>
  <c r="N141" i="42"/>
  <c r="M141" i="42"/>
  <c r="L141" i="42"/>
  <c r="K141" i="42"/>
  <c r="J141" i="42"/>
  <c r="I141" i="42"/>
  <c r="AJ140" i="42"/>
  <c r="AI140" i="42"/>
  <c r="AH140" i="42"/>
  <c r="AG140" i="42"/>
  <c r="AF140" i="42"/>
  <c r="AE140" i="42"/>
  <c r="AD140" i="42"/>
  <c r="AC140" i="42"/>
  <c r="AB140" i="42"/>
  <c r="AA140" i="42"/>
  <c r="Z140" i="42"/>
  <c r="Y140" i="42"/>
  <c r="X140" i="42"/>
  <c r="W140" i="42"/>
  <c r="V140" i="42"/>
  <c r="U140" i="42"/>
  <c r="T140" i="42"/>
  <c r="S140" i="42"/>
  <c r="R140" i="42"/>
  <c r="Q140" i="42"/>
  <c r="P140" i="42"/>
  <c r="O140" i="42"/>
  <c r="N140" i="42"/>
  <c r="M140" i="42"/>
  <c r="L140" i="42"/>
  <c r="K140" i="42"/>
  <c r="J140" i="42"/>
  <c r="I140" i="42"/>
  <c r="AJ139" i="42"/>
  <c r="AJ137" i="42" s="1"/>
  <c r="AI139" i="42"/>
  <c r="AI137" i="42" s="1"/>
  <c r="AH139" i="42"/>
  <c r="AH137" i="42" s="1"/>
  <c r="AG139" i="42"/>
  <c r="AG137" i="42" s="1"/>
  <c r="AF139" i="42"/>
  <c r="AF137" i="42" s="1"/>
  <c r="AE139" i="42"/>
  <c r="AE137" i="42" s="1"/>
  <c r="AD139" i="42"/>
  <c r="AD137" i="42" s="1"/>
  <c r="AC139" i="42"/>
  <c r="AC137" i="42" s="1"/>
  <c r="AB139" i="42"/>
  <c r="AB137" i="42" s="1"/>
  <c r="AA139" i="42"/>
  <c r="AA137" i="42" s="1"/>
  <c r="Z139" i="42"/>
  <c r="Z137" i="42" s="1"/>
  <c r="Y139" i="42"/>
  <c r="Y137" i="42" s="1"/>
  <c r="X139" i="42"/>
  <c r="X137" i="42" s="1"/>
  <c r="W139" i="42"/>
  <c r="W137" i="42" s="1"/>
  <c r="V139" i="42"/>
  <c r="V137" i="42" s="1"/>
  <c r="U139" i="42"/>
  <c r="U137" i="42" s="1"/>
  <c r="T139" i="42"/>
  <c r="T137" i="42" s="1"/>
  <c r="S139" i="42"/>
  <c r="S137" i="42" s="1"/>
  <c r="R139" i="42"/>
  <c r="R137" i="42" s="1"/>
  <c r="Q139" i="42"/>
  <c r="Q137" i="42" s="1"/>
  <c r="P139" i="42"/>
  <c r="O139" i="42"/>
  <c r="N139" i="42"/>
  <c r="M139" i="42"/>
  <c r="L139" i="42"/>
  <c r="L137" i="42" s="1"/>
  <c r="K139" i="42"/>
  <c r="K137" i="42" s="1"/>
  <c r="J139" i="42"/>
  <c r="J137" i="42" s="1"/>
  <c r="I139" i="42"/>
  <c r="I137" i="42" s="1"/>
  <c r="AJ138" i="42"/>
  <c r="AI138" i="42"/>
  <c r="AH138" i="42"/>
  <c r="AG138" i="42"/>
  <c r="AF138" i="42"/>
  <c r="AE138" i="42"/>
  <c r="AD138" i="42"/>
  <c r="AC138" i="42"/>
  <c r="AB138" i="42"/>
  <c r="AA138" i="42"/>
  <c r="Z138" i="42"/>
  <c r="Y138" i="42"/>
  <c r="X138" i="42"/>
  <c r="W138" i="42"/>
  <c r="V138" i="42"/>
  <c r="U138" i="42"/>
  <c r="T138" i="42"/>
  <c r="S138" i="42"/>
  <c r="R138" i="42"/>
  <c r="Q138" i="42"/>
  <c r="P138" i="42"/>
  <c r="O138" i="42"/>
  <c r="N138" i="42"/>
  <c r="M138" i="42"/>
  <c r="L138" i="42"/>
  <c r="K138" i="42"/>
  <c r="J138" i="42"/>
  <c r="I138" i="42"/>
  <c r="P137" i="42"/>
  <c r="O137" i="42"/>
  <c r="N137" i="42"/>
  <c r="M137" i="42"/>
  <c r="F137" i="42" l="1"/>
  <c r="F141" i="42" s="1"/>
  <c r="F155" i="42"/>
  <c r="F154" i="42"/>
  <c r="F153" i="42"/>
  <c r="F152" i="42"/>
  <c r="F151" i="42"/>
  <c r="F150" i="42"/>
  <c r="F146" i="42"/>
  <c r="F145" i="42"/>
  <c r="F144" i="42"/>
  <c r="AJ71" i="42"/>
  <c r="AI59" i="42"/>
  <c r="AH59" i="42"/>
  <c r="AG59" i="42"/>
  <c r="AF59" i="42"/>
  <c r="AE59" i="42"/>
  <c r="U71" i="42"/>
  <c r="T71" i="42"/>
  <c r="S59" i="42"/>
  <c r="R59" i="42"/>
  <c r="Q59" i="42"/>
  <c r="P59" i="42"/>
  <c r="O59" i="42"/>
  <c r="AG70" i="42"/>
  <c r="AE70" i="42"/>
  <c r="AD58" i="42"/>
  <c r="AC58" i="42"/>
  <c r="AB58" i="42"/>
  <c r="S58" i="42"/>
  <c r="Q70" i="42"/>
  <c r="N70" i="42"/>
  <c r="M58" i="42"/>
  <c r="L58" i="42"/>
  <c r="AG69" i="42"/>
  <c r="AF69" i="42"/>
  <c r="AE57" i="42"/>
  <c r="AD69" i="42"/>
  <c r="AC57" i="42"/>
  <c r="AB57" i="42"/>
  <c r="AA69" i="42"/>
  <c r="Z57" i="42"/>
  <c r="Y57" i="42"/>
  <c r="Q69" i="42"/>
  <c r="P69" i="42"/>
  <c r="O69" i="42"/>
  <c r="N69" i="42"/>
  <c r="M57" i="42"/>
  <c r="L57" i="42"/>
  <c r="K57" i="42"/>
  <c r="J57" i="42"/>
  <c r="I57" i="42"/>
  <c r="AB68" i="42"/>
  <c r="AA68" i="42"/>
  <c r="Z68" i="42"/>
  <c r="Y68" i="42"/>
  <c r="X56" i="42"/>
  <c r="W56" i="42"/>
  <c r="V56" i="42"/>
  <c r="R56" i="42"/>
  <c r="K68" i="42"/>
  <c r="J68" i="42"/>
  <c r="I68" i="42"/>
  <c r="AJ67" i="42"/>
  <c r="AI55" i="42"/>
  <c r="AH55" i="42"/>
  <c r="AD55" i="42"/>
  <c r="X67" i="42"/>
  <c r="U67" i="42"/>
  <c r="R55" i="42"/>
  <c r="N55" i="42"/>
  <c r="F139" i="42"/>
  <c r="AG66" i="42"/>
  <c r="AF66" i="42"/>
  <c r="AE66" i="42"/>
  <c r="AA66" i="42"/>
  <c r="U66" i="42"/>
  <c r="P66" i="42"/>
  <c r="O66" i="42"/>
  <c r="K54" i="42"/>
  <c r="AD53" i="42"/>
  <c r="AC53" i="42"/>
  <c r="V53" i="42"/>
  <c r="U53" i="42"/>
  <c r="Q65" i="42"/>
  <c r="L65" i="42"/>
  <c r="AJ107" i="42"/>
  <c r="AJ95" i="42" s="1"/>
  <c r="AI107" i="42"/>
  <c r="AI95" i="42" s="1"/>
  <c r="AH107" i="42"/>
  <c r="AH95" i="42" s="1"/>
  <c r="AG107" i="42"/>
  <c r="AG95" i="42" s="1"/>
  <c r="AF107" i="42"/>
  <c r="AF95" i="42" s="1"/>
  <c r="AE107" i="42"/>
  <c r="AE95" i="42" s="1"/>
  <c r="AD107" i="42"/>
  <c r="AD95" i="42" s="1"/>
  <c r="AC107" i="42"/>
  <c r="AC95" i="42" s="1"/>
  <c r="AB107" i="42"/>
  <c r="AB83" i="42" s="1"/>
  <c r="AA107" i="42"/>
  <c r="AA95" i="42" s="1"/>
  <c r="Z107" i="42"/>
  <c r="Z95" i="42" s="1"/>
  <c r="Y107" i="42"/>
  <c r="Y95" i="42" s="1"/>
  <c r="X107" i="42"/>
  <c r="X95" i="42" s="1"/>
  <c r="W107" i="42"/>
  <c r="W83" i="42" s="1"/>
  <c r="V107" i="42"/>
  <c r="V83" i="42" s="1"/>
  <c r="U107" i="42"/>
  <c r="U83" i="42" s="1"/>
  <c r="T107" i="42"/>
  <c r="T83" i="42" s="1"/>
  <c r="S107" i="42"/>
  <c r="S95" i="42" s="1"/>
  <c r="R107" i="42"/>
  <c r="R95" i="42" s="1"/>
  <c r="Q107" i="42"/>
  <c r="Q95" i="42" s="1"/>
  <c r="P107" i="42"/>
  <c r="P83" i="42" s="1"/>
  <c r="O107" i="42"/>
  <c r="O83" i="42" s="1"/>
  <c r="N107" i="42"/>
  <c r="N83" i="42" s="1"/>
  <c r="M107" i="42"/>
  <c r="M95" i="42" s="1"/>
  <c r="L107" i="42"/>
  <c r="L95" i="42" s="1"/>
  <c r="K107" i="42"/>
  <c r="K95" i="42" s="1"/>
  <c r="J107" i="42"/>
  <c r="J95" i="42" s="1"/>
  <c r="I107" i="42"/>
  <c r="I95" i="42" s="1"/>
  <c r="AJ106" i="42"/>
  <c r="AJ94" i="42" s="1"/>
  <c r="AI106" i="42"/>
  <c r="AI94" i="42" s="1"/>
  <c r="AH106" i="42"/>
  <c r="AH94" i="42" s="1"/>
  <c r="AG106" i="42"/>
  <c r="AG82" i="42" s="1"/>
  <c r="AF106" i="42"/>
  <c r="AF82" i="42" s="1"/>
  <c r="AE106" i="42"/>
  <c r="AE94" i="42" s="1"/>
  <c r="AD106" i="42"/>
  <c r="AD94" i="42" s="1"/>
  <c r="AC106" i="42"/>
  <c r="AC94" i="42" s="1"/>
  <c r="AB106" i="42"/>
  <c r="AB82" i="42" s="1"/>
  <c r="AA106" i="42"/>
  <c r="AA82" i="42" s="1"/>
  <c r="Z106" i="42"/>
  <c r="Z82" i="42" s="1"/>
  <c r="Y106" i="42"/>
  <c r="Y94" i="42" s="1"/>
  <c r="X106" i="42"/>
  <c r="X82" i="42" s="1"/>
  <c r="W106" i="42"/>
  <c r="W94" i="42" s="1"/>
  <c r="V106" i="42"/>
  <c r="V82" i="42" s="1"/>
  <c r="U106" i="42"/>
  <c r="U94" i="42" s="1"/>
  <c r="T106" i="42"/>
  <c r="T94" i="42" s="1"/>
  <c r="S106" i="42"/>
  <c r="S82" i="42" s="1"/>
  <c r="R106" i="42"/>
  <c r="R94" i="42" s="1"/>
  <c r="Q106" i="42"/>
  <c r="Q94" i="42" s="1"/>
  <c r="P106" i="42"/>
  <c r="P94" i="42" s="1"/>
  <c r="O106" i="42"/>
  <c r="O94" i="42" s="1"/>
  <c r="N106" i="42"/>
  <c r="N94" i="42" s="1"/>
  <c r="M106" i="42"/>
  <c r="M94" i="42" s="1"/>
  <c r="L106" i="42"/>
  <c r="L94" i="42" s="1"/>
  <c r="K106" i="42"/>
  <c r="K94" i="42" s="1"/>
  <c r="J106" i="42"/>
  <c r="J94" i="42" s="1"/>
  <c r="I106" i="42"/>
  <c r="I94" i="42" s="1"/>
  <c r="AJ105" i="42"/>
  <c r="AJ93" i="42" s="1"/>
  <c r="AI105" i="42"/>
  <c r="AI93" i="42" s="1"/>
  <c r="AH105" i="42"/>
  <c r="AH93" i="42" s="1"/>
  <c r="AG105" i="42"/>
  <c r="AG81" i="42" s="1"/>
  <c r="AF105" i="42"/>
  <c r="AE105" i="42"/>
  <c r="AD105" i="42"/>
  <c r="AD93" i="42" s="1"/>
  <c r="AC105" i="42"/>
  <c r="AC93" i="42" s="1"/>
  <c r="AB105" i="42"/>
  <c r="AB93" i="42" s="1"/>
  <c r="AA105" i="42"/>
  <c r="AA93" i="42" s="1"/>
  <c r="Z105" i="42"/>
  <c r="Z93" i="42" s="1"/>
  <c r="Y105" i="42"/>
  <c r="Y93" i="42" s="1"/>
  <c r="X105" i="42"/>
  <c r="X93" i="42" s="1"/>
  <c r="W105" i="42"/>
  <c r="W93" i="42" s="1"/>
  <c r="V105" i="42"/>
  <c r="V93" i="42" s="1"/>
  <c r="U105" i="42"/>
  <c r="U93" i="42" s="1"/>
  <c r="T105" i="42"/>
  <c r="T93" i="42" s="1"/>
  <c r="S105" i="42"/>
  <c r="S93" i="42" s="1"/>
  <c r="R105" i="42"/>
  <c r="R93" i="42" s="1"/>
  <c r="Q105" i="42"/>
  <c r="Q93" i="42" s="1"/>
  <c r="P105" i="42"/>
  <c r="P81" i="42" s="1"/>
  <c r="O105" i="42"/>
  <c r="O93" i="42" s="1"/>
  <c r="N105" i="42"/>
  <c r="N81" i="42" s="1"/>
  <c r="M105" i="42"/>
  <c r="M93" i="42" s="1"/>
  <c r="L105" i="42"/>
  <c r="L81" i="42" s="1"/>
  <c r="K105" i="42"/>
  <c r="K93" i="42" s="1"/>
  <c r="J105" i="42"/>
  <c r="J93" i="42" s="1"/>
  <c r="I105" i="42"/>
  <c r="I93" i="42" s="1"/>
  <c r="AJ104" i="42"/>
  <c r="AJ80" i="42" s="1"/>
  <c r="AI104" i="42"/>
  <c r="AI80" i="42" s="1"/>
  <c r="AH104" i="42"/>
  <c r="AG104" i="42"/>
  <c r="AG92" i="42" s="1"/>
  <c r="AF104" i="42"/>
  <c r="AF92" i="42" s="1"/>
  <c r="AE104" i="42"/>
  <c r="AE92" i="42" s="1"/>
  <c r="AD104" i="42"/>
  <c r="AD92" i="42" s="1"/>
  <c r="AC104" i="42"/>
  <c r="AC92" i="42" s="1"/>
  <c r="AB104" i="42"/>
  <c r="AB80" i="42" s="1"/>
  <c r="AA104" i="42"/>
  <c r="AA92" i="42" s="1"/>
  <c r="Z104" i="42"/>
  <c r="Z80" i="42" s="1"/>
  <c r="Y104" i="42"/>
  <c r="Y92" i="42" s="1"/>
  <c r="X104" i="42"/>
  <c r="X80" i="42" s="1"/>
  <c r="W104" i="42"/>
  <c r="W92" i="42" s="1"/>
  <c r="V104" i="42"/>
  <c r="V92" i="42" s="1"/>
  <c r="U104" i="42"/>
  <c r="U92" i="42" s="1"/>
  <c r="T104" i="42"/>
  <c r="T92" i="42" s="1"/>
  <c r="S104" i="42"/>
  <c r="S80" i="42" s="1"/>
  <c r="R104" i="42"/>
  <c r="R92" i="42" s="1"/>
  <c r="Q104" i="42"/>
  <c r="Q92" i="42" s="1"/>
  <c r="P104" i="42"/>
  <c r="P80" i="42" s="1"/>
  <c r="O104" i="42"/>
  <c r="O92" i="42" s="1"/>
  <c r="N104" i="42"/>
  <c r="N80" i="42" s="1"/>
  <c r="M104" i="42"/>
  <c r="M92" i="42" s="1"/>
  <c r="L104" i="42"/>
  <c r="L80" i="42" s="1"/>
  <c r="K104" i="42"/>
  <c r="J104" i="42"/>
  <c r="J92" i="42" s="1"/>
  <c r="I104" i="42"/>
  <c r="I92" i="42" s="1"/>
  <c r="AJ103" i="42"/>
  <c r="AJ101" i="42" s="1"/>
  <c r="AI103" i="42"/>
  <c r="AI91" i="42" s="1"/>
  <c r="AH103" i="42"/>
  <c r="AH91" i="42" s="1"/>
  <c r="AG103" i="42"/>
  <c r="AG91" i="42" s="1"/>
  <c r="AF103" i="42"/>
  <c r="AF101" i="42" s="1"/>
  <c r="AE103" i="42"/>
  <c r="AE101" i="42" s="1"/>
  <c r="AD103" i="42"/>
  <c r="AD101" i="42" s="1"/>
  <c r="AC103" i="42"/>
  <c r="AC91" i="42" s="1"/>
  <c r="AB103" i="42"/>
  <c r="AA103" i="42"/>
  <c r="AA91" i="42" s="1"/>
  <c r="Z103" i="42"/>
  <c r="Z101" i="42" s="1"/>
  <c r="Y103" i="42"/>
  <c r="Y79" i="42" s="1"/>
  <c r="X103" i="42"/>
  <c r="X91" i="42" s="1"/>
  <c r="W103" i="42"/>
  <c r="W91" i="42" s="1"/>
  <c r="V103" i="42"/>
  <c r="V101" i="42" s="1"/>
  <c r="U103" i="42"/>
  <c r="U79" i="42" s="1"/>
  <c r="T103" i="42"/>
  <c r="T79" i="42" s="1"/>
  <c r="S103" i="42"/>
  <c r="S91" i="42" s="1"/>
  <c r="R103" i="42"/>
  <c r="R91" i="42" s="1"/>
  <c r="Q103" i="42"/>
  <c r="Q91" i="42" s="1"/>
  <c r="P103" i="42"/>
  <c r="P101" i="42" s="1"/>
  <c r="O103" i="42"/>
  <c r="O79" i="42" s="1"/>
  <c r="N103" i="42"/>
  <c r="N101" i="42" s="1"/>
  <c r="M103" i="42"/>
  <c r="M91" i="42" s="1"/>
  <c r="L103" i="42"/>
  <c r="L101" i="42" s="1"/>
  <c r="K103" i="42"/>
  <c r="K91" i="42" s="1"/>
  <c r="J103" i="42"/>
  <c r="J101" i="42" s="1"/>
  <c r="I103" i="42"/>
  <c r="I79" i="42" s="1"/>
  <c r="AJ102" i="42"/>
  <c r="AJ90" i="42" s="1"/>
  <c r="AI102" i="42"/>
  <c r="AH102" i="42"/>
  <c r="AH90" i="42" s="1"/>
  <c r="AG102" i="42"/>
  <c r="AG90" i="42" s="1"/>
  <c r="AF102" i="42"/>
  <c r="AF78" i="42" s="1"/>
  <c r="AE102" i="42"/>
  <c r="AE90" i="42" s="1"/>
  <c r="AD102" i="42"/>
  <c r="AD90" i="42" s="1"/>
  <c r="AC102" i="42"/>
  <c r="AC90" i="42" s="1"/>
  <c r="AB102" i="42"/>
  <c r="AB78" i="42" s="1"/>
  <c r="AA102" i="42"/>
  <c r="AA78" i="42" s="1"/>
  <c r="Z102" i="42"/>
  <c r="Z78" i="42" s="1"/>
  <c r="Y102" i="42"/>
  <c r="Y90" i="42" s="1"/>
  <c r="X102" i="42"/>
  <c r="X90" i="42" s="1"/>
  <c r="W102" i="42"/>
  <c r="W90" i="42" s="1"/>
  <c r="V102" i="42"/>
  <c r="V78" i="42" s="1"/>
  <c r="U102" i="42"/>
  <c r="U90" i="42" s="1"/>
  <c r="T102" i="42"/>
  <c r="T90" i="42" s="1"/>
  <c r="S102" i="42"/>
  <c r="S90" i="42" s="1"/>
  <c r="R102" i="42"/>
  <c r="R90" i="42" s="1"/>
  <c r="Q102" i="42"/>
  <c r="Q90" i="42" s="1"/>
  <c r="P102" i="42"/>
  <c r="P90" i="42" s="1"/>
  <c r="O102" i="42"/>
  <c r="O90" i="42" s="1"/>
  <c r="N102" i="42"/>
  <c r="N90" i="42" s="1"/>
  <c r="M102" i="42"/>
  <c r="M90" i="42" s="1"/>
  <c r="L102" i="42"/>
  <c r="L78" i="42" s="1"/>
  <c r="K102" i="42"/>
  <c r="K78" i="42" s="1"/>
  <c r="J102" i="42"/>
  <c r="J78" i="42" s="1"/>
  <c r="I102" i="42"/>
  <c r="I90" i="42" s="1"/>
  <c r="AB101" i="42"/>
  <c r="AB89" i="42" s="1"/>
  <c r="W95" i="42"/>
  <c r="V95" i="42"/>
  <c r="U95" i="42"/>
  <c r="AG93" i="42"/>
  <c r="AF93" i="42"/>
  <c r="AE93" i="42"/>
  <c r="AH92" i="42"/>
  <c r="K92" i="42"/>
  <c r="AB91" i="42"/>
  <c r="Z91" i="42"/>
  <c r="Y91" i="42"/>
  <c r="P91" i="42"/>
  <c r="AI90" i="42"/>
  <c r="AI83" i="42"/>
  <c r="Y83" i="42"/>
  <c r="X83" i="42"/>
  <c r="M83" i="42"/>
  <c r="L83" i="42"/>
  <c r="K83" i="42"/>
  <c r="J83" i="42"/>
  <c r="AI81" i="42"/>
  <c r="AH81" i="42"/>
  <c r="AF81" i="42"/>
  <c r="AE81" i="42"/>
  <c r="U81" i="42"/>
  <c r="T81" i="42"/>
  <c r="S81" i="42"/>
  <c r="Q81" i="42"/>
  <c r="AH80" i="42"/>
  <c r="AG80" i="42"/>
  <c r="AF80" i="42"/>
  <c r="K80" i="42"/>
  <c r="AC79" i="42"/>
  <c r="AB79" i="42"/>
  <c r="AA79" i="42"/>
  <c r="Z79" i="42"/>
  <c r="M79" i="42"/>
  <c r="AI78" i="42"/>
  <c r="AG78" i="42"/>
  <c r="U78" i="42"/>
  <c r="T78" i="42"/>
  <c r="S78" i="42"/>
  <c r="R78" i="42"/>
  <c r="Q78" i="42"/>
  <c r="P78" i="42"/>
  <c r="O78" i="42"/>
  <c r="AB77" i="42"/>
  <c r="AD71" i="42"/>
  <c r="AC71" i="42"/>
  <c r="AB71" i="42"/>
  <c r="AA71" i="42"/>
  <c r="Z71" i="42"/>
  <c r="Y71" i="42"/>
  <c r="X71" i="42"/>
  <c r="W71" i="42"/>
  <c r="V71" i="42"/>
  <c r="N71" i="42"/>
  <c r="M71" i="42"/>
  <c r="L71" i="42"/>
  <c r="K71" i="42"/>
  <c r="J71" i="42"/>
  <c r="I71" i="42"/>
  <c r="AJ70" i="42"/>
  <c r="AI70" i="42"/>
  <c r="AH70" i="42"/>
  <c r="AF70" i="42"/>
  <c r="AA70" i="42"/>
  <c r="Z70" i="42"/>
  <c r="Y70" i="42"/>
  <c r="X70" i="42"/>
  <c r="W70" i="42"/>
  <c r="V70" i="42"/>
  <c r="U70" i="42"/>
  <c r="T70" i="42"/>
  <c r="S70" i="42"/>
  <c r="R70" i="42"/>
  <c r="P70" i="42"/>
  <c r="O70" i="42"/>
  <c r="K70" i="42"/>
  <c r="J70" i="42"/>
  <c r="I70" i="42"/>
  <c r="AJ69" i="42"/>
  <c r="AI69" i="42"/>
  <c r="AH69" i="42"/>
  <c r="AE69" i="42"/>
  <c r="X69" i="42"/>
  <c r="W69" i="42"/>
  <c r="V69" i="42"/>
  <c r="U69" i="42"/>
  <c r="T69" i="42"/>
  <c r="S69" i="42"/>
  <c r="R69" i="42"/>
  <c r="M69" i="42"/>
  <c r="AJ68" i="42"/>
  <c r="AI68" i="42"/>
  <c r="AH68" i="42"/>
  <c r="AG68" i="42"/>
  <c r="AF68" i="42"/>
  <c r="AE68" i="42"/>
  <c r="AD68" i="42"/>
  <c r="AC68" i="42"/>
  <c r="X68" i="42"/>
  <c r="U68" i="42"/>
  <c r="T68" i="42"/>
  <c r="S68" i="42"/>
  <c r="Q68" i="42"/>
  <c r="P68" i="42"/>
  <c r="O68" i="42"/>
  <c r="N68" i="42"/>
  <c r="M68" i="42"/>
  <c r="L68" i="42"/>
  <c r="AG67" i="42"/>
  <c r="AF67" i="42"/>
  <c r="AE67" i="42"/>
  <c r="AC67" i="42"/>
  <c r="AB67" i="42"/>
  <c r="AA67" i="42"/>
  <c r="Z67" i="42"/>
  <c r="Y67" i="42"/>
  <c r="W67" i="42"/>
  <c r="V67" i="42"/>
  <c r="Q67" i="42"/>
  <c r="P67" i="42"/>
  <c r="O67" i="42"/>
  <c r="M67" i="42"/>
  <c r="L67" i="42"/>
  <c r="K67" i="42"/>
  <c r="J67" i="42"/>
  <c r="I67" i="42"/>
  <c r="AJ66" i="42"/>
  <c r="AI66" i="42"/>
  <c r="AH66" i="42"/>
  <c r="AD66" i="42"/>
  <c r="AC66" i="42"/>
  <c r="AB66" i="42"/>
  <c r="Z66" i="42"/>
  <c r="Y66" i="42"/>
  <c r="X66" i="42"/>
  <c r="W66" i="42"/>
  <c r="V66" i="42"/>
  <c r="T66" i="42"/>
  <c r="S66" i="42"/>
  <c r="R66" i="42"/>
  <c r="Q66" i="42"/>
  <c r="N66" i="42"/>
  <c r="M66" i="42"/>
  <c r="L66" i="42"/>
  <c r="J66" i="42"/>
  <c r="I66" i="42"/>
  <c r="AG65" i="42"/>
  <c r="AD65" i="42"/>
  <c r="AC65" i="42"/>
  <c r="AB65" i="42"/>
  <c r="V65" i="42"/>
  <c r="U65" i="42"/>
  <c r="P65" i="42"/>
  <c r="AD59" i="42"/>
  <c r="AC59" i="42"/>
  <c r="AB59" i="42"/>
  <c r="AA59" i="42"/>
  <c r="Z59" i="42"/>
  <c r="Y59" i="42"/>
  <c r="X59" i="42"/>
  <c r="W59" i="42"/>
  <c r="V59" i="42"/>
  <c r="U59" i="42"/>
  <c r="N59" i="42"/>
  <c r="M59" i="42"/>
  <c r="L59" i="42"/>
  <c r="K59" i="42"/>
  <c r="J59" i="42"/>
  <c r="I59" i="42"/>
  <c r="AJ58" i="42"/>
  <c r="AI58" i="42"/>
  <c r="AH58" i="42"/>
  <c r="AF58" i="42"/>
  <c r="AE58" i="42"/>
  <c r="AA58" i="42"/>
  <c r="Z58" i="42"/>
  <c r="Y58" i="42"/>
  <c r="X58" i="42"/>
  <c r="W58" i="42"/>
  <c r="V58" i="42"/>
  <c r="U58" i="42"/>
  <c r="T58" i="42"/>
  <c r="R58" i="42"/>
  <c r="P58" i="42"/>
  <c r="O58" i="42"/>
  <c r="N58" i="42"/>
  <c r="K58" i="42"/>
  <c r="J58" i="42"/>
  <c r="I58" i="42"/>
  <c r="AJ57" i="42"/>
  <c r="AI57" i="42"/>
  <c r="AH57" i="42"/>
  <c r="AG57" i="42"/>
  <c r="AF57" i="42"/>
  <c r="AA57" i="42"/>
  <c r="X57" i="42"/>
  <c r="W57" i="42"/>
  <c r="V57" i="42"/>
  <c r="U57" i="42"/>
  <c r="T57" i="42"/>
  <c r="S57" i="42"/>
  <c r="R57" i="42"/>
  <c r="Q57" i="42"/>
  <c r="P57" i="42"/>
  <c r="O57" i="42"/>
  <c r="AJ56" i="42"/>
  <c r="AI56" i="42"/>
  <c r="AH56" i="42"/>
  <c r="AG56" i="42"/>
  <c r="AF56" i="42"/>
  <c r="AE56" i="42"/>
  <c r="AD56" i="42"/>
  <c r="AC56" i="42"/>
  <c r="AB56" i="42"/>
  <c r="Z56" i="42"/>
  <c r="Y56" i="42"/>
  <c r="U56" i="42"/>
  <c r="T56" i="42"/>
  <c r="S56" i="42"/>
  <c r="Q56" i="42"/>
  <c r="P56" i="42"/>
  <c r="O56" i="42"/>
  <c r="N56" i="42"/>
  <c r="M56" i="42"/>
  <c r="L56" i="42"/>
  <c r="J56" i="42"/>
  <c r="I56" i="42"/>
  <c r="AJ55" i="42"/>
  <c r="AG55" i="42"/>
  <c r="AF55" i="42"/>
  <c r="AE55" i="42"/>
  <c r="AC55" i="42"/>
  <c r="AB55" i="42"/>
  <c r="AA55" i="42"/>
  <c r="Z55" i="42"/>
  <c r="Y55" i="42"/>
  <c r="W55" i="42"/>
  <c r="V55" i="42"/>
  <c r="U55" i="42"/>
  <c r="T55" i="42"/>
  <c r="S55" i="42"/>
  <c r="Q55" i="42"/>
  <c r="P55" i="42"/>
  <c r="O55" i="42"/>
  <c r="M55" i="42"/>
  <c r="L55" i="42"/>
  <c r="K55" i="42"/>
  <c r="J55" i="42"/>
  <c r="I55" i="42"/>
  <c r="AJ54" i="42"/>
  <c r="AI54" i="42"/>
  <c r="AH54" i="42"/>
  <c r="AG54" i="42"/>
  <c r="AF54" i="42"/>
  <c r="AE54" i="42"/>
  <c r="AD54" i="42"/>
  <c r="AC54" i="42"/>
  <c r="AB54" i="42"/>
  <c r="AA54" i="42"/>
  <c r="Z54" i="42"/>
  <c r="Y54" i="42"/>
  <c r="X54" i="42"/>
  <c r="W54" i="42"/>
  <c r="V54" i="42"/>
  <c r="T54" i="42"/>
  <c r="S54" i="42"/>
  <c r="R54" i="42"/>
  <c r="Q54" i="42"/>
  <c r="N54" i="42"/>
  <c r="M54" i="42"/>
  <c r="L54" i="42"/>
  <c r="J54" i="42"/>
  <c r="I54" i="42"/>
  <c r="AG53" i="42"/>
  <c r="AB53" i="42"/>
  <c r="Q53" i="42"/>
  <c r="P53" i="42"/>
  <c r="L53" i="42"/>
  <c r="F35" i="42"/>
  <c r="F34" i="42"/>
  <c r="F33" i="42"/>
  <c r="F32" i="42"/>
  <c r="F31" i="42"/>
  <c r="F30" i="42"/>
  <c r="F23" i="42"/>
  <c r="F22" i="42"/>
  <c r="F21" i="42"/>
  <c r="F20" i="42"/>
  <c r="F19" i="42"/>
  <c r="F18" i="42"/>
  <c r="F11" i="42"/>
  <c r="F10" i="42"/>
  <c r="F9" i="42"/>
  <c r="F8" i="42"/>
  <c r="F7" i="42"/>
  <c r="F6" i="42"/>
  <c r="D17" i="41"/>
  <c r="E17" i="41" s="1"/>
  <c r="D16" i="41"/>
  <c r="E16" i="41" s="1"/>
  <c r="D15" i="41"/>
  <c r="E15" i="41" s="1"/>
  <c r="C173" i="42" s="1"/>
  <c r="D14" i="41"/>
  <c r="E14" i="41" s="1"/>
  <c r="C257" i="42" s="1"/>
  <c r="D13" i="41"/>
  <c r="E13" i="41" s="1"/>
  <c r="C161" i="42" s="1"/>
  <c r="D12" i="41"/>
  <c r="E12" i="41" s="1"/>
  <c r="C137" i="42" s="1"/>
  <c r="D11" i="41"/>
  <c r="E11" i="41" s="1"/>
  <c r="C125" i="42" s="1"/>
  <c r="D10" i="41"/>
  <c r="E10" i="41" s="1"/>
  <c r="C233" i="42" s="1"/>
  <c r="D9" i="41"/>
  <c r="E9" i="41" s="1"/>
  <c r="C221" i="42" s="1"/>
  <c r="D8" i="41"/>
  <c r="E8" i="41" s="1"/>
  <c r="C53" i="42" s="1"/>
  <c r="D7" i="41"/>
  <c r="E7" i="41" s="1"/>
  <c r="C41" i="42" s="1"/>
  <c r="D6" i="41"/>
  <c r="E6" i="41" s="1"/>
  <c r="C29" i="42" s="1"/>
  <c r="D5" i="41"/>
  <c r="E5" i="41" s="1"/>
  <c r="C17" i="42" s="1"/>
  <c r="D4" i="41"/>
  <c r="E4" i="41" s="1"/>
  <c r="C5" i="42" s="1"/>
  <c r="S94" i="42" l="1"/>
  <c r="P82" i="42"/>
  <c r="AA83" i="42"/>
  <c r="AJ83" i="42"/>
  <c r="N92" i="42"/>
  <c r="O80" i="42"/>
  <c r="AD81" i="42"/>
  <c r="M101" i="42"/>
  <c r="M77" i="42" s="1"/>
  <c r="K81" i="42"/>
  <c r="V81" i="42"/>
  <c r="AA80" i="42"/>
  <c r="W78" i="42"/>
  <c r="AE80" i="42"/>
  <c r="Z83" i="42"/>
  <c r="Q82" i="42"/>
  <c r="I82" i="42"/>
  <c r="R82" i="42"/>
  <c r="AI82" i="42"/>
  <c r="AJ82" i="42"/>
  <c r="V94" i="42"/>
  <c r="X94" i="42"/>
  <c r="T82" i="42"/>
  <c r="U82" i="42"/>
  <c r="AB95" i="42"/>
  <c r="W82" i="42"/>
  <c r="Y82" i="42"/>
  <c r="AH82" i="42"/>
  <c r="AC83" i="42"/>
  <c r="T95" i="42"/>
  <c r="V90" i="42"/>
  <c r="S101" i="42"/>
  <c r="S89" i="42" s="1"/>
  <c r="Y101" i="42"/>
  <c r="Y89" i="42" s="1"/>
  <c r="I91" i="42"/>
  <c r="X78" i="42"/>
  <c r="J91" i="42"/>
  <c r="Y78" i="42"/>
  <c r="AC80" i="42"/>
  <c r="AC81" i="42"/>
  <c r="L91" i="42"/>
  <c r="AD80" i="42"/>
  <c r="J89" i="42"/>
  <c r="J77" i="42"/>
  <c r="L77" i="42"/>
  <c r="L89" i="42"/>
  <c r="Z89" i="42"/>
  <c r="Z77" i="42"/>
  <c r="AJ81" i="42"/>
  <c r="T101" i="42"/>
  <c r="U101" i="42"/>
  <c r="AJ78" i="42"/>
  <c r="AA81" i="42"/>
  <c r="W101" i="42"/>
  <c r="W77" i="42" s="1"/>
  <c r="J79" i="42"/>
  <c r="M80" i="42"/>
  <c r="AB81" i="42"/>
  <c r="T91" i="42"/>
  <c r="X101" i="42"/>
  <c r="K79" i="42"/>
  <c r="AJ92" i="42"/>
  <c r="X81" i="42"/>
  <c r="L79" i="42"/>
  <c r="M81" i="42"/>
  <c r="L93" i="42"/>
  <c r="P92" i="42"/>
  <c r="O81" i="42"/>
  <c r="P93" i="42"/>
  <c r="Q80" i="42"/>
  <c r="X79" i="42"/>
  <c r="Y80" i="42"/>
  <c r="R81" i="42"/>
  <c r="AB90" i="42"/>
  <c r="L92" i="42"/>
  <c r="W79" i="42"/>
  <c r="AA101" i="42"/>
  <c r="AC101" i="42"/>
  <c r="U91" i="42"/>
  <c r="V91" i="42"/>
  <c r="K101" i="42"/>
  <c r="AH78" i="42"/>
  <c r="N93" i="42"/>
  <c r="I83" i="42"/>
  <c r="I101" i="42"/>
  <c r="I89" i="42" s="1"/>
  <c r="I78" i="42"/>
  <c r="F138" i="42"/>
  <c r="F143" i="42"/>
  <c r="F142" i="42"/>
  <c r="F140" i="42"/>
  <c r="AE71" i="42"/>
  <c r="O71" i="42"/>
  <c r="AF71" i="42"/>
  <c r="P71" i="42"/>
  <c r="AG71" i="42"/>
  <c r="AB70" i="42"/>
  <c r="Q71" i="42"/>
  <c r="AH71" i="42"/>
  <c r="L70" i="42"/>
  <c r="AC70" i="42"/>
  <c r="R71" i="42"/>
  <c r="AI71" i="42"/>
  <c r="M70" i="42"/>
  <c r="AD70" i="42"/>
  <c r="S71" i="42"/>
  <c r="S65" i="42"/>
  <c r="S53" i="42"/>
  <c r="T65" i="42"/>
  <c r="T53" i="42"/>
  <c r="M53" i="42"/>
  <c r="M65" i="42"/>
  <c r="O54" i="42"/>
  <c r="P54" i="42"/>
  <c r="R68" i="42"/>
  <c r="AH65" i="42"/>
  <c r="AD67" i="42"/>
  <c r="Y69" i="42"/>
  <c r="N67" i="42"/>
  <c r="I69" i="42"/>
  <c r="Z69" i="42"/>
  <c r="J69" i="42"/>
  <c r="K66" i="42"/>
  <c r="V68" i="42"/>
  <c r="K69" i="42"/>
  <c r="AB69" i="42"/>
  <c r="AH67" i="42"/>
  <c r="W68" i="42"/>
  <c r="L69" i="42"/>
  <c r="AC69" i="42"/>
  <c r="AI67" i="42"/>
  <c r="R67" i="42"/>
  <c r="S67" i="42"/>
  <c r="R65" i="42"/>
  <c r="T67" i="42"/>
  <c r="N95" i="42"/>
  <c r="O95" i="42"/>
  <c r="P95" i="42"/>
  <c r="AD83" i="42"/>
  <c r="AE83" i="42"/>
  <c r="Z94" i="42"/>
  <c r="AA94" i="42"/>
  <c r="AB94" i="42"/>
  <c r="AF94" i="42"/>
  <c r="S83" i="42"/>
  <c r="AG94" i="42"/>
  <c r="J82" i="42"/>
  <c r="K82" i="42"/>
  <c r="AE82" i="42"/>
  <c r="L82" i="42"/>
  <c r="O82" i="42"/>
  <c r="N89" i="42"/>
  <c r="N77" i="42"/>
  <c r="AD89" i="42"/>
  <c r="AD77" i="42"/>
  <c r="AE77" i="42"/>
  <c r="AE89" i="42"/>
  <c r="AJ77" i="42"/>
  <c r="AJ89" i="42"/>
  <c r="O91" i="42"/>
  <c r="O101" i="42"/>
  <c r="AI92" i="42"/>
  <c r="W81" i="42"/>
  <c r="Z90" i="42"/>
  <c r="R80" i="42"/>
  <c r="AA90" i="42"/>
  <c r="S92" i="42"/>
  <c r="AD79" i="42"/>
  <c r="T80" i="42"/>
  <c r="AF90" i="42"/>
  <c r="AE79" i="42"/>
  <c r="W80" i="42"/>
  <c r="X92" i="42"/>
  <c r="N79" i="42"/>
  <c r="AF79" i="42"/>
  <c r="J90" i="42"/>
  <c r="AI79" i="42"/>
  <c r="K90" i="42"/>
  <c r="AD91" i="42"/>
  <c r="Z92" i="42"/>
  <c r="P79" i="42"/>
  <c r="AJ79" i="42"/>
  <c r="L90" i="42"/>
  <c r="AE91" i="42"/>
  <c r="S79" i="42"/>
  <c r="I80" i="42"/>
  <c r="AF91" i="42"/>
  <c r="AB92" i="42"/>
  <c r="J80" i="42"/>
  <c r="AJ91" i="42"/>
  <c r="AI101" i="42"/>
  <c r="AE78" i="42"/>
  <c r="S77" i="42"/>
  <c r="V79" i="42"/>
  <c r="N91" i="42"/>
  <c r="W53" i="42"/>
  <c r="W65" i="42"/>
  <c r="V89" i="42"/>
  <c r="V77" i="42"/>
  <c r="I65" i="42"/>
  <c r="I53" i="42"/>
  <c r="Y65" i="42"/>
  <c r="Y53" i="42"/>
  <c r="J65" i="42"/>
  <c r="J53" i="42"/>
  <c r="Z65" i="42"/>
  <c r="Z53" i="42"/>
  <c r="K65" i="42"/>
  <c r="K53" i="42"/>
  <c r="AA65" i="42"/>
  <c r="AA53" i="42"/>
  <c r="O65" i="42"/>
  <c r="O53" i="42"/>
  <c r="AE65" i="42"/>
  <c r="AE53" i="42"/>
  <c r="AF65" i="42"/>
  <c r="AF53" i="42"/>
  <c r="P89" i="42"/>
  <c r="P77" i="42"/>
  <c r="AF89" i="42"/>
  <c r="AF77" i="42"/>
  <c r="T59" i="42"/>
  <c r="AJ59" i="42"/>
  <c r="Q58" i="42"/>
  <c r="AG58" i="42"/>
  <c r="N57" i="42"/>
  <c r="AD57" i="42"/>
  <c r="K56" i="42"/>
  <c r="AA56" i="42"/>
  <c r="X55" i="42"/>
  <c r="AF83" i="42"/>
  <c r="U54" i="42"/>
  <c r="Y77" i="42"/>
  <c r="M78" i="42"/>
  <c r="AC78" i="42"/>
  <c r="Q79" i="42"/>
  <c r="AG79" i="42"/>
  <c r="U80" i="42"/>
  <c r="I81" i="42"/>
  <c r="Y81" i="42"/>
  <c r="M82" i="42"/>
  <c r="AC82" i="42"/>
  <c r="Q83" i="42"/>
  <c r="AG83" i="42"/>
  <c r="Q101" i="42"/>
  <c r="AG101" i="42"/>
  <c r="AH53" i="42"/>
  <c r="N78" i="42"/>
  <c r="AD78" i="42"/>
  <c r="R79" i="42"/>
  <c r="AH79" i="42"/>
  <c r="V80" i="42"/>
  <c r="J81" i="42"/>
  <c r="Z81" i="42"/>
  <c r="N82" i="42"/>
  <c r="AD82" i="42"/>
  <c r="R83" i="42"/>
  <c r="AH83" i="42"/>
  <c r="R101" i="42"/>
  <c r="AH101" i="42"/>
  <c r="E23" i="41"/>
  <c r="D22" i="41"/>
  <c r="M89" i="42" l="1"/>
  <c r="U89" i="42"/>
  <c r="U77" i="42"/>
  <c r="T77" i="42"/>
  <c r="T89" i="42"/>
  <c r="X89" i="42"/>
  <c r="X77" i="42"/>
  <c r="W89" i="42"/>
  <c r="K89" i="42"/>
  <c r="K77" i="42"/>
  <c r="AC77" i="42"/>
  <c r="AC89" i="42"/>
  <c r="I77" i="42"/>
  <c r="AA89" i="42"/>
  <c r="AA77" i="42"/>
  <c r="I29" i="42"/>
  <c r="I5" i="42"/>
  <c r="I41" i="42"/>
  <c r="I17" i="42"/>
  <c r="AI53" i="42"/>
  <c r="AI65" i="42"/>
  <c r="R53" i="42"/>
  <c r="N53" i="42"/>
  <c r="N65" i="42"/>
  <c r="AJ53" i="42"/>
  <c r="AJ65" i="42"/>
  <c r="O77" i="42"/>
  <c r="O89" i="42"/>
  <c r="AI89" i="42"/>
  <c r="AI77" i="42"/>
  <c r="AG89" i="42"/>
  <c r="AG77" i="42"/>
  <c r="Q77" i="42"/>
  <c r="Q89" i="42"/>
  <c r="X65" i="42"/>
  <c r="X53" i="42"/>
  <c r="AH89" i="42"/>
  <c r="AH77" i="42"/>
  <c r="R89" i="42"/>
  <c r="R77" i="42"/>
  <c r="AH17" i="42" l="1"/>
  <c r="R17" i="42"/>
  <c r="K17" i="42"/>
  <c r="I21" i="42"/>
  <c r="AG17" i="42"/>
  <c r="Q17" i="42"/>
  <c r="AF17" i="42"/>
  <c r="P17" i="42"/>
  <c r="AB17" i="42"/>
  <c r="AA17" i="42"/>
  <c r="AE17" i="42"/>
  <c r="O17" i="42"/>
  <c r="I19" i="42"/>
  <c r="AD17" i="42"/>
  <c r="N17" i="42"/>
  <c r="L17" i="42"/>
  <c r="T17" i="42"/>
  <c r="I20" i="42"/>
  <c r="AC17" i="42"/>
  <c r="M17" i="42"/>
  <c r="X17" i="42"/>
  <c r="I18" i="42"/>
  <c r="U17" i="42"/>
  <c r="W17" i="42"/>
  <c r="S17" i="42"/>
  <c r="Z17" i="42"/>
  <c r="J17" i="42"/>
  <c r="I23" i="42"/>
  <c r="V17" i="42"/>
  <c r="AI17" i="42"/>
  <c r="Y17" i="42"/>
  <c r="AJ17" i="42"/>
  <c r="I22" i="42"/>
  <c r="AH41" i="42"/>
  <c r="R41" i="42"/>
  <c r="X41" i="42"/>
  <c r="AG41" i="42"/>
  <c r="Q41" i="42"/>
  <c r="AB41" i="42"/>
  <c r="W41" i="42"/>
  <c r="I44" i="42"/>
  <c r="AF41" i="42"/>
  <c r="P41" i="42"/>
  <c r="V41" i="42"/>
  <c r="AE41" i="42"/>
  <c r="O41" i="42"/>
  <c r="I42" i="42"/>
  <c r="AD41" i="42"/>
  <c r="N41" i="42"/>
  <c r="L41" i="42"/>
  <c r="I43" i="42"/>
  <c r="AC41" i="42"/>
  <c r="M41" i="42"/>
  <c r="I47" i="42"/>
  <c r="AA41" i="42"/>
  <c r="K41" i="42"/>
  <c r="U41" i="42"/>
  <c r="Z41" i="42"/>
  <c r="J41" i="42"/>
  <c r="Y41" i="42"/>
  <c r="I46" i="42"/>
  <c r="I45" i="42"/>
  <c r="AJ41" i="42"/>
  <c r="T41" i="42"/>
  <c r="AI41" i="42"/>
  <c r="S41" i="42"/>
  <c r="AH5" i="42"/>
  <c r="R5" i="42"/>
  <c r="AB5" i="42"/>
  <c r="V5" i="42"/>
  <c r="AG5" i="42"/>
  <c r="Q5" i="42"/>
  <c r="AA5" i="42"/>
  <c r="I6" i="42"/>
  <c r="I9" i="42"/>
  <c r="AF5" i="42"/>
  <c r="P5" i="42"/>
  <c r="Y5" i="42"/>
  <c r="AI5" i="42"/>
  <c r="AE5" i="42"/>
  <c r="O5" i="42"/>
  <c r="T5" i="42"/>
  <c r="AD5" i="42"/>
  <c r="N5" i="42"/>
  <c r="L5" i="42"/>
  <c r="K5" i="42"/>
  <c r="I11" i="42"/>
  <c r="I10" i="42"/>
  <c r="I7" i="42"/>
  <c r="AC5" i="42"/>
  <c r="M5" i="42"/>
  <c r="AJ5" i="42"/>
  <c r="I8" i="42"/>
  <c r="Z5" i="42"/>
  <c r="J5" i="42"/>
  <c r="X5" i="42"/>
  <c r="W5" i="42"/>
  <c r="U5" i="42"/>
  <c r="S5" i="42"/>
  <c r="AJ29" i="42"/>
  <c r="T29" i="42"/>
  <c r="K29" i="42"/>
  <c r="I35" i="42"/>
  <c r="I33" i="42"/>
  <c r="AI29" i="42"/>
  <c r="S29" i="42"/>
  <c r="M29" i="42"/>
  <c r="W29" i="42"/>
  <c r="U29" i="42"/>
  <c r="AH29" i="42"/>
  <c r="R29" i="42"/>
  <c r="I31" i="42"/>
  <c r="V29" i="42"/>
  <c r="AG29" i="42"/>
  <c r="Q29" i="42"/>
  <c r="AD29" i="42"/>
  <c r="AA29" i="42"/>
  <c r="I32" i="42"/>
  <c r="AF29" i="42"/>
  <c r="P29" i="42"/>
  <c r="AE29" i="42"/>
  <c r="O29" i="42"/>
  <c r="AC29" i="42"/>
  <c r="Z29" i="42"/>
  <c r="I30" i="42"/>
  <c r="N29" i="42"/>
  <c r="Y29" i="42"/>
  <c r="J29" i="42"/>
  <c r="AB29" i="42"/>
  <c r="L29" i="42"/>
  <c r="X29" i="42"/>
  <c r="I34" i="42"/>
  <c r="T47" i="42" l="1"/>
  <c r="T42" i="42"/>
  <c r="T45" i="42"/>
  <c r="T43" i="42"/>
  <c r="T44" i="42"/>
  <c r="T46" i="42"/>
  <c r="N32" i="42"/>
  <c r="N33" i="42"/>
  <c r="N31" i="42"/>
  <c r="N30" i="42"/>
  <c r="N34" i="42"/>
  <c r="N35" i="42"/>
  <c r="AH33" i="42"/>
  <c r="AH32" i="42"/>
  <c r="AH35" i="42"/>
  <c r="AH31" i="42"/>
  <c r="AH34" i="42"/>
  <c r="AH30" i="42"/>
  <c r="O46" i="42"/>
  <c r="O42" i="42"/>
  <c r="O47" i="42"/>
  <c r="O44" i="42"/>
  <c r="O45" i="42"/>
  <c r="O43" i="42"/>
  <c r="AI18" i="42"/>
  <c r="AI22" i="42"/>
  <c r="AI20" i="42"/>
  <c r="AI21" i="42"/>
  <c r="AI19" i="42"/>
  <c r="AI23" i="42"/>
  <c r="AD22" i="42"/>
  <c r="AD21" i="42"/>
  <c r="AD18" i="42"/>
  <c r="AD20" i="42"/>
  <c r="AD23" i="42"/>
  <c r="AD19" i="42"/>
  <c r="AH8" i="42"/>
  <c r="AI8" i="42"/>
  <c r="AF8" i="42"/>
  <c r="AE8" i="42"/>
  <c r="W8" i="42"/>
  <c r="K8" i="42"/>
  <c r="N8" i="42"/>
  <c r="AA8" i="42"/>
  <c r="AD8" i="42"/>
  <c r="O8" i="42"/>
  <c r="AG8" i="42"/>
  <c r="P8" i="42"/>
  <c r="Y8" i="42"/>
  <c r="M8" i="42"/>
  <c r="J8" i="42"/>
  <c r="AC8" i="42"/>
  <c r="S8" i="42"/>
  <c r="Z8" i="42"/>
  <c r="R8" i="42"/>
  <c r="AB8" i="42"/>
  <c r="U8" i="42"/>
  <c r="T8" i="42"/>
  <c r="AJ8" i="42"/>
  <c r="L8" i="42"/>
  <c r="Q8" i="42"/>
  <c r="V8" i="42"/>
  <c r="X8" i="42"/>
  <c r="AE46" i="42"/>
  <c r="AE42" i="42"/>
  <c r="AE47" i="42"/>
  <c r="AE44" i="42"/>
  <c r="AE43" i="42"/>
  <c r="AE45" i="42"/>
  <c r="V19" i="42"/>
  <c r="V23" i="42"/>
  <c r="V21" i="42"/>
  <c r="V18" i="42"/>
  <c r="V22" i="42"/>
  <c r="V20" i="42"/>
  <c r="Y30" i="42"/>
  <c r="Y35" i="42"/>
  <c r="Y34" i="42"/>
  <c r="Y32" i="42"/>
  <c r="Y33" i="42"/>
  <c r="Y31" i="42"/>
  <c r="Z31" i="42"/>
  <c r="Z35" i="42"/>
  <c r="Z32" i="42"/>
  <c r="Z34" i="42"/>
  <c r="Z33" i="42"/>
  <c r="Z30" i="42"/>
  <c r="W35" i="42"/>
  <c r="W30" i="42"/>
  <c r="W31" i="42"/>
  <c r="W33" i="42"/>
  <c r="W32" i="42"/>
  <c r="W34" i="42"/>
  <c r="Y45" i="42"/>
  <c r="Y47" i="42"/>
  <c r="Y46" i="42"/>
  <c r="Y44" i="42"/>
  <c r="Y42" i="42"/>
  <c r="Y43" i="42"/>
  <c r="V45" i="42"/>
  <c r="V44" i="42"/>
  <c r="V42" i="42"/>
  <c r="V43" i="42"/>
  <c r="V46" i="42"/>
  <c r="V47" i="42"/>
  <c r="O22" i="42"/>
  <c r="O18" i="42"/>
  <c r="O19" i="42"/>
  <c r="O21" i="42"/>
  <c r="O23" i="42"/>
  <c r="O20" i="42"/>
  <c r="AD46" i="42"/>
  <c r="AD42" i="42"/>
  <c r="AD43" i="42"/>
  <c r="AD45" i="42"/>
  <c r="AD47" i="42"/>
  <c r="AD44" i="42"/>
  <c r="U34" i="42"/>
  <c r="U31" i="42"/>
  <c r="U33" i="42"/>
  <c r="U30" i="42"/>
  <c r="U32" i="42"/>
  <c r="U35" i="42"/>
  <c r="AC32" i="42"/>
  <c r="AC31" i="42"/>
  <c r="AC30" i="42"/>
  <c r="AC33" i="42"/>
  <c r="AC35" i="42"/>
  <c r="AC34" i="42"/>
  <c r="M32" i="42"/>
  <c r="M30" i="42"/>
  <c r="M31" i="42"/>
  <c r="M33" i="42"/>
  <c r="M35" i="42"/>
  <c r="M34" i="42"/>
  <c r="AG9" i="42"/>
  <c r="S9" i="42"/>
  <c r="AH9" i="42"/>
  <c r="R9" i="42"/>
  <c r="AJ9" i="42"/>
  <c r="AI9" i="42"/>
  <c r="U9" i="42"/>
  <c r="Y9" i="42"/>
  <c r="K9" i="42"/>
  <c r="AE9" i="42"/>
  <c r="W9" i="42"/>
  <c r="AA9" i="42"/>
  <c r="N9" i="42"/>
  <c r="Q9" i="42"/>
  <c r="AD9" i="42"/>
  <c r="V9" i="42"/>
  <c r="J9" i="42"/>
  <c r="X9" i="42"/>
  <c r="P9" i="42"/>
  <c r="Z9" i="42"/>
  <c r="M9" i="42"/>
  <c r="AF9" i="42"/>
  <c r="L9" i="42"/>
  <c r="AC9" i="42"/>
  <c r="T9" i="42"/>
  <c r="AB9" i="42"/>
  <c r="O9" i="42"/>
  <c r="J45" i="42"/>
  <c r="J47" i="42"/>
  <c r="J42" i="42"/>
  <c r="J44" i="42"/>
  <c r="J46" i="42"/>
  <c r="J43" i="42"/>
  <c r="P46" i="42"/>
  <c r="P44" i="42"/>
  <c r="P47" i="42"/>
  <c r="P42" i="42"/>
  <c r="P45" i="42"/>
  <c r="P43" i="42"/>
  <c r="J21" i="42"/>
  <c r="J19" i="42"/>
  <c r="J18" i="42"/>
  <c r="J23" i="42"/>
  <c r="J20" i="42"/>
  <c r="J22" i="42"/>
  <c r="AE22" i="42"/>
  <c r="AE18" i="42"/>
  <c r="AE20" i="42"/>
  <c r="AE19" i="42"/>
  <c r="AE21" i="42"/>
  <c r="AE23" i="42"/>
  <c r="O32" i="42"/>
  <c r="O31" i="42"/>
  <c r="O35" i="42"/>
  <c r="O30" i="42"/>
  <c r="O33" i="42"/>
  <c r="O34" i="42"/>
  <c r="S34" i="42"/>
  <c r="S33" i="42"/>
  <c r="S30" i="42"/>
  <c r="S35" i="42"/>
  <c r="S31" i="42"/>
  <c r="S32" i="42"/>
  <c r="AC6" i="42"/>
  <c r="J6" i="42"/>
  <c r="O6" i="42"/>
  <c r="AE6" i="42"/>
  <c r="M6" i="42"/>
  <c r="Z6" i="42"/>
  <c r="AH6" i="42"/>
  <c r="W6" i="42"/>
  <c r="Y6" i="42"/>
  <c r="AI6" i="42"/>
  <c r="T6" i="42"/>
  <c r="AJ6" i="42"/>
  <c r="L6" i="42"/>
  <c r="N6" i="42"/>
  <c r="AB6" i="42"/>
  <c r="AD6" i="42"/>
  <c r="Q6" i="42"/>
  <c r="V6" i="42"/>
  <c r="K6" i="42"/>
  <c r="X6" i="42"/>
  <c r="AG6" i="42"/>
  <c r="AA6" i="42"/>
  <c r="AF6" i="42"/>
  <c r="U6" i="42"/>
  <c r="P6" i="42"/>
  <c r="R6" i="42"/>
  <c r="S6" i="42"/>
  <c r="Z45" i="42"/>
  <c r="Z44" i="42"/>
  <c r="Z47" i="42"/>
  <c r="Z42" i="42"/>
  <c r="Z46" i="42"/>
  <c r="Z43" i="42"/>
  <c r="AF46" i="42"/>
  <c r="AF44" i="42"/>
  <c r="AF47" i="42"/>
  <c r="AF42" i="42"/>
  <c r="AF45" i="42"/>
  <c r="AF43" i="42"/>
  <c r="Z21" i="42"/>
  <c r="Z19" i="42"/>
  <c r="Z23" i="42"/>
  <c r="Z20" i="42"/>
  <c r="Z18" i="42"/>
  <c r="Z22" i="42"/>
  <c r="AA21" i="42"/>
  <c r="AA22" i="42"/>
  <c r="AA20" i="42"/>
  <c r="AA19" i="42"/>
  <c r="AA18" i="42"/>
  <c r="AA23" i="42"/>
  <c r="AJ19" i="42"/>
  <c r="AJ18" i="42"/>
  <c r="AJ22" i="42"/>
  <c r="AJ20" i="42"/>
  <c r="AJ23" i="42"/>
  <c r="AJ21" i="42"/>
  <c r="AE32" i="42"/>
  <c r="AE31" i="42"/>
  <c r="AE35" i="42"/>
  <c r="AE33" i="42"/>
  <c r="AE30" i="42"/>
  <c r="AE34" i="42"/>
  <c r="AI34" i="42"/>
  <c r="AI32" i="42"/>
  <c r="AI33" i="42"/>
  <c r="AI30" i="42"/>
  <c r="AI35" i="42"/>
  <c r="AI31" i="42"/>
  <c r="AA7" i="42"/>
  <c r="W7" i="42"/>
  <c r="AC7" i="42"/>
  <c r="V7" i="42"/>
  <c r="AJ7" i="42"/>
  <c r="P7" i="42"/>
  <c r="N7" i="42"/>
  <c r="AE7" i="42"/>
  <c r="AB7" i="42"/>
  <c r="M7" i="42"/>
  <c r="AI7" i="42"/>
  <c r="AD7" i="42"/>
  <c r="R7" i="42"/>
  <c r="S7" i="42"/>
  <c r="J7" i="42"/>
  <c r="AF7" i="42"/>
  <c r="Z7" i="42"/>
  <c r="T7" i="42"/>
  <c r="L7" i="42"/>
  <c r="AH7" i="42"/>
  <c r="Q7" i="42"/>
  <c r="U7" i="42"/>
  <c r="AG7" i="42"/>
  <c r="Y7" i="42"/>
  <c r="O7" i="42"/>
  <c r="X7" i="42"/>
  <c r="K7" i="42"/>
  <c r="U44" i="42"/>
  <c r="U43" i="42"/>
  <c r="U46" i="42"/>
  <c r="U42" i="42"/>
  <c r="U47" i="42"/>
  <c r="U45" i="42"/>
  <c r="S18" i="42"/>
  <c r="S22" i="42"/>
  <c r="S20" i="42"/>
  <c r="S21" i="42"/>
  <c r="S19" i="42"/>
  <c r="S23" i="42"/>
  <c r="AB21" i="42"/>
  <c r="AB18" i="42"/>
  <c r="AB23" i="42"/>
  <c r="AB20" i="42"/>
  <c r="AB22" i="42"/>
  <c r="AB19" i="42"/>
  <c r="P33" i="42"/>
  <c r="P32" i="42"/>
  <c r="P34" i="42"/>
  <c r="P30" i="42"/>
  <c r="P35" i="42"/>
  <c r="P31" i="42"/>
  <c r="Y10" i="42"/>
  <c r="Z10" i="42"/>
  <c r="L10" i="42"/>
  <c r="R10" i="42"/>
  <c r="AB10" i="42"/>
  <c r="N10" i="42"/>
  <c r="AH10" i="42"/>
  <c r="AD10" i="42"/>
  <c r="T10" i="42"/>
  <c r="Q10" i="42"/>
  <c r="AJ10" i="42"/>
  <c r="K10" i="42"/>
  <c r="AG10" i="42"/>
  <c r="U10" i="42"/>
  <c r="O10" i="42"/>
  <c r="V10" i="42"/>
  <c r="AE10" i="42"/>
  <c r="X10" i="42"/>
  <c r="S10" i="42"/>
  <c r="AA10" i="42"/>
  <c r="M10" i="42"/>
  <c r="P10" i="42"/>
  <c r="AI10" i="42"/>
  <c r="AC10" i="42"/>
  <c r="AF10" i="42"/>
  <c r="J10" i="42"/>
  <c r="W10" i="42"/>
  <c r="K45" i="42"/>
  <c r="K46" i="42"/>
  <c r="K43" i="42"/>
  <c r="K44" i="42"/>
  <c r="K47" i="42"/>
  <c r="K42" i="42"/>
  <c r="W44" i="42"/>
  <c r="W43" i="42"/>
  <c r="W45" i="42"/>
  <c r="W42" i="42"/>
  <c r="W46" i="42"/>
  <c r="W47" i="42"/>
  <c r="W20" i="42"/>
  <c r="W22" i="42"/>
  <c r="W19" i="42"/>
  <c r="W21" i="42"/>
  <c r="W18" i="42"/>
  <c r="W23" i="42"/>
  <c r="P23" i="42"/>
  <c r="P19" i="42"/>
  <c r="P21" i="42"/>
  <c r="P20" i="42"/>
  <c r="P18" i="42"/>
  <c r="P22" i="42"/>
  <c r="AF34" i="42"/>
  <c r="AF33" i="42"/>
  <c r="AF32" i="42"/>
  <c r="AF31" i="42"/>
  <c r="AF35" i="42"/>
  <c r="AF30" i="42"/>
  <c r="AB11" i="42"/>
  <c r="J11" i="42"/>
  <c r="AD11" i="42"/>
  <c r="M11" i="42"/>
  <c r="Z11" i="42"/>
  <c r="AC11" i="42"/>
  <c r="O11" i="42"/>
  <c r="U11" i="42"/>
  <c r="Y11" i="42"/>
  <c r="AE11" i="42"/>
  <c r="Q11" i="42"/>
  <c r="L11" i="42"/>
  <c r="AG11" i="42"/>
  <c r="W11" i="42"/>
  <c r="T11" i="42"/>
  <c r="X11" i="42"/>
  <c r="AJ11" i="42"/>
  <c r="R11" i="42"/>
  <c r="AH11" i="42"/>
  <c r="K11" i="42"/>
  <c r="S11" i="42"/>
  <c r="AA11" i="42"/>
  <c r="V11" i="42"/>
  <c r="P11" i="42"/>
  <c r="N11" i="42"/>
  <c r="AF11" i="42"/>
  <c r="AI11" i="42"/>
  <c r="AA45" i="42"/>
  <c r="AA46" i="42"/>
  <c r="AA43" i="42"/>
  <c r="AA47" i="42"/>
  <c r="AA44" i="42"/>
  <c r="AA42" i="42"/>
  <c r="AB45" i="42"/>
  <c r="AB42" i="42"/>
  <c r="AB46" i="42"/>
  <c r="AB47" i="42"/>
  <c r="AB44" i="42"/>
  <c r="AB43" i="42"/>
  <c r="U19" i="42"/>
  <c r="U20" i="42"/>
  <c r="U22" i="42"/>
  <c r="U18" i="42"/>
  <c r="U21" i="42"/>
  <c r="U23" i="42"/>
  <c r="AF23" i="42"/>
  <c r="AF19" i="42"/>
  <c r="AF21" i="42"/>
  <c r="AF20" i="42"/>
  <c r="AF18" i="42"/>
  <c r="AF22" i="42"/>
  <c r="Y20" i="42"/>
  <c r="Y18" i="42"/>
  <c r="Y22" i="42"/>
  <c r="Y19" i="42"/>
  <c r="Y23" i="42"/>
  <c r="Y21" i="42"/>
  <c r="K31" i="42"/>
  <c r="K30" i="42"/>
  <c r="K33" i="42"/>
  <c r="K32" i="42"/>
  <c r="K35" i="42"/>
  <c r="K34" i="42"/>
  <c r="Q47" i="42"/>
  <c r="Q42" i="42"/>
  <c r="Q43" i="42"/>
  <c r="Q46" i="42"/>
  <c r="Q44" i="42"/>
  <c r="Q45" i="42"/>
  <c r="Q23" i="42"/>
  <c r="Q22" i="42"/>
  <c r="Q18" i="42"/>
  <c r="Q19" i="42"/>
  <c r="Q21" i="42"/>
  <c r="Q20" i="42"/>
  <c r="AJ47" i="42"/>
  <c r="AJ44" i="42"/>
  <c r="AJ45" i="42"/>
  <c r="AJ46" i="42"/>
  <c r="AJ43" i="42"/>
  <c r="AJ42" i="42"/>
  <c r="AA31" i="42"/>
  <c r="AA33" i="42"/>
  <c r="AA30" i="42"/>
  <c r="AA35" i="42"/>
  <c r="AA34" i="42"/>
  <c r="AA32" i="42"/>
  <c r="T34" i="42"/>
  <c r="T30" i="42"/>
  <c r="T33" i="42"/>
  <c r="T32" i="42"/>
  <c r="T31" i="42"/>
  <c r="T35" i="42"/>
  <c r="M46" i="42"/>
  <c r="M42" i="42"/>
  <c r="M45" i="42"/>
  <c r="M43" i="42"/>
  <c r="M44" i="42"/>
  <c r="M47" i="42"/>
  <c r="AG47" i="42"/>
  <c r="AG42" i="42"/>
  <c r="AG45" i="42"/>
  <c r="AG43" i="42"/>
  <c r="AG46" i="42"/>
  <c r="AG44" i="42"/>
  <c r="X20" i="42"/>
  <c r="X19" i="42"/>
  <c r="X21" i="42"/>
  <c r="X23" i="42"/>
  <c r="X18" i="42"/>
  <c r="X22" i="42"/>
  <c r="AG23" i="42"/>
  <c r="AG18" i="42"/>
  <c r="AG22" i="42"/>
  <c r="AG19" i="42"/>
  <c r="AG21" i="42"/>
  <c r="AG20" i="42"/>
  <c r="L21" i="42"/>
  <c r="L18" i="42"/>
  <c r="L23" i="42"/>
  <c r="L20" i="42"/>
  <c r="L22" i="42"/>
  <c r="L19" i="42"/>
  <c r="AD32" i="42"/>
  <c r="AD31" i="42"/>
  <c r="AD33" i="42"/>
  <c r="AD30" i="42"/>
  <c r="AD34" i="42"/>
  <c r="AD35" i="42"/>
  <c r="AJ34" i="42"/>
  <c r="AJ33" i="42"/>
  <c r="AJ30" i="42"/>
  <c r="AJ32" i="42"/>
  <c r="AJ31" i="42"/>
  <c r="AJ35" i="42"/>
  <c r="AC46" i="42"/>
  <c r="AC47" i="42"/>
  <c r="AC42" i="42"/>
  <c r="AC45" i="42"/>
  <c r="AC43" i="42"/>
  <c r="AC44" i="42"/>
  <c r="X44" i="42"/>
  <c r="X45" i="42"/>
  <c r="X46" i="42"/>
  <c r="X43" i="42"/>
  <c r="X47" i="42"/>
  <c r="X42" i="42"/>
  <c r="M22" i="42"/>
  <c r="M20" i="42"/>
  <c r="M19" i="42"/>
  <c r="M21" i="42"/>
  <c r="M18" i="42"/>
  <c r="M23" i="42"/>
  <c r="N22" i="42"/>
  <c r="N21" i="42"/>
  <c r="N18" i="42"/>
  <c r="N20" i="42"/>
  <c r="N23" i="42"/>
  <c r="N19" i="42"/>
  <c r="X35" i="42"/>
  <c r="X32" i="42"/>
  <c r="X34" i="42"/>
  <c r="X33" i="42"/>
  <c r="X31" i="42"/>
  <c r="X30" i="42"/>
  <c r="Q33" i="42"/>
  <c r="Q31" i="42"/>
  <c r="Q30" i="42"/>
  <c r="Q35" i="42"/>
  <c r="Q32" i="42"/>
  <c r="Q34" i="42"/>
  <c r="R47" i="42"/>
  <c r="R46" i="42"/>
  <c r="R43" i="42"/>
  <c r="R44" i="42"/>
  <c r="R42" i="42"/>
  <c r="R45" i="42"/>
  <c r="AC22" i="42"/>
  <c r="AC23" i="42"/>
  <c r="AC19" i="42"/>
  <c r="AC21" i="42"/>
  <c r="AC20" i="42"/>
  <c r="AC18" i="42"/>
  <c r="K21" i="42"/>
  <c r="K20" i="42"/>
  <c r="K22" i="42"/>
  <c r="K19" i="42"/>
  <c r="K18" i="42"/>
  <c r="K23" i="42"/>
  <c r="R33" i="42"/>
  <c r="R32" i="42"/>
  <c r="R35" i="42"/>
  <c r="R31" i="42"/>
  <c r="R34" i="42"/>
  <c r="R30" i="42"/>
  <c r="L31" i="42"/>
  <c r="L32" i="42"/>
  <c r="L35" i="42"/>
  <c r="L30" i="42"/>
  <c r="L34" i="42"/>
  <c r="L33" i="42"/>
  <c r="AG33" i="42"/>
  <c r="AG34" i="42"/>
  <c r="AG30" i="42"/>
  <c r="AG31" i="42"/>
  <c r="AG35" i="42"/>
  <c r="AG32" i="42"/>
  <c r="S47" i="42"/>
  <c r="S42" i="42"/>
  <c r="S43" i="42"/>
  <c r="S45" i="42"/>
  <c r="S46" i="42"/>
  <c r="S44" i="42"/>
  <c r="L45" i="42"/>
  <c r="L46" i="42"/>
  <c r="L43" i="42"/>
  <c r="L47" i="42"/>
  <c r="L42" i="42"/>
  <c r="L44" i="42"/>
  <c r="AH47" i="42"/>
  <c r="AH42" i="42"/>
  <c r="AH45" i="42"/>
  <c r="AH46" i="42"/>
  <c r="AH43" i="42"/>
  <c r="AH44" i="42"/>
  <c r="R23" i="42"/>
  <c r="R19" i="42"/>
  <c r="R20" i="42"/>
  <c r="R22" i="42"/>
  <c r="R18" i="42"/>
  <c r="R21" i="42"/>
  <c r="J31" i="42"/>
  <c r="J35" i="42"/>
  <c r="J30" i="42"/>
  <c r="J32" i="42"/>
  <c r="J34" i="42"/>
  <c r="J33" i="42"/>
  <c r="AB31" i="42"/>
  <c r="AB32" i="42"/>
  <c r="AB35" i="42"/>
  <c r="AB33" i="42"/>
  <c r="AB30" i="42"/>
  <c r="AB34" i="42"/>
  <c r="V35" i="42"/>
  <c r="V34" i="42"/>
  <c r="V31" i="42"/>
  <c r="V30" i="42"/>
  <c r="V32" i="42"/>
  <c r="V33" i="42"/>
  <c r="AI47" i="42"/>
  <c r="AI42" i="42"/>
  <c r="AI44" i="42"/>
  <c r="AI43" i="42"/>
  <c r="AI45" i="42"/>
  <c r="AI46" i="42"/>
  <c r="N46" i="42"/>
  <c r="N45" i="42"/>
  <c r="N42" i="42"/>
  <c r="N43" i="42"/>
  <c r="N47" i="42"/>
  <c r="N44" i="42"/>
  <c r="T19" i="42"/>
  <c r="T21" i="42"/>
  <c r="T18" i="42"/>
  <c r="T23" i="42"/>
  <c r="T20" i="42"/>
  <c r="T22" i="42"/>
  <c r="AH23" i="42"/>
  <c r="AH21" i="42"/>
  <c r="AH18" i="42"/>
  <c r="AH19" i="42"/>
  <c r="AH20" i="42"/>
  <c r="AH22" i="42"/>
  <c r="E23" i="27" l="1"/>
  <c r="D22" i="27"/>
  <c r="C5" i="28" l="1"/>
  <c r="C257" i="28"/>
  <c r="C233" i="28"/>
  <c r="C221" i="28"/>
  <c r="C173" i="28"/>
  <c r="C161" i="28"/>
  <c r="F155" i="28"/>
  <c r="F154" i="28"/>
  <c r="F153" i="28"/>
  <c r="F152" i="28"/>
  <c r="F151" i="28"/>
  <c r="F150" i="28"/>
  <c r="AJ143" i="28"/>
  <c r="AJ71" i="28" s="1"/>
  <c r="AI143" i="28"/>
  <c r="AH143" i="28"/>
  <c r="AH59" i="28" s="1"/>
  <c r="AG143" i="28"/>
  <c r="AG71" i="28" s="1"/>
  <c r="AF143" i="28"/>
  <c r="AE143" i="28"/>
  <c r="AD143" i="28"/>
  <c r="AC143" i="28"/>
  <c r="AB143" i="28"/>
  <c r="AA143" i="28"/>
  <c r="Z143" i="28"/>
  <c r="Y143" i="28"/>
  <c r="X143" i="28"/>
  <c r="X71" i="28" s="1"/>
  <c r="W143" i="28"/>
  <c r="V143" i="28"/>
  <c r="U143" i="28"/>
  <c r="T143" i="28"/>
  <c r="T71" i="28" s="1"/>
  <c r="S143" i="28"/>
  <c r="R143" i="28"/>
  <c r="R71" i="28" s="1"/>
  <c r="Q143" i="28"/>
  <c r="P143" i="28"/>
  <c r="O143" i="28"/>
  <c r="N143" i="28"/>
  <c r="M143" i="28"/>
  <c r="L143" i="28"/>
  <c r="K143" i="28"/>
  <c r="J143" i="28"/>
  <c r="I143" i="28"/>
  <c r="AJ142" i="28"/>
  <c r="AJ70" i="28" s="1"/>
  <c r="AI142" i="28"/>
  <c r="AH142" i="28"/>
  <c r="AG142" i="28"/>
  <c r="AG70" i="28" s="1"/>
  <c r="AF142" i="28"/>
  <c r="AE142" i="28"/>
  <c r="AE70" i="28" s="1"/>
  <c r="AD142" i="28"/>
  <c r="AD70" i="28" s="1"/>
  <c r="AC142" i="28"/>
  <c r="AC70" i="28" s="1"/>
  <c r="AB142" i="28"/>
  <c r="AA142" i="28"/>
  <c r="Z142" i="28"/>
  <c r="Y142" i="28"/>
  <c r="X142" i="28"/>
  <c r="W142" i="28"/>
  <c r="V142" i="28"/>
  <c r="U142" i="28"/>
  <c r="T142" i="28"/>
  <c r="T70" i="28" s="1"/>
  <c r="S142" i="28"/>
  <c r="R142" i="28"/>
  <c r="Q142" i="28"/>
  <c r="Q70" i="28" s="1"/>
  <c r="P142" i="28"/>
  <c r="O142" i="28"/>
  <c r="O70" i="28" s="1"/>
  <c r="N142" i="28"/>
  <c r="N70" i="28" s="1"/>
  <c r="M142" i="28"/>
  <c r="M70" i="28" s="1"/>
  <c r="L142" i="28"/>
  <c r="K142" i="28"/>
  <c r="J142" i="28"/>
  <c r="I142" i="28"/>
  <c r="AJ141" i="28"/>
  <c r="AI141" i="28"/>
  <c r="AH141" i="28"/>
  <c r="AG141" i="28"/>
  <c r="AF141" i="28"/>
  <c r="AE141" i="28"/>
  <c r="AD141" i="28"/>
  <c r="AD69" i="28" s="1"/>
  <c r="AC141" i="28"/>
  <c r="AC69" i="28" s="1"/>
  <c r="AB141" i="28"/>
  <c r="AA141" i="28"/>
  <c r="Z141" i="28"/>
  <c r="Z69" i="28" s="1"/>
  <c r="Y141" i="28"/>
  <c r="Y69" i="28" s="1"/>
  <c r="X141" i="28"/>
  <c r="W141" i="28"/>
  <c r="V141" i="28"/>
  <c r="U141" i="28"/>
  <c r="T141" i="28"/>
  <c r="S141" i="28"/>
  <c r="R141" i="28"/>
  <c r="Q141" i="28"/>
  <c r="P141" i="28"/>
  <c r="O141" i="28"/>
  <c r="N141" i="28"/>
  <c r="N69" i="28" s="1"/>
  <c r="M141" i="28"/>
  <c r="M69" i="28" s="1"/>
  <c r="L141" i="28"/>
  <c r="K141" i="28"/>
  <c r="K69" i="28" s="1"/>
  <c r="J141" i="28"/>
  <c r="J57" i="28" s="1"/>
  <c r="I141" i="28"/>
  <c r="I69" i="28" s="1"/>
  <c r="AJ140" i="28"/>
  <c r="AI140" i="28"/>
  <c r="AH140" i="28"/>
  <c r="AG140" i="28"/>
  <c r="AF140" i="28"/>
  <c r="AE140" i="28"/>
  <c r="AD140" i="28"/>
  <c r="AC140" i="28"/>
  <c r="AB140" i="28"/>
  <c r="AA140" i="28"/>
  <c r="AA68" i="28" s="1"/>
  <c r="Z140" i="28"/>
  <c r="Y140" i="28"/>
  <c r="X140" i="28"/>
  <c r="W140" i="28"/>
  <c r="W68" i="28" s="1"/>
  <c r="V140" i="28"/>
  <c r="V68" i="28" s="1"/>
  <c r="U140" i="28"/>
  <c r="T140" i="28"/>
  <c r="S140" i="28"/>
  <c r="R140" i="28"/>
  <c r="Q140" i="28"/>
  <c r="P140" i="28"/>
  <c r="O140" i="28"/>
  <c r="N140" i="28"/>
  <c r="M140" i="28"/>
  <c r="L140" i="28"/>
  <c r="K140" i="28"/>
  <c r="K68" i="28" s="1"/>
  <c r="J140" i="28"/>
  <c r="I140" i="28"/>
  <c r="AJ139" i="28"/>
  <c r="AJ137" i="28" s="1"/>
  <c r="AI139" i="28"/>
  <c r="AI67" i="28" s="1"/>
  <c r="AH139" i="28"/>
  <c r="AH67" i="28" s="1"/>
  <c r="AG139" i="28"/>
  <c r="AG67" i="28" s="1"/>
  <c r="AF139" i="28"/>
  <c r="AE139" i="28"/>
  <c r="AD139" i="28"/>
  <c r="AC139" i="28"/>
  <c r="AB139" i="28"/>
  <c r="AA139" i="28"/>
  <c r="AA137" i="28" s="1"/>
  <c r="Z139" i="28"/>
  <c r="Z137" i="28" s="1"/>
  <c r="Y139" i="28"/>
  <c r="Y137" i="28" s="1"/>
  <c r="X139" i="28"/>
  <c r="X67" i="28" s="1"/>
  <c r="W139" i="28"/>
  <c r="W137" i="28" s="1"/>
  <c r="V139" i="28"/>
  <c r="U139" i="28"/>
  <c r="T139" i="28"/>
  <c r="S139" i="28"/>
  <c r="S137" i="28" s="1"/>
  <c r="R139" i="28"/>
  <c r="R67" i="28" s="1"/>
  <c r="Q139" i="28"/>
  <c r="Q67" i="28" s="1"/>
  <c r="P139" i="28"/>
  <c r="O139" i="28"/>
  <c r="N139" i="28"/>
  <c r="M139" i="28"/>
  <c r="L139" i="28"/>
  <c r="K139" i="28"/>
  <c r="K137" i="28" s="1"/>
  <c r="J139" i="28"/>
  <c r="J137" i="28" s="1"/>
  <c r="I139" i="28"/>
  <c r="I137" i="28" s="1"/>
  <c r="AJ138" i="28"/>
  <c r="AI138" i="28"/>
  <c r="AH138" i="28"/>
  <c r="AG138" i="28"/>
  <c r="AF138" i="28"/>
  <c r="AE138" i="28"/>
  <c r="AD138" i="28"/>
  <c r="AD66" i="28" s="1"/>
  <c r="AC138" i="28"/>
  <c r="AC66" i="28" s="1"/>
  <c r="AB138" i="28"/>
  <c r="AA138" i="28"/>
  <c r="Z138" i="28"/>
  <c r="Y138" i="28"/>
  <c r="X138" i="28"/>
  <c r="W138" i="28"/>
  <c r="V138" i="28"/>
  <c r="U138" i="28"/>
  <c r="U66" i="28" s="1"/>
  <c r="T138" i="28"/>
  <c r="T66" i="28" s="1"/>
  <c r="S138" i="28"/>
  <c r="R138" i="28"/>
  <c r="Q138" i="28"/>
  <c r="P138" i="28"/>
  <c r="O138" i="28"/>
  <c r="N138" i="28"/>
  <c r="N66" i="28" s="1"/>
  <c r="M138" i="28"/>
  <c r="M66" i="28" s="1"/>
  <c r="L138" i="28"/>
  <c r="K138" i="28"/>
  <c r="J138" i="28"/>
  <c r="I138" i="28"/>
  <c r="AF137" i="28"/>
  <c r="AE137" i="28"/>
  <c r="AD137" i="28"/>
  <c r="AC137" i="28"/>
  <c r="AB137" i="28"/>
  <c r="V137" i="28"/>
  <c r="U137" i="28"/>
  <c r="T137" i="28"/>
  <c r="P137" i="28"/>
  <c r="O137" i="28"/>
  <c r="N137" i="28"/>
  <c r="M137" i="28"/>
  <c r="L137" i="28"/>
  <c r="F137" i="28"/>
  <c r="F140" i="28" s="1"/>
  <c r="C137" i="28"/>
  <c r="C125" i="28"/>
  <c r="AJ107" i="28"/>
  <c r="AJ95" i="28" s="1"/>
  <c r="AI107" i="28"/>
  <c r="AI95" i="28" s="1"/>
  <c r="AH107" i="28"/>
  <c r="AG107" i="28"/>
  <c r="AG95" i="28" s="1"/>
  <c r="AF107" i="28"/>
  <c r="AF95" i="28" s="1"/>
  <c r="AE107" i="28"/>
  <c r="AD107" i="28"/>
  <c r="AC107" i="28"/>
  <c r="AB107" i="28"/>
  <c r="AB83" i="28" s="1"/>
  <c r="AA107" i="28"/>
  <c r="AA95" i="28" s="1"/>
  <c r="Z107" i="28"/>
  <c r="Y107" i="28"/>
  <c r="X107" i="28"/>
  <c r="W107" i="28"/>
  <c r="V107" i="28"/>
  <c r="U107" i="28"/>
  <c r="T107" i="28"/>
  <c r="T95" i="28" s="1"/>
  <c r="S107" i="28"/>
  <c r="S95" i="28" s="1"/>
  <c r="R107" i="28"/>
  <c r="R95" i="28" s="1"/>
  <c r="Q107" i="28"/>
  <c r="Q95" i="28" s="1"/>
  <c r="P107" i="28"/>
  <c r="P83" i="28" s="1"/>
  <c r="O107" i="28"/>
  <c r="N107" i="28"/>
  <c r="M107" i="28"/>
  <c r="L107" i="28"/>
  <c r="L95" i="28" s="1"/>
  <c r="K107" i="28"/>
  <c r="K83" i="28" s="1"/>
  <c r="J107" i="28"/>
  <c r="I107" i="28"/>
  <c r="AJ106" i="28"/>
  <c r="AI106" i="28"/>
  <c r="AH106" i="28"/>
  <c r="AG106" i="28"/>
  <c r="AF106" i="28"/>
  <c r="AF94" i="28" s="1"/>
  <c r="AE106" i="28"/>
  <c r="AE94" i="28" s="1"/>
  <c r="AD106" i="28"/>
  <c r="AC106" i="28"/>
  <c r="AC94" i="28" s="1"/>
  <c r="AB106" i="28"/>
  <c r="AB94" i="28" s="1"/>
  <c r="AA106" i="28"/>
  <c r="Z106" i="28"/>
  <c r="Y106" i="28"/>
  <c r="X106" i="28"/>
  <c r="X94" i="28" s="1"/>
  <c r="W106" i="28"/>
  <c r="W94" i="28" s="1"/>
  <c r="V106" i="28"/>
  <c r="U106" i="28"/>
  <c r="T106" i="28"/>
  <c r="S106" i="28"/>
  <c r="R106" i="28"/>
  <c r="Q106" i="28"/>
  <c r="P106" i="28"/>
  <c r="P94" i="28" s="1"/>
  <c r="O106" i="28"/>
  <c r="O94" i="28" s="1"/>
  <c r="N106" i="28"/>
  <c r="M106" i="28"/>
  <c r="M94" i="28" s="1"/>
  <c r="L106" i="28"/>
  <c r="L94" i="28" s="1"/>
  <c r="K106" i="28"/>
  <c r="J106" i="28"/>
  <c r="I106" i="28"/>
  <c r="AJ105" i="28"/>
  <c r="AJ81" i="28" s="1"/>
  <c r="AI105" i="28"/>
  <c r="AI93" i="28" s="1"/>
  <c r="AH105" i="28"/>
  <c r="AG105" i="28"/>
  <c r="AF105" i="28"/>
  <c r="AE105" i="28"/>
  <c r="AD105" i="28"/>
  <c r="AC105" i="28"/>
  <c r="AB105" i="28"/>
  <c r="AB81" i="28" s="1"/>
  <c r="AA105" i="28"/>
  <c r="AA93" i="28" s="1"/>
  <c r="Z105" i="28"/>
  <c r="Z93" i="28" s="1"/>
  <c r="Y105" i="28"/>
  <c r="Y93" i="28" s="1"/>
  <c r="X105" i="28"/>
  <c r="X93" i="28" s="1"/>
  <c r="W105" i="28"/>
  <c r="V105" i="28"/>
  <c r="U105" i="28"/>
  <c r="T105" i="28"/>
  <c r="S105" i="28"/>
  <c r="S81" i="28" s="1"/>
  <c r="R105" i="28"/>
  <c r="Q105" i="28"/>
  <c r="P105" i="28"/>
  <c r="O105" i="28"/>
  <c r="N105" i="28"/>
  <c r="M105" i="28"/>
  <c r="L105" i="28"/>
  <c r="K105" i="28"/>
  <c r="K81" i="28" s="1"/>
  <c r="J105" i="28"/>
  <c r="J93" i="28" s="1"/>
  <c r="I105" i="28"/>
  <c r="I93" i="28" s="1"/>
  <c r="AJ104" i="28"/>
  <c r="AJ92" i="28" s="1"/>
  <c r="AI104" i="28"/>
  <c r="AH104" i="28"/>
  <c r="AG104" i="28"/>
  <c r="AF104" i="28"/>
  <c r="AF92" i="28" s="1"/>
  <c r="AE104" i="28"/>
  <c r="AD104" i="28"/>
  <c r="AC104" i="28"/>
  <c r="AB104" i="28"/>
  <c r="AA104" i="28"/>
  <c r="Z104" i="28"/>
  <c r="Y104" i="28"/>
  <c r="X104" i="28"/>
  <c r="X92" i="28" s="1"/>
  <c r="W104" i="28"/>
  <c r="V104" i="28"/>
  <c r="U104" i="28"/>
  <c r="U92" i="28" s="1"/>
  <c r="T104" i="28"/>
  <c r="T92" i="28" s="1"/>
  <c r="S104" i="28"/>
  <c r="R104" i="28"/>
  <c r="Q104" i="28"/>
  <c r="P104" i="28"/>
  <c r="P92" i="28" s="1"/>
  <c r="O104" i="28"/>
  <c r="O92" i="28" s="1"/>
  <c r="N104" i="28"/>
  <c r="M104" i="28"/>
  <c r="L104" i="28"/>
  <c r="K104" i="28"/>
  <c r="J104" i="28"/>
  <c r="I104" i="28"/>
  <c r="AJ103" i="28"/>
  <c r="AJ91" i="28" s="1"/>
  <c r="AI103" i="28"/>
  <c r="AI101" i="28" s="1"/>
  <c r="AH103" i="28"/>
  <c r="AG103" i="28"/>
  <c r="AG91" i="28" s="1"/>
  <c r="AF103" i="28"/>
  <c r="AF101" i="28" s="1"/>
  <c r="AE103" i="28"/>
  <c r="AD103" i="28"/>
  <c r="AC103" i="28"/>
  <c r="AB103" i="28"/>
  <c r="AB101" i="28" s="1"/>
  <c r="AA103" i="28"/>
  <c r="AA101" i="28" s="1"/>
  <c r="Z103" i="28"/>
  <c r="Y103" i="28"/>
  <c r="X103" i="28"/>
  <c r="W103" i="28"/>
  <c r="V103" i="28"/>
  <c r="U103" i="28"/>
  <c r="T103" i="28"/>
  <c r="T101" i="28" s="1"/>
  <c r="S103" i="28"/>
  <c r="S101" i="28" s="1"/>
  <c r="R103" i="28"/>
  <c r="R101" i="28" s="1"/>
  <c r="Q103" i="28"/>
  <c r="Q91" i="28" s="1"/>
  <c r="P103" i="28"/>
  <c r="P101" i="28" s="1"/>
  <c r="O103" i="28"/>
  <c r="N103" i="28"/>
  <c r="M103" i="28"/>
  <c r="L103" i="28"/>
  <c r="L101" i="28" s="1"/>
  <c r="K103" i="28"/>
  <c r="K101" i="28" s="1"/>
  <c r="J103" i="28"/>
  <c r="I103" i="28"/>
  <c r="AJ102" i="28"/>
  <c r="AI102" i="28"/>
  <c r="AH102" i="28"/>
  <c r="AG102" i="28"/>
  <c r="AF102" i="28"/>
  <c r="AF78" i="28" s="1"/>
  <c r="AE102" i="28"/>
  <c r="AE90" i="28" s="1"/>
  <c r="AD102" i="28"/>
  <c r="AD90" i="28" s="1"/>
  <c r="AC102" i="28"/>
  <c r="AC90" i="28" s="1"/>
  <c r="AB102" i="28"/>
  <c r="AB78" i="28" s="1"/>
  <c r="AA102" i="28"/>
  <c r="Z102" i="28"/>
  <c r="Y102" i="28"/>
  <c r="X102" i="28"/>
  <c r="X90" i="28" s="1"/>
  <c r="W102" i="28"/>
  <c r="W90" i="28" s="1"/>
  <c r="V102" i="28"/>
  <c r="U102" i="28"/>
  <c r="T102" i="28"/>
  <c r="S102" i="28"/>
  <c r="R102" i="28"/>
  <c r="Q102" i="28"/>
  <c r="P102" i="28"/>
  <c r="P90" i="28" s="1"/>
  <c r="O102" i="28"/>
  <c r="O78" i="28" s="1"/>
  <c r="N102" i="28"/>
  <c r="N90" i="28" s="1"/>
  <c r="M102" i="28"/>
  <c r="M90" i="28" s="1"/>
  <c r="L102" i="28"/>
  <c r="L90" i="28" s="1"/>
  <c r="K102" i="28"/>
  <c r="J102" i="28"/>
  <c r="I102" i="28"/>
  <c r="AJ101" i="28"/>
  <c r="AJ89" i="28" s="1"/>
  <c r="AH101" i="28"/>
  <c r="AH89" i="28" s="1"/>
  <c r="AE101" i="28"/>
  <c r="AD101" i="28"/>
  <c r="AC101" i="28"/>
  <c r="Z101" i="28"/>
  <c r="Y101" i="28"/>
  <c r="Y89" i="28" s="1"/>
  <c r="X101" i="28"/>
  <c r="X89" i="28" s="1"/>
  <c r="W101" i="28"/>
  <c r="V101" i="28"/>
  <c r="V77" i="28" s="1"/>
  <c r="U101" i="28"/>
  <c r="U89" i="28" s="1"/>
  <c r="O101" i="28"/>
  <c r="N101" i="28"/>
  <c r="N77" i="28" s="1"/>
  <c r="M101" i="28"/>
  <c r="M89" i="28" s="1"/>
  <c r="J101" i="28"/>
  <c r="I101" i="28"/>
  <c r="I89" i="28" s="1"/>
  <c r="AH95" i="28"/>
  <c r="AE95" i="28"/>
  <c r="AD95" i="28"/>
  <c r="AC95" i="28"/>
  <c r="AB95" i="28"/>
  <c r="Z95" i="28"/>
  <c r="Y95" i="28"/>
  <c r="X95" i="28"/>
  <c r="W95" i="28"/>
  <c r="V95" i="28"/>
  <c r="U95" i="28"/>
  <c r="O95" i="28"/>
  <c r="N95" i="28"/>
  <c r="M95" i="28"/>
  <c r="K95" i="28"/>
  <c r="J95" i="28"/>
  <c r="I95" i="28"/>
  <c r="AJ94" i="28"/>
  <c r="AI94" i="28"/>
  <c r="AH94" i="28"/>
  <c r="AG94" i="28"/>
  <c r="AD94" i="28"/>
  <c r="AA94" i="28"/>
  <c r="Z94" i="28"/>
  <c r="Y94" i="28"/>
  <c r="V94" i="28"/>
  <c r="U94" i="28"/>
  <c r="T94" i="28"/>
  <c r="S94" i="28"/>
  <c r="R94" i="28"/>
  <c r="Q94" i="28"/>
  <c r="N94" i="28"/>
  <c r="K94" i="28"/>
  <c r="J94" i="28"/>
  <c r="I94" i="28"/>
  <c r="AJ93" i="28"/>
  <c r="AH93" i="28"/>
  <c r="AG93" i="28"/>
  <c r="AF93" i="28"/>
  <c r="AE93" i="28"/>
  <c r="AD93" i="28"/>
  <c r="AC93" i="28"/>
  <c r="AB93" i="28"/>
  <c r="W93" i="28"/>
  <c r="V93" i="28"/>
  <c r="U93" i="28"/>
  <c r="T93" i="28"/>
  <c r="S93" i="28"/>
  <c r="R93" i="28"/>
  <c r="Q93" i="28"/>
  <c r="P93" i="28"/>
  <c r="O93" i="28"/>
  <c r="N93" i="28"/>
  <c r="M93" i="28"/>
  <c r="L93" i="28"/>
  <c r="K93" i="28"/>
  <c r="AI92" i="28"/>
  <c r="AH92" i="28"/>
  <c r="AG92" i="28"/>
  <c r="AE92" i="28"/>
  <c r="AD92" i="28"/>
  <c r="AC92" i="28"/>
  <c r="AB92" i="28"/>
  <c r="AA92" i="28"/>
  <c r="Z92" i="28"/>
  <c r="Y92" i="28"/>
  <c r="W92" i="28"/>
  <c r="V92" i="28"/>
  <c r="S92" i="28"/>
  <c r="R92" i="28"/>
  <c r="Q92" i="28"/>
  <c r="N92" i="28"/>
  <c r="M92" i="28"/>
  <c r="L92" i="28"/>
  <c r="K92" i="28"/>
  <c r="J92" i="28"/>
  <c r="I92" i="28"/>
  <c r="AH91" i="28"/>
  <c r="AE91" i="28"/>
  <c r="AD91" i="28"/>
  <c r="AC91" i="28"/>
  <c r="Z91" i="28"/>
  <c r="Y91" i="28"/>
  <c r="X91" i="28"/>
  <c r="W91" i="28"/>
  <c r="V91" i="28"/>
  <c r="U91" i="28"/>
  <c r="O91" i="28"/>
  <c r="N91" i="28"/>
  <c r="M91" i="28"/>
  <c r="J91" i="28"/>
  <c r="I91" i="28"/>
  <c r="AJ90" i="28"/>
  <c r="AI90" i="28"/>
  <c r="AH90" i="28"/>
  <c r="AG90" i="28"/>
  <c r="AF90" i="28"/>
  <c r="AA90" i="28"/>
  <c r="Z90" i="28"/>
  <c r="Y90" i="28"/>
  <c r="V90" i="28"/>
  <c r="U90" i="28"/>
  <c r="T90" i="28"/>
  <c r="S90" i="28"/>
  <c r="R90" i="28"/>
  <c r="Q90" i="28"/>
  <c r="O90" i="28"/>
  <c r="K90" i="28"/>
  <c r="J90" i="28"/>
  <c r="I90" i="28"/>
  <c r="AE89" i="28"/>
  <c r="AD89" i="28"/>
  <c r="AC89" i="28"/>
  <c r="Z89" i="28"/>
  <c r="W89" i="28"/>
  <c r="V89" i="28"/>
  <c r="O89" i="28"/>
  <c r="N89" i="28"/>
  <c r="J89" i="28"/>
  <c r="AH83" i="28"/>
  <c r="AE83" i="28"/>
  <c r="AD83" i="28"/>
  <c r="AC83" i="28"/>
  <c r="Z83" i="28"/>
  <c r="Y83" i="28"/>
  <c r="X83" i="28"/>
  <c r="W83" i="28"/>
  <c r="V83" i="28"/>
  <c r="U83" i="28"/>
  <c r="R83" i="28"/>
  <c r="O83" i="28"/>
  <c r="N83" i="28"/>
  <c r="M83" i="28"/>
  <c r="L83" i="28"/>
  <c r="J83" i="28"/>
  <c r="I83" i="28"/>
  <c r="AJ82" i="28"/>
  <c r="AI82" i="28"/>
  <c r="AH82" i="28"/>
  <c r="AG82" i="28"/>
  <c r="AD82" i="28"/>
  <c r="AA82" i="28"/>
  <c r="Z82" i="28"/>
  <c r="Y82" i="28"/>
  <c r="X82" i="28"/>
  <c r="W82" i="28"/>
  <c r="V82" i="28"/>
  <c r="U82" i="28"/>
  <c r="T82" i="28"/>
  <c r="S82" i="28"/>
  <c r="R82" i="28"/>
  <c r="Q82" i="28"/>
  <c r="N82" i="28"/>
  <c r="K82" i="28"/>
  <c r="J82" i="28"/>
  <c r="I82" i="28"/>
  <c r="AI81" i="28"/>
  <c r="AH81" i="28"/>
  <c r="AG81" i="28"/>
  <c r="AF81" i="28"/>
  <c r="AE81" i="28"/>
  <c r="AD81" i="28"/>
  <c r="AC81" i="28"/>
  <c r="Z81" i="28"/>
  <c r="W81" i="28"/>
  <c r="V81" i="28"/>
  <c r="U81" i="28"/>
  <c r="T81" i="28"/>
  <c r="R81" i="28"/>
  <c r="Q81" i="28"/>
  <c r="P81" i="28"/>
  <c r="O81" i="28"/>
  <c r="N81" i="28"/>
  <c r="M81" i="28"/>
  <c r="L81" i="28"/>
  <c r="J81" i="28"/>
  <c r="AI80" i="28"/>
  <c r="AH80" i="28"/>
  <c r="AG80" i="28"/>
  <c r="AF80" i="28"/>
  <c r="AE80" i="28"/>
  <c r="AD80" i="28"/>
  <c r="AC80" i="28"/>
  <c r="AB80" i="28"/>
  <c r="AA80" i="28"/>
  <c r="Z80" i="28"/>
  <c r="Y80" i="28"/>
  <c r="X80" i="28"/>
  <c r="W80" i="28"/>
  <c r="V80" i="28"/>
  <c r="S80" i="28"/>
  <c r="R80" i="28"/>
  <c r="Q80" i="28"/>
  <c r="O80" i="28"/>
  <c r="N80" i="28"/>
  <c r="M80" i="28"/>
  <c r="L80" i="28"/>
  <c r="K80" i="28"/>
  <c r="J80" i="28"/>
  <c r="I80" i="28"/>
  <c r="AI79" i="28"/>
  <c r="AH79" i="28"/>
  <c r="AE79" i="28"/>
  <c r="AD79" i="28"/>
  <c r="AC79" i="28"/>
  <c r="Z79" i="28"/>
  <c r="Y79" i="28"/>
  <c r="X79" i="28"/>
  <c r="W79" i="28"/>
  <c r="V79" i="28"/>
  <c r="U79" i="28"/>
  <c r="R79" i="28"/>
  <c r="P79" i="28"/>
  <c r="O79" i="28"/>
  <c r="N79" i="28"/>
  <c r="M79" i="28"/>
  <c r="J79" i="28"/>
  <c r="I79" i="28"/>
  <c r="AJ78" i="28"/>
  <c r="AI78" i="28"/>
  <c r="AH78" i="28"/>
  <c r="AG78" i="28"/>
  <c r="AD78" i="28"/>
  <c r="AA78" i="28"/>
  <c r="Z78" i="28"/>
  <c r="Y78" i="28"/>
  <c r="V78" i="28"/>
  <c r="U78" i="28"/>
  <c r="T78" i="28"/>
  <c r="S78" i="28"/>
  <c r="R78" i="28"/>
  <c r="Q78" i="28"/>
  <c r="P78" i="28"/>
  <c r="N78" i="28"/>
  <c r="K78" i="28"/>
  <c r="J78" i="28"/>
  <c r="I78" i="28"/>
  <c r="AE77" i="28"/>
  <c r="AD77" i="28"/>
  <c r="AC77" i="28"/>
  <c r="Z77" i="28"/>
  <c r="W77" i="28"/>
  <c r="O77" i="28"/>
  <c r="J77" i="28"/>
  <c r="AI71" i="28"/>
  <c r="AF71" i="28"/>
  <c r="AE71" i="28"/>
  <c r="AD71" i="28"/>
  <c r="AC71" i="28"/>
  <c r="AB71" i="28"/>
  <c r="AA71" i="28"/>
  <c r="Z71" i="28"/>
  <c r="Y71" i="28"/>
  <c r="W71" i="28"/>
  <c r="V71" i="28"/>
  <c r="U71" i="28"/>
  <c r="S71" i="28"/>
  <c r="Q71" i="28"/>
  <c r="P71" i="28"/>
  <c r="O71" i="28"/>
  <c r="N71" i="28"/>
  <c r="M71" i="28"/>
  <c r="L71" i="28"/>
  <c r="K71" i="28"/>
  <c r="J71" i="28"/>
  <c r="I71" i="28"/>
  <c r="AI70" i="28"/>
  <c r="AH70" i="28"/>
  <c r="AF70" i="28"/>
  <c r="AB70" i="28"/>
  <c r="AA70" i="28"/>
  <c r="Z70" i="28"/>
  <c r="Y70" i="28"/>
  <c r="X70" i="28"/>
  <c r="W70" i="28"/>
  <c r="V70" i="28"/>
  <c r="U70" i="28"/>
  <c r="S70" i="28"/>
  <c r="R70" i="28"/>
  <c r="P70" i="28"/>
  <c r="L70" i="28"/>
  <c r="K70" i="28"/>
  <c r="J70" i="28"/>
  <c r="I70" i="28"/>
  <c r="AJ69" i="28"/>
  <c r="AI69" i="28"/>
  <c r="AH69" i="28"/>
  <c r="AG69" i="28"/>
  <c r="AF69" i="28"/>
  <c r="AE69" i="28"/>
  <c r="AB69" i="28"/>
  <c r="AA69" i="28"/>
  <c r="X69" i="28"/>
  <c r="W69" i="28"/>
  <c r="V69" i="28"/>
  <c r="U69" i="28"/>
  <c r="T69" i="28"/>
  <c r="S69" i="28"/>
  <c r="R69" i="28"/>
  <c r="Q69" i="28"/>
  <c r="P69" i="28"/>
  <c r="O69" i="28"/>
  <c r="L69" i="28"/>
  <c r="AJ68" i="28"/>
  <c r="AI68" i="28"/>
  <c r="AH68" i="28"/>
  <c r="AG68" i="28"/>
  <c r="AF68" i="28"/>
  <c r="AE68" i="28"/>
  <c r="AD68" i="28"/>
  <c r="AC68" i="28"/>
  <c r="AB68" i="28"/>
  <c r="Z68" i="28"/>
  <c r="Y68" i="28"/>
  <c r="X68" i="28"/>
  <c r="U68" i="28"/>
  <c r="T68" i="28"/>
  <c r="S68" i="28"/>
  <c r="R68" i="28"/>
  <c r="Q68" i="28"/>
  <c r="P68" i="28"/>
  <c r="O68" i="28"/>
  <c r="N68" i="28"/>
  <c r="M68" i="28"/>
  <c r="L68" i="28"/>
  <c r="J68" i="28"/>
  <c r="I68" i="28"/>
  <c r="AJ67" i="28"/>
  <c r="AF67" i="28"/>
  <c r="AE67" i="28"/>
  <c r="AD67" i="28"/>
  <c r="AC67" i="28"/>
  <c r="AB67" i="28"/>
  <c r="AA67" i="28"/>
  <c r="Z67" i="28"/>
  <c r="Y67" i="28"/>
  <c r="W67" i="28"/>
  <c r="V67" i="28"/>
  <c r="U67" i="28"/>
  <c r="T67" i="28"/>
  <c r="S67" i="28"/>
  <c r="P67" i="28"/>
  <c r="O67" i="28"/>
  <c r="N67" i="28"/>
  <c r="M67" i="28"/>
  <c r="L67" i="28"/>
  <c r="K67" i="28"/>
  <c r="J67" i="28"/>
  <c r="I67" i="28"/>
  <c r="AJ66" i="28"/>
  <c r="AI66" i="28"/>
  <c r="AH66" i="28"/>
  <c r="AG66" i="28"/>
  <c r="AF66" i="28"/>
  <c r="AE66" i="28"/>
  <c r="AB66" i="28"/>
  <c r="AA66" i="28"/>
  <c r="Z66" i="28"/>
  <c r="Y66" i="28"/>
  <c r="X66" i="28"/>
  <c r="W66" i="28"/>
  <c r="V66" i="28"/>
  <c r="S66" i="28"/>
  <c r="R66" i="28"/>
  <c r="Q66" i="28"/>
  <c r="P66" i="28"/>
  <c r="O66" i="28"/>
  <c r="L66" i="28"/>
  <c r="K66" i="28"/>
  <c r="J66" i="28"/>
  <c r="I66" i="28"/>
  <c r="AF65" i="28"/>
  <c r="AE65" i="28"/>
  <c r="AD65" i="28"/>
  <c r="AC65" i="28"/>
  <c r="AB65" i="28"/>
  <c r="V65" i="28"/>
  <c r="U65" i="28"/>
  <c r="T65" i="28"/>
  <c r="P65" i="28"/>
  <c r="O65" i="28"/>
  <c r="N65" i="28"/>
  <c r="M65" i="28"/>
  <c r="L65" i="28"/>
  <c r="AI59" i="28"/>
  <c r="AF59" i="28"/>
  <c r="AE59" i="28"/>
  <c r="AD59" i="28"/>
  <c r="AC59" i="28"/>
  <c r="AB59" i="28"/>
  <c r="AA59" i="28"/>
  <c r="Z59" i="28"/>
  <c r="Y59" i="28"/>
  <c r="X59" i="28"/>
  <c r="W59" i="28"/>
  <c r="V59" i="28"/>
  <c r="U59" i="28"/>
  <c r="S59" i="28"/>
  <c r="Q59" i="28"/>
  <c r="P59" i="28"/>
  <c r="O59" i="28"/>
  <c r="N59" i="28"/>
  <c r="M59" i="28"/>
  <c r="L59" i="28"/>
  <c r="K59" i="28"/>
  <c r="J59" i="28"/>
  <c r="I59" i="28"/>
  <c r="AI58" i="28"/>
  <c r="AH58" i="28"/>
  <c r="AF58" i="28"/>
  <c r="AE58" i="28"/>
  <c r="AC58" i="28"/>
  <c r="AB58" i="28"/>
  <c r="AA58" i="28"/>
  <c r="Z58" i="28"/>
  <c r="Y58" i="28"/>
  <c r="X58" i="28"/>
  <c r="W58" i="28"/>
  <c r="V58" i="28"/>
  <c r="U58" i="28"/>
  <c r="S58" i="28"/>
  <c r="R58" i="28"/>
  <c r="P58" i="28"/>
  <c r="O58" i="28"/>
  <c r="M58" i="28"/>
  <c r="L58" i="28"/>
  <c r="K58" i="28"/>
  <c r="J58" i="28"/>
  <c r="I58" i="28"/>
  <c r="AJ57" i="28"/>
  <c r="AI57" i="28"/>
  <c r="AH57" i="28"/>
  <c r="AG57" i="28"/>
  <c r="AF57" i="28"/>
  <c r="AE57" i="28"/>
  <c r="AC57" i="28"/>
  <c r="AB57" i="28"/>
  <c r="AA57" i="28"/>
  <c r="X57" i="28"/>
  <c r="W57" i="28"/>
  <c r="V57" i="28"/>
  <c r="U57" i="28"/>
  <c r="T57" i="28"/>
  <c r="S57" i="28"/>
  <c r="R57" i="28"/>
  <c r="Q57" i="28"/>
  <c r="P57" i="28"/>
  <c r="O57" i="28"/>
  <c r="M57" i="28"/>
  <c r="L57" i="28"/>
  <c r="K57" i="28"/>
  <c r="AJ56" i="28"/>
  <c r="AI56" i="28"/>
  <c r="AH56" i="28"/>
  <c r="AG56" i="28"/>
  <c r="AF56" i="28"/>
  <c r="AE56" i="28"/>
  <c r="AD56" i="28"/>
  <c r="AC56" i="28"/>
  <c r="AB56" i="28"/>
  <c r="Z56" i="28"/>
  <c r="Y56" i="28"/>
  <c r="X56" i="28"/>
  <c r="W56" i="28"/>
  <c r="U56" i="28"/>
  <c r="T56" i="28"/>
  <c r="S56" i="28"/>
  <c r="R56" i="28"/>
  <c r="Q56" i="28"/>
  <c r="P56" i="28"/>
  <c r="O56" i="28"/>
  <c r="N56" i="28"/>
  <c r="M56" i="28"/>
  <c r="L56" i="28"/>
  <c r="J56" i="28"/>
  <c r="I56" i="28"/>
  <c r="AJ55" i="28"/>
  <c r="AI55" i="28"/>
  <c r="AG55" i="28"/>
  <c r="AF55" i="28"/>
  <c r="AE55" i="28"/>
  <c r="AD55" i="28"/>
  <c r="AC55" i="28"/>
  <c r="AB55" i="28"/>
  <c r="AA55" i="28"/>
  <c r="Z55" i="28"/>
  <c r="Y55" i="28"/>
  <c r="W55" i="28"/>
  <c r="V55" i="28"/>
  <c r="U55" i="28"/>
  <c r="T55" i="28"/>
  <c r="S55" i="28"/>
  <c r="P55" i="28"/>
  <c r="O55" i="28"/>
  <c r="N55" i="28"/>
  <c r="M55" i="28"/>
  <c r="L55" i="28"/>
  <c r="K55" i="28"/>
  <c r="J55" i="28"/>
  <c r="I55" i="28"/>
  <c r="AJ54" i="28"/>
  <c r="AI54" i="28"/>
  <c r="AH54" i="28"/>
  <c r="AG54" i="28"/>
  <c r="AF54" i="28"/>
  <c r="AE54" i="28"/>
  <c r="AB54" i="28"/>
  <c r="AA54" i="28"/>
  <c r="Z54" i="28"/>
  <c r="Y54" i="28"/>
  <c r="X54" i="28"/>
  <c r="W54" i="28"/>
  <c r="V54" i="28"/>
  <c r="S54" i="28"/>
  <c r="R54" i="28"/>
  <c r="Q54" i="28"/>
  <c r="P54" i="28"/>
  <c r="O54" i="28"/>
  <c r="L54" i="28"/>
  <c r="K54" i="28"/>
  <c r="J54" i="28"/>
  <c r="I54" i="28"/>
  <c r="AF53" i="28"/>
  <c r="AE53" i="28"/>
  <c r="AD53" i="28"/>
  <c r="AC53" i="28"/>
  <c r="AB53" i="28"/>
  <c r="V53" i="28"/>
  <c r="U53" i="28"/>
  <c r="T53" i="28"/>
  <c r="P53" i="28"/>
  <c r="O53" i="28"/>
  <c r="N53" i="28"/>
  <c r="M53" i="28"/>
  <c r="L53" i="28"/>
  <c r="C53" i="28"/>
  <c r="AB41" i="28"/>
  <c r="C41" i="28"/>
  <c r="F35" i="28"/>
  <c r="F34" i="28"/>
  <c r="F33" i="28"/>
  <c r="F32" i="28"/>
  <c r="F31" i="28"/>
  <c r="F30" i="28"/>
  <c r="I35" i="28"/>
  <c r="C29" i="28"/>
  <c r="F23" i="28"/>
  <c r="F22" i="28"/>
  <c r="F21" i="28"/>
  <c r="F20" i="28"/>
  <c r="F19" i="28"/>
  <c r="F18" i="28"/>
  <c r="AH17" i="28"/>
  <c r="C17" i="28"/>
  <c r="F11" i="28"/>
  <c r="F10" i="28"/>
  <c r="F9" i="28"/>
  <c r="F8" i="28"/>
  <c r="F7" i="28"/>
  <c r="F6" i="28"/>
  <c r="I9" i="28"/>
  <c r="S65" i="28" l="1"/>
  <c r="S53" i="28"/>
  <c r="AJ65" i="28"/>
  <c r="AJ53" i="28"/>
  <c r="N54" i="28"/>
  <c r="T54" i="28"/>
  <c r="AG59" i="28"/>
  <c r="AH71" i="28"/>
  <c r="R59" i="28"/>
  <c r="AG137" i="28"/>
  <c r="AD58" i="28"/>
  <c r="AH137" i="28"/>
  <c r="AH65" i="28" s="1"/>
  <c r="Y57" i="28"/>
  <c r="N58" i="28"/>
  <c r="AI137" i="28"/>
  <c r="I57" i="28"/>
  <c r="Z57" i="28"/>
  <c r="J69" i="28"/>
  <c r="V56" i="28"/>
  <c r="Q137" i="28"/>
  <c r="AC54" i="28"/>
  <c r="Q55" i="28"/>
  <c r="AH55" i="28"/>
  <c r="AJ58" i="28"/>
  <c r="R137" i="28"/>
  <c r="R65" i="28" s="1"/>
  <c r="M54" i="28"/>
  <c r="AD54" i="28"/>
  <c r="R55" i="28"/>
  <c r="T58" i="28"/>
  <c r="R77" i="28"/>
  <c r="R89" i="28"/>
  <c r="T89" i="28"/>
  <c r="T77" i="28"/>
  <c r="L89" i="28"/>
  <c r="L77" i="28"/>
  <c r="AB77" i="28"/>
  <c r="AB89" i="28"/>
  <c r="AA89" i="28"/>
  <c r="AA77" i="28"/>
  <c r="K89" i="28"/>
  <c r="K77" i="28"/>
  <c r="X77" i="28"/>
  <c r="AF83" i="28"/>
  <c r="AA79" i="28"/>
  <c r="P80" i="28"/>
  <c r="AB82" i="28"/>
  <c r="AI83" i="28"/>
  <c r="P95" i="28"/>
  <c r="K79" i="28"/>
  <c r="AB79" i="28"/>
  <c r="L82" i="28"/>
  <c r="S83" i="28"/>
  <c r="AJ83" i="28"/>
  <c r="AA91" i="28"/>
  <c r="W78" i="28"/>
  <c r="L79" i="28"/>
  <c r="X81" i="28"/>
  <c r="AE82" i="28"/>
  <c r="T83" i="28"/>
  <c r="K91" i="28"/>
  <c r="AB91" i="28"/>
  <c r="AH77" i="28"/>
  <c r="X78" i="28"/>
  <c r="AJ80" i="28"/>
  <c r="O82" i="28"/>
  <c r="AF82" i="28"/>
  <c r="L91" i="28"/>
  <c r="M77" i="28"/>
  <c r="AJ77" i="28"/>
  <c r="T80" i="28"/>
  <c r="AA81" i="28"/>
  <c r="P82" i="28"/>
  <c r="AF79" i="28"/>
  <c r="AF91" i="28"/>
  <c r="P91" i="28"/>
  <c r="L78" i="28"/>
  <c r="S79" i="28"/>
  <c r="AJ79" i="28"/>
  <c r="AB90" i="28"/>
  <c r="R91" i="28"/>
  <c r="AI91" i="28"/>
  <c r="U77" i="28"/>
  <c r="AE78" i="28"/>
  <c r="T79" i="28"/>
  <c r="AA83" i="28"/>
  <c r="S91" i="28"/>
  <c r="T91" i="28"/>
  <c r="T17" i="28"/>
  <c r="T23" i="28" s="1"/>
  <c r="AJ17" i="28"/>
  <c r="AJ23" i="28" s="1"/>
  <c r="F144" i="28"/>
  <c r="F145" i="28"/>
  <c r="F139" i="28"/>
  <c r="F138" i="28"/>
  <c r="L5" i="28"/>
  <c r="K41" i="28"/>
  <c r="K45" i="28" s="1"/>
  <c r="O5" i="28"/>
  <c r="N41" i="28"/>
  <c r="N43" i="28" s="1"/>
  <c r="T5" i="28"/>
  <c r="S41" i="28"/>
  <c r="S47" i="28" s="1"/>
  <c r="AB5" i="28"/>
  <c r="AA41" i="28"/>
  <c r="AA45" i="28" s="1"/>
  <c r="AE5" i="28"/>
  <c r="AD41" i="28"/>
  <c r="AD46" i="28" s="1"/>
  <c r="AJ5" i="28"/>
  <c r="AI41" i="28"/>
  <c r="AI47" i="28" s="1"/>
  <c r="S89" i="28"/>
  <c r="S77" i="28"/>
  <c r="AI89" i="28"/>
  <c r="AI77" i="28"/>
  <c r="W53" i="28"/>
  <c r="W65" i="28"/>
  <c r="I65" i="28"/>
  <c r="I53" i="28"/>
  <c r="Y65" i="28"/>
  <c r="Y53" i="28"/>
  <c r="AH23" i="28"/>
  <c r="AH18" i="28"/>
  <c r="AH19" i="28"/>
  <c r="AH20" i="28"/>
  <c r="AH21" i="28"/>
  <c r="AH22" i="28"/>
  <c r="J65" i="28"/>
  <c r="J53" i="28"/>
  <c r="Z65" i="28"/>
  <c r="Z53" i="28"/>
  <c r="K65" i="28"/>
  <c r="K53" i="28"/>
  <c r="AA65" i="28"/>
  <c r="AA53" i="28"/>
  <c r="Y9" i="28"/>
  <c r="W9" i="28"/>
  <c r="V9" i="28"/>
  <c r="P9" i="28"/>
  <c r="U9" i="28"/>
  <c r="AJ9" i="28"/>
  <c r="T9" i="28"/>
  <c r="AI9" i="28"/>
  <c r="S9" i="28"/>
  <c r="AF9" i="28"/>
  <c r="AH9" i="28"/>
  <c r="R9" i="28"/>
  <c r="K9" i="28"/>
  <c r="AG9" i="28"/>
  <c r="Q9" i="28"/>
  <c r="AE9" i="28"/>
  <c r="O9" i="28"/>
  <c r="AD9" i="28"/>
  <c r="N9" i="28"/>
  <c r="AC9" i="28"/>
  <c r="M9" i="28"/>
  <c r="AB9" i="28"/>
  <c r="L9" i="28"/>
  <c r="AA9" i="28"/>
  <c r="Z9" i="28"/>
  <c r="J9" i="28"/>
  <c r="X9" i="28"/>
  <c r="AB45" i="28"/>
  <c r="AB46" i="28"/>
  <c r="AB42" i="28"/>
  <c r="AB47" i="28"/>
  <c r="AB43" i="28"/>
  <c r="AB44" i="28"/>
  <c r="AF89" i="28"/>
  <c r="AF77" i="28"/>
  <c r="P89" i="28"/>
  <c r="P77" i="28"/>
  <c r="Q17" i="28"/>
  <c r="AJ18" i="28"/>
  <c r="M5" i="28"/>
  <c r="N5" i="28"/>
  <c r="AD5" i="28"/>
  <c r="S17" i="28"/>
  <c r="AI17" i="28"/>
  <c r="I19" i="28"/>
  <c r="X29" i="28"/>
  <c r="M41" i="28"/>
  <c r="AC41" i="28"/>
  <c r="I44" i="28"/>
  <c r="P5" i="28"/>
  <c r="AF5" i="28"/>
  <c r="I8" i="28"/>
  <c r="U17" i="28"/>
  <c r="T22" i="28"/>
  <c r="AJ22" i="28"/>
  <c r="J29" i="28"/>
  <c r="Z29" i="28"/>
  <c r="I34" i="28"/>
  <c r="O41" i="28"/>
  <c r="AE41" i="28"/>
  <c r="K44" i="28"/>
  <c r="Q5" i="28"/>
  <c r="AG5" i="28"/>
  <c r="V17" i="28"/>
  <c r="I18" i="28"/>
  <c r="K29" i="28"/>
  <c r="AA29" i="28"/>
  <c r="P41" i="28"/>
  <c r="AF41" i="28"/>
  <c r="R5" i="28"/>
  <c r="AH5" i="28"/>
  <c r="W17" i="28"/>
  <c r="I23" i="28"/>
  <c r="L29" i="28"/>
  <c r="AB29" i="28"/>
  <c r="Q41" i="28"/>
  <c r="AG41" i="28"/>
  <c r="I43" i="28"/>
  <c r="I47" i="28"/>
  <c r="T59" i="28"/>
  <c r="AJ59" i="28"/>
  <c r="F146" i="28"/>
  <c r="S5" i="28"/>
  <c r="AI5" i="28"/>
  <c r="I7" i="28"/>
  <c r="X17" i="28"/>
  <c r="T21" i="28"/>
  <c r="AJ21" i="28"/>
  <c r="M29" i="28"/>
  <c r="AC29" i="28"/>
  <c r="I33" i="28"/>
  <c r="R41" i="28"/>
  <c r="AH41" i="28"/>
  <c r="N44" i="28"/>
  <c r="Q58" i="28"/>
  <c r="AG58" i="28"/>
  <c r="F143" i="28"/>
  <c r="N29" i="28"/>
  <c r="AD29" i="28"/>
  <c r="K43" i="28"/>
  <c r="K47" i="28"/>
  <c r="N57" i="28"/>
  <c r="AD57" i="28"/>
  <c r="U5" i="28"/>
  <c r="J17" i="28"/>
  <c r="Z17" i="28"/>
  <c r="I22" i="28"/>
  <c r="O29" i="28"/>
  <c r="AE29" i="28"/>
  <c r="T41" i="28"/>
  <c r="AJ41" i="28"/>
  <c r="K56" i="28"/>
  <c r="AA56" i="28"/>
  <c r="X137" i="28"/>
  <c r="V5" i="28"/>
  <c r="I6" i="28"/>
  <c r="K17" i="28"/>
  <c r="AA17" i="28"/>
  <c r="T20" i="28"/>
  <c r="AJ20" i="28"/>
  <c r="P29" i="28"/>
  <c r="AF29" i="28"/>
  <c r="I32" i="28"/>
  <c r="U41" i="28"/>
  <c r="I42" i="28"/>
  <c r="I46" i="28"/>
  <c r="X55" i="28"/>
  <c r="F142" i="28"/>
  <c r="W5" i="28"/>
  <c r="I11" i="28"/>
  <c r="L17" i="28"/>
  <c r="AB17" i="28"/>
  <c r="Q29" i="28"/>
  <c r="AG29" i="28"/>
  <c r="V41" i="28"/>
  <c r="U54" i="28"/>
  <c r="I77" i="28"/>
  <c r="Y77" i="28"/>
  <c r="M78" i="28"/>
  <c r="AC78" i="28"/>
  <c r="Q79" i="28"/>
  <c r="AG79" i="28"/>
  <c r="U80" i="28"/>
  <c r="I81" i="28"/>
  <c r="Y81" i="28"/>
  <c r="M82" i="28"/>
  <c r="AC82" i="28"/>
  <c r="Q83" i="28"/>
  <c r="AG83" i="28"/>
  <c r="Q101" i="28"/>
  <c r="AG101" i="28"/>
  <c r="Y29" i="28"/>
  <c r="X5" i="28"/>
  <c r="M17" i="28"/>
  <c r="AC17" i="28"/>
  <c r="I21" i="28"/>
  <c r="R29" i="28"/>
  <c r="AH29" i="28"/>
  <c r="W41" i="28"/>
  <c r="K42" i="28"/>
  <c r="AA42" i="28"/>
  <c r="K46" i="28"/>
  <c r="R53" i="28"/>
  <c r="Y5" i="28"/>
  <c r="N17" i="28"/>
  <c r="AD17" i="28"/>
  <c r="T19" i="28"/>
  <c r="AJ19" i="28"/>
  <c r="S29" i="28"/>
  <c r="AI29" i="28"/>
  <c r="I31" i="28"/>
  <c r="X41" i="28"/>
  <c r="F141" i="28"/>
  <c r="Y17" i="28"/>
  <c r="J5" i="28"/>
  <c r="Z5" i="28"/>
  <c r="I10" i="28"/>
  <c r="O17" i="28"/>
  <c r="AE17" i="28"/>
  <c r="T29" i="28"/>
  <c r="AJ29" i="28"/>
  <c r="Y41" i="28"/>
  <c r="I45" i="28"/>
  <c r="K5" i="28"/>
  <c r="AA5" i="28"/>
  <c r="P17" i="28"/>
  <c r="AF17" i="28"/>
  <c r="I20" i="28"/>
  <c r="U29" i="28"/>
  <c r="J41" i="28"/>
  <c r="Z41" i="28"/>
  <c r="N42" i="28"/>
  <c r="AG17" i="28"/>
  <c r="V29" i="28"/>
  <c r="I30" i="28"/>
  <c r="T18" i="28"/>
  <c r="AC5" i="28"/>
  <c r="R17" i="28"/>
  <c r="W29" i="28"/>
  <c r="L41" i="28"/>
  <c r="AG53" i="28" l="1"/>
  <c r="AG65" i="28"/>
  <c r="AI65" i="28"/>
  <c r="AI53" i="28"/>
  <c r="AH53" i="28"/>
  <c r="Q65" i="28"/>
  <c r="Q53" i="28"/>
  <c r="N47" i="28"/>
  <c r="S46" i="28"/>
  <c r="S42" i="28"/>
  <c r="S43" i="28"/>
  <c r="AA46" i="28"/>
  <c r="S44" i="28"/>
  <c r="S45" i="28"/>
  <c r="AA47" i="28"/>
  <c r="AD44" i="28"/>
  <c r="AD47" i="28"/>
  <c r="AI44" i="28"/>
  <c r="AD45" i="28"/>
  <c r="AI46" i="28"/>
  <c r="AD43" i="28"/>
  <c r="AD42" i="28"/>
  <c r="AA44" i="28"/>
  <c r="N46" i="28"/>
  <c r="N45" i="28"/>
  <c r="AI42" i="28"/>
  <c r="AI45" i="28"/>
  <c r="AA43" i="28"/>
  <c r="AI43" i="28"/>
  <c r="T34" i="28"/>
  <c r="T35" i="28"/>
  <c r="T30" i="28"/>
  <c r="T31" i="28"/>
  <c r="T32" i="28"/>
  <c r="T33" i="28"/>
  <c r="AJ34" i="28"/>
  <c r="AJ35" i="28"/>
  <c r="AJ30" i="28"/>
  <c r="AJ31" i="28"/>
  <c r="AJ32" i="28"/>
  <c r="AJ33" i="28"/>
  <c r="N21" i="28"/>
  <c r="N22" i="28"/>
  <c r="N23" i="28"/>
  <c r="N18" i="28"/>
  <c r="N19" i="28"/>
  <c r="N20" i="28"/>
  <c r="AE32" i="28"/>
  <c r="AE31" i="28"/>
  <c r="AE33" i="28"/>
  <c r="AE34" i="28"/>
  <c r="AE35" i="28"/>
  <c r="AE30" i="28"/>
  <c r="N32" i="28"/>
  <c r="N33" i="28"/>
  <c r="N34" i="28"/>
  <c r="N35" i="28"/>
  <c r="N30" i="28"/>
  <c r="N31" i="28"/>
  <c r="AA31" i="28"/>
  <c r="AA35" i="28"/>
  <c r="AA32" i="28"/>
  <c r="AA33" i="28"/>
  <c r="AA34" i="28"/>
  <c r="AA30" i="28"/>
  <c r="J30" i="28"/>
  <c r="J31" i="28"/>
  <c r="J32" i="28"/>
  <c r="J33" i="28"/>
  <c r="J34" i="28"/>
  <c r="J35" i="28"/>
  <c r="V34" i="28"/>
  <c r="V35" i="28"/>
  <c r="V30" i="28"/>
  <c r="V31" i="28"/>
  <c r="V32" i="28"/>
  <c r="V33" i="28"/>
  <c r="AE22" i="28"/>
  <c r="AE23" i="28"/>
  <c r="AE18" i="28"/>
  <c r="AE19" i="28"/>
  <c r="AE20" i="28"/>
  <c r="AE21" i="28"/>
  <c r="AG77" i="28"/>
  <c r="AG89" i="28"/>
  <c r="Q22" i="28"/>
  <c r="Q23" i="28"/>
  <c r="Q18" i="28"/>
  <c r="Q19" i="28"/>
  <c r="Q20" i="28"/>
  <c r="Q21" i="28"/>
  <c r="K31" i="28"/>
  <c r="K32" i="28"/>
  <c r="K33" i="28"/>
  <c r="K35" i="28"/>
  <c r="K34" i="28"/>
  <c r="K30" i="28"/>
  <c r="AG22" i="28"/>
  <c r="AG23" i="28"/>
  <c r="AG18" i="28"/>
  <c r="AG19" i="28"/>
  <c r="AG20" i="28"/>
  <c r="AG21" i="28"/>
  <c r="O22" i="28"/>
  <c r="O23" i="28"/>
  <c r="O18" i="28"/>
  <c r="O19" i="28"/>
  <c r="O20" i="28"/>
  <c r="O21" i="28"/>
  <c r="Q89" i="28"/>
  <c r="Q77" i="28"/>
  <c r="AF32" i="28"/>
  <c r="AF33" i="28"/>
  <c r="AF34" i="28"/>
  <c r="AF35" i="28"/>
  <c r="AF30" i="28"/>
  <c r="AF31" i="28"/>
  <c r="Z20" i="28"/>
  <c r="Z21" i="28"/>
  <c r="Z22" i="28"/>
  <c r="Z19" i="28"/>
  <c r="Z23" i="28"/>
  <c r="Z18" i="28"/>
  <c r="V19" i="28"/>
  <c r="V20" i="28"/>
  <c r="V23" i="28"/>
  <c r="V21" i="28"/>
  <c r="V22" i="28"/>
  <c r="V18" i="28"/>
  <c r="U18" i="28"/>
  <c r="U19" i="28"/>
  <c r="U20" i="28"/>
  <c r="U21" i="28"/>
  <c r="U22" i="28"/>
  <c r="U23" i="28"/>
  <c r="AB10" i="28"/>
  <c r="L10" i="28"/>
  <c r="K10" i="28"/>
  <c r="Z10" i="28"/>
  <c r="J10" i="28"/>
  <c r="N10" i="28"/>
  <c r="Y10" i="28"/>
  <c r="AD10" i="28"/>
  <c r="X10" i="28"/>
  <c r="S10" i="28"/>
  <c r="W10" i="28"/>
  <c r="V10" i="28"/>
  <c r="U10" i="28"/>
  <c r="AI10" i="28"/>
  <c r="AJ10" i="28"/>
  <c r="T10" i="28"/>
  <c r="AH10" i="28"/>
  <c r="R10" i="28"/>
  <c r="AG10" i="28"/>
  <c r="Q10" i="28"/>
  <c r="AF10" i="28"/>
  <c r="P10" i="28"/>
  <c r="AE10" i="28"/>
  <c r="O10" i="28"/>
  <c r="AC10" i="28"/>
  <c r="M10" i="28"/>
  <c r="AA10" i="28"/>
  <c r="P32" i="28"/>
  <c r="P33" i="28"/>
  <c r="P34" i="28"/>
  <c r="P35" i="28"/>
  <c r="P30" i="28"/>
  <c r="P31" i="28"/>
  <c r="J20" i="28"/>
  <c r="J19" i="28"/>
  <c r="J21" i="28"/>
  <c r="J22" i="28"/>
  <c r="J23" i="28"/>
  <c r="J18" i="28"/>
  <c r="V8" i="28"/>
  <c r="AJ8" i="28"/>
  <c r="T8" i="28"/>
  <c r="AI8" i="28"/>
  <c r="S8" i="28"/>
  <c r="X8" i="28"/>
  <c r="AH8" i="28"/>
  <c r="R8" i="28"/>
  <c r="AG8" i="28"/>
  <c r="Q8" i="28"/>
  <c r="AF8" i="28"/>
  <c r="P8" i="28"/>
  <c r="AE8" i="28"/>
  <c r="O8" i="28"/>
  <c r="AD8" i="28"/>
  <c r="N8" i="28"/>
  <c r="AC8" i="28"/>
  <c r="M8" i="28"/>
  <c r="AB8" i="28"/>
  <c r="L8" i="28"/>
  <c r="AA8" i="28"/>
  <c r="K8" i="28"/>
  <c r="Z8" i="28"/>
  <c r="J8" i="28"/>
  <c r="Y8" i="28"/>
  <c r="W8" i="28"/>
  <c r="U8" i="28"/>
  <c r="O32" i="28"/>
  <c r="O33" i="28"/>
  <c r="O34" i="28"/>
  <c r="O31" i="28"/>
  <c r="O35" i="28"/>
  <c r="O30" i="28"/>
  <c r="Z45" i="28"/>
  <c r="Z46" i="28"/>
  <c r="Z42" i="28"/>
  <c r="Z47" i="28"/>
  <c r="Z43" i="28"/>
  <c r="Z44" i="28"/>
  <c r="V44" i="28"/>
  <c r="V47" i="28"/>
  <c r="V45" i="28"/>
  <c r="V46" i="28"/>
  <c r="V42" i="28"/>
  <c r="V43" i="28"/>
  <c r="AH47" i="28"/>
  <c r="AH43" i="28"/>
  <c r="AH42" i="28"/>
  <c r="AH44" i="28"/>
  <c r="AH45" i="28"/>
  <c r="AH46" i="28"/>
  <c r="AG47" i="28"/>
  <c r="AG43" i="28"/>
  <c r="AG44" i="28"/>
  <c r="AG45" i="28"/>
  <c r="AG46" i="28"/>
  <c r="AG42" i="28"/>
  <c r="J45" i="28"/>
  <c r="J46" i="28"/>
  <c r="J42" i="28"/>
  <c r="J44" i="28"/>
  <c r="J47" i="28"/>
  <c r="J43" i="28"/>
  <c r="Y20" i="28"/>
  <c r="Y21" i="28"/>
  <c r="Y22" i="28"/>
  <c r="Y23" i="28"/>
  <c r="Y18" i="28"/>
  <c r="Y19" i="28"/>
  <c r="AG33" i="28"/>
  <c r="AG34" i="28"/>
  <c r="AG35" i="28"/>
  <c r="AG30" i="28"/>
  <c r="AG31" i="28"/>
  <c r="AG32" i="28"/>
  <c r="AA20" i="28"/>
  <c r="AA21" i="28"/>
  <c r="AA22" i="28"/>
  <c r="AA23" i="28"/>
  <c r="AA18" i="28"/>
  <c r="AA19" i="28"/>
  <c r="R47" i="28"/>
  <c r="R43" i="28"/>
  <c r="R46" i="28"/>
  <c r="R44" i="28"/>
  <c r="R42" i="28"/>
  <c r="R45" i="28"/>
  <c r="Q47" i="28"/>
  <c r="Q43" i="28"/>
  <c r="Q44" i="28"/>
  <c r="Q45" i="28"/>
  <c r="Q46" i="28"/>
  <c r="Q42" i="28"/>
  <c r="U34" i="28"/>
  <c r="U35" i="28"/>
  <c r="U30" i="28"/>
  <c r="U33" i="28"/>
  <c r="U31" i="28"/>
  <c r="U32" i="28"/>
  <c r="Q33" i="28"/>
  <c r="Q34" i="28"/>
  <c r="Q35" i="28"/>
  <c r="Q30" i="28"/>
  <c r="Q31" i="28"/>
  <c r="Q32" i="28"/>
  <c r="K20" i="28"/>
  <c r="K21" i="28"/>
  <c r="K22" i="28"/>
  <c r="K23" i="28"/>
  <c r="K18" i="28"/>
  <c r="K19" i="28"/>
  <c r="AB31" i="28"/>
  <c r="AB30" i="28"/>
  <c r="AB32" i="28"/>
  <c r="AB33" i="28"/>
  <c r="AB34" i="28"/>
  <c r="AB35" i="28"/>
  <c r="AC46" i="28"/>
  <c r="AC42" i="28"/>
  <c r="AC47" i="28"/>
  <c r="AC43" i="28"/>
  <c r="AC44" i="28"/>
  <c r="AC45" i="28"/>
  <c r="U44" i="28"/>
  <c r="U45" i="28"/>
  <c r="U46" i="28"/>
  <c r="U42" i="28"/>
  <c r="U47" i="28"/>
  <c r="U43" i="28"/>
  <c r="X44" i="28"/>
  <c r="X45" i="28"/>
  <c r="X46" i="28"/>
  <c r="X42" i="28"/>
  <c r="X47" i="28"/>
  <c r="X43" i="28"/>
  <c r="AB21" i="28"/>
  <c r="AB22" i="28"/>
  <c r="AB18" i="28"/>
  <c r="AB23" i="28"/>
  <c r="AB19" i="28"/>
  <c r="AB20" i="28"/>
  <c r="AF6" i="28"/>
  <c r="P6" i="28"/>
  <c r="AE6" i="28"/>
  <c r="AD6" i="28"/>
  <c r="N6" i="28"/>
  <c r="R6" i="28"/>
  <c r="AC6" i="28"/>
  <c r="M6" i="28"/>
  <c r="W6" i="28"/>
  <c r="AH6" i="28"/>
  <c r="AB6" i="28"/>
  <c r="L6" i="28"/>
  <c r="AA6" i="28"/>
  <c r="K6" i="28"/>
  <c r="Z6" i="28"/>
  <c r="J6" i="28"/>
  <c r="Y6" i="28"/>
  <c r="X6" i="28"/>
  <c r="V6" i="28"/>
  <c r="U6" i="28"/>
  <c r="AJ6" i="28"/>
  <c r="T6" i="28"/>
  <c r="AI6" i="28"/>
  <c r="S6" i="28"/>
  <c r="AG6" i="28"/>
  <c r="Q6" i="28"/>
  <c r="O6" i="28"/>
  <c r="AC31" i="28"/>
  <c r="AC32" i="28"/>
  <c r="AC33" i="28"/>
  <c r="AC34" i="28"/>
  <c r="AC35" i="28"/>
  <c r="AC30" i="28"/>
  <c r="L31" i="28"/>
  <c r="L32" i="28"/>
  <c r="L33" i="28"/>
  <c r="L30" i="28"/>
  <c r="L34" i="28"/>
  <c r="L35" i="28"/>
  <c r="M46" i="28"/>
  <c r="M42" i="28"/>
  <c r="M47" i="28"/>
  <c r="M43" i="28"/>
  <c r="M44" i="28"/>
  <c r="M45" i="28"/>
  <c r="L45" i="28"/>
  <c r="L46" i="28"/>
  <c r="L42" i="28"/>
  <c r="L47" i="28"/>
  <c r="L43" i="28"/>
  <c r="L44" i="28"/>
  <c r="AF22" i="28"/>
  <c r="AF23" i="28"/>
  <c r="AF18" i="28"/>
  <c r="AF19" i="28"/>
  <c r="AF20" i="28"/>
  <c r="AF21" i="28"/>
  <c r="W44" i="28"/>
  <c r="W45" i="28"/>
  <c r="W46" i="28"/>
  <c r="W42" i="28"/>
  <c r="W47" i="28"/>
  <c r="W43" i="28"/>
  <c r="L21" i="28"/>
  <c r="L22" i="28"/>
  <c r="L23" i="28"/>
  <c r="L18" i="28"/>
  <c r="L19" i="28"/>
  <c r="L20" i="28"/>
  <c r="M31" i="28"/>
  <c r="M32" i="28"/>
  <c r="M33" i="28"/>
  <c r="M34" i="28"/>
  <c r="M35" i="28"/>
  <c r="M30" i="28"/>
  <c r="X35" i="28"/>
  <c r="X30" i="28"/>
  <c r="X34" i="28"/>
  <c r="X31" i="28"/>
  <c r="X32" i="28"/>
  <c r="X33" i="28"/>
  <c r="Y35" i="28"/>
  <c r="Y30" i="28"/>
  <c r="Y31" i="28"/>
  <c r="Y32" i="28"/>
  <c r="Y33" i="28"/>
  <c r="Y34" i="28"/>
  <c r="W35" i="28"/>
  <c r="W30" i="28"/>
  <c r="W31" i="28"/>
  <c r="W32" i="28"/>
  <c r="W33" i="28"/>
  <c r="W34" i="28"/>
  <c r="P22" i="28"/>
  <c r="P21" i="28"/>
  <c r="P23" i="28"/>
  <c r="P18" i="28"/>
  <c r="P19" i="28"/>
  <c r="P20" i="28"/>
  <c r="AI33" i="28"/>
  <c r="AI34" i="28"/>
  <c r="AI35" i="28"/>
  <c r="AI30" i="28"/>
  <c r="AI31" i="28"/>
  <c r="AI32" i="28"/>
  <c r="AH33" i="28"/>
  <c r="AH34" i="28"/>
  <c r="AH35" i="28"/>
  <c r="AH30" i="28"/>
  <c r="AH31" i="28"/>
  <c r="AH32" i="28"/>
  <c r="AE11" i="28"/>
  <c r="O11" i="28"/>
  <c r="N11" i="28"/>
  <c r="AD11" i="28"/>
  <c r="AC11" i="28"/>
  <c r="M11" i="28"/>
  <c r="AB11" i="28"/>
  <c r="L11" i="28"/>
  <c r="AA11" i="28"/>
  <c r="K11" i="28"/>
  <c r="Z11" i="28"/>
  <c r="J11" i="28"/>
  <c r="Y11" i="28"/>
  <c r="X11" i="28"/>
  <c r="W11" i="28"/>
  <c r="V11" i="28"/>
  <c r="U11" i="28"/>
  <c r="AJ11" i="28"/>
  <c r="T11" i="28"/>
  <c r="AI11" i="28"/>
  <c r="S11" i="28"/>
  <c r="AG11" i="28"/>
  <c r="AH11" i="28"/>
  <c r="R11" i="28"/>
  <c r="AF11" i="28"/>
  <c r="P11" i="28"/>
  <c r="Q11" i="28"/>
  <c r="X65" i="28"/>
  <c r="X53" i="28"/>
  <c r="W19" i="28"/>
  <c r="W20" i="28"/>
  <c r="W21" i="28"/>
  <c r="W22" i="28"/>
  <c r="W18" i="28"/>
  <c r="W23" i="28"/>
  <c r="R23" i="28"/>
  <c r="R18" i="28"/>
  <c r="R19" i="28"/>
  <c r="R20" i="28"/>
  <c r="R21" i="28"/>
  <c r="R22" i="28"/>
  <c r="S33" i="28"/>
  <c r="S34" i="28"/>
  <c r="S35" i="28"/>
  <c r="S30" i="28"/>
  <c r="S31" i="28"/>
  <c r="S32" i="28"/>
  <c r="R33" i="28"/>
  <c r="R34" i="28"/>
  <c r="R35" i="28"/>
  <c r="R30" i="28"/>
  <c r="R32" i="28"/>
  <c r="R31" i="28"/>
  <c r="AE46" i="28"/>
  <c r="AE42" i="28"/>
  <c r="AE47" i="28"/>
  <c r="AE43" i="28"/>
  <c r="AE44" i="28"/>
  <c r="AE45" i="28"/>
  <c r="AI23" i="28"/>
  <c r="AI18" i="28"/>
  <c r="AI19" i="28"/>
  <c r="AI20" i="28"/>
  <c r="AI21" i="28"/>
  <c r="AI22" i="28"/>
  <c r="X19" i="28"/>
  <c r="X20" i="28"/>
  <c r="X21" i="28"/>
  <c r="X22" i="28"/>
  <c r="X23" i="28"/>
  <c r="X18" i="28"/>
  <c r="O46" i="28"/>
  <c r="O42" i="28"/>
  <c r="O47" i="28"/>
  <c r="O43" i="28"/>
  <c r="O44" i="28"/>
  <c r="O45" i="28"/>
  <c r="S23" i="28"/>
  <c r="S18" i="28"/>
  <c r="S19" i="28"/>
  <c r="S20" i="28"/>
  <c r="S21" i="28"/>
  <c r="S22" i="28"/>
  <c r="AC21" i="28"/>
  <c r="AC22" i="28"/>
  <c r="AC23" i="28"/>
  <c r="AC18" i="28"/>
  <c r="AC20" i="28"/>
  <c r="AC19" i="28"/>
  <c r="AJ47" i="28"/>
  <c r="AJ43" i="28"/>
  <c r="AJ44" i="28"/>
  <c r="AJ45" i="28"/>
  <c r="AJ46" i="28"/>
  <c r="AJ42" i="28"/>
  <c r="AI7" i="28"/>
  <c r="S7" i="28"/>
  <c r="R7" i="28"/>
  <c r="AG7" i="28"/>
  <c r="Q7" i="28"/>
  <c r="Z7" i="28"/>
  <c r="AF7" i="28"/>
  <c r="P7" i="28"/>
  <c r="AE7" i="28"/>
  <c r="O7" i="28"/>
  <c r="AD7" i="28"/>
  <c r="N7" i="28"/>
  <c r="AC7" i="28"/>
  <c r="M7" i="28"/>
  <c r="AB7" i="28"/>
  <c r="L7" i="28"/>
  <c r="J7" i="28"/>
  <c r="AA7" i="28"/>
  <c r="K7" i="28"/>
  <c r="Y7" i="28"/>
  <c r="X7" i="28"/>
  <c r="W7" i="28"/>
  <c r="V7" i="28"/>
  <c r="AJ7" i="28"/>
  <c r="T7" i="28"/>
  <c r="AH7" i="28"/>
  <c r="U7" i="28"/>
  <c r="AF46" i="28"/>
  <c r="AF42" i="28"/>
  <c r="AF47" i="28"/>
  <c r="AF43" i="28"/>
  <c r="AF44" i="28"/>
  <c r="AF45" i="28"/>
  <c r="Y45" i="28"/>
  <c r="Y46" i="28"/>
  <c r="Y42" i="28"/>
  <c r="Y47" i="28"/>
  <c r="Y43" i="28"/>
  <c r="Y44" i="28"/>
  <c r="AD21" i="28"/>
  <c r="AD22" i="28"/>
  <c r="AD23" i="28"/>
  <c r="AD18" i="28"/>
  <c r="AD19" i="28"/>
  <c r="AD20" i="28"/>
  <c r="M21" i="28"/>
  <c r="M20" i="28"/>
  <c r="M22" i="28"/>
  <c r="M23" i="28"/>
  <c r="M18" i="28"/>
  <c r="M19" i="28"/>
  <c r="T47" i="28"/>
  <c r="T43" i="28"/>
  <c r="T44" i="28"/>
  <c r="T45" i="28"/>
  <c r="T46" i="28"/>
  <c r="T42" i="28"/>
  <c r="AD32" i="28"/>
  <c r="AD33" i="28"/>
  <c r="AD34" i="28"/>
  <c r="AD35" i="28"/>
  <c r="AD30" i="28"/>
  <c r="AD31" i="28"/>
  <c r="P46" i="28"/>
  <c r="P42" i="28"/>
  <c r="P47" i="28"/>
  <c r="P43" i="28"/>
  <c r="P44" i="28"/>
  <c r="P45" i="28"/>
  <c r="Z30" i="28"/>
  <c r="Z31" i="28"/>
  <c r="Z32" i="28"/>
  <c r="Z33" i="28"/>
  <c r="Z34" i="28"/>
  <c r="Z35" i="28"/>
  <c r="D51" i="27" l="1"/>
  <c r="C49" i="27"/>
  <c r="E48" i="27"/>
  <c r="E47" i="27"/>
  <c r="D47" i="27" s="1"/>
  <c r="E46" i="27"/>
  <c r="D46" i="27" s="1"/>
  <c r="E45" i="27"/>
  <c r="D45" i="27" s="1"/>
  <c r="E44" i="27"/>
  <c r="D44" i="27" s="1"/>
  <c r="E43" i="27"/>
  <c r="D43" i="27" s="1"/>
  <c r="E42" i="27"/>
  <c r="D42" i="27" s="1"/>
  <c r="E41" i="27"/>
  <c r="E40" i="27"/>
  <c r="D40" i="27" s="1"/>
  <c r="D49" i="27" s="1"/>
  <c r="C18" i="27"/>
  <c r="E17" i="27"/>
  <c r="D17" i="27"/>
  <c r="D16" i="27"/>
  <c r="E16" i="27" s="1"/>
  <c r="D15" i="27"/>
  <c r="E15" i="27" s="1"/>
  <c r="D14" i="27"/>
  <c r="E14" i="27" s="1"/>
  <c r="D13" i="27"/>
  <c r="E13" i="27" s="1"/>
  <c r="D12" i="27"/>
  <c r="E12" i="27" s="1"/>
  <c r="D11" i="27"/>
  <c r="E11" i="27" s="1"/>
  <c r="D10" i="27"/>
  <c r="E10" i="27" s="1"/>
  <c r="D9" i="27"/>
  <c r="E9" i="27" s="1"/>
  <c r="D8" i="27"/>
  <c r="E8" i="27" s="1"/>
  <c r="D7" i="27"/>
  <c r="E7" i="27" s="1"/>
  <c r="D6" i="27"/>
  <c r="E6" i="27" s="1"/>
  <c r="D5" i="27"/>
  <c r="E5" i="27" s="1"/>
  <c r="E4" i="27"/>
  <c r="D4" i="27"/>
  <c r="AD268" i="7" l="1"/>
  <c r="AC268" i="7"/>
  <c r="AB268" i="7"/>
  <c r="AA268" i="7"/>
  <c r="Z268" i="7"/>
  <c r="Y268" i="7"/>
  <c r="X268" i="7"/>
  <c r="W268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B268" i="7"/>
  <c r="AD267" i="7"/>
  <c r="AC267" i="7"/>
  <c r="AB267" i="7"/>
  <c r="AA267" i="7"/>
  <c r="Z267" i="7"/>
  <c r="Y267" i="7"/>
  <c r="X267" i="7"/>
  <c r="W267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B267" i="7"/>
  <c r="AD266" i="7"/>
  <c r="AC266" i="7"/>
  <c r="AB266" i="7"/>
  <c r="AA266" i="7"/>
  <c r="Z266" i="7"/>
  <c r="Y266" i="7"/>
  <c r="X266" i="7"/>
  <c r="W266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B266" i="7"/>
  <c r="AD265" i="7"/>
  <c r="AC265" i="7"/>
  <c r="AB265" i="7"/>
  <c r="AA265" i="7"/>
  <c r="Z265" i="7"/>
  <c r="Y265" i="7"/>
  <c r="X265" i="7"/>
  <c r="W265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B265" i="7"/>
  <c r="AD264" i="7"/>
  <c r="AC264" i="7"/>
  <c r="AB264" i="7"/>
  <c r="AA264" i="7"/>
  <c r="Z264" i="7"/>
  <c r="Y264" i="7"/>
  <c r="X264" i="7"/>
  <c r="W264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B264" i="7"/>
  <c r="AD263" i="7"/>
  <c r="AC263" i="7"/>
  <c r="AB263" i="7"/>
  <c r="AA263" i="7"/>
  <c r="Z263" i="7"/>
  <c r="Y263" i="7"/>
  <c r="X263" i="7"/>
  <c r="W263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B263" i="7"/>
  <c r="K8" i="7"/>
  <c r="F3" i="17"/>
  <c r="G3" i="17"/>
  <c r="F4" i="17"/>
  <c r="G4" i="17"/>
  <c r="F5" i="17"/>
  <c r="G5" i="17"/>
  <c r="F6" i="17"/>
  <c r="G6" i="17"/>
  <c r="F7" i="17"/>
  <c r="G7" i="17"/>
  <c r="F8" i="17"/>
  <c r="G8" i="17"/>
  <c r="F9" i="17"/>
  <c r="G9" i="17"/>
  <c r="F10" i="17"/>
  <c r="G10" i="17"/>
  <c r="F11" i="17"/>
  <c r="G11" i="17"/>
  <c r="G2" i="17"/>
  <c r="F2" i="17"/>
  <c r="I2" i="17" l="1"/>
  <c r="D122" i="2" a="1"/>
  <c r="D106" i="2" a="1"/>
  <c r="D4" i="2" a="1"/>
  <c r="D111" i="2" a="1"/>
  <c r="D119" i="2" a="1"/>
  <c r="C102" i="2" a="1"/>
  <c r="D125" i="2" a="1"/>
  <c r="D121" i="2" a="1"/>
  <c r="D112" i="2" a="1"/>
  <c r="D109" i="2" a="1"/>
  <c r="D124" i="2" a="1"/>
  <c r="D107" i="2" a="1"/>
  <c r="D120" i="2" a="1"/>
  <c r="D122" i="2" l="1"/>
  <c r="J2" i="17"/>
  <c r="D4" i="2"/>
  <c r="C102" i="2"/>
  <c r="D125" i="2"/>
  <c r="D109" i="2"/>
  <c r="D121" i="2"/>
  <c r="D124" i="2"/>
  <c r="D119" i="2"/>
  <c r="D120" i="2"/>
  <c r="D111" i="2"/>
  <c r="D107" i="2"/>
  <c r="D112" i="2"/>
  <c r="D106" i="2"/>
  <c r="D90" i="2" a="1"/>
  <c r="C243" i="2" a="1"/>
  <c r="D260" i="2" a="1"/>
  <c r="D259" i="2" a="1"/>
  <c r="D262" i="2" a="1"/>
  <c r="D263" i="2" a="1"/>
  <c r="D264" i="2" a="1"/>
  <c r="D261" i="2" a="1"/>
  <c r="D265" i="2" a="1"/>
  <c r="D265" i="2" l="1"/>
  <c r="D261" i="2"/>
  <c r="D264" i="2"/>
  <c r="D263" i="2"/>
  <c r="D262" i="2"/>
  <c r="D259" i="2"/>
  <c r="D260" i="2"/>
  <c r="C243" i="2"/>
  <c r="D90" i="2"/>
  <c r="D123" i="2"/>
  <c r="D103" i="2"/>
  <c r="C244" i="2" l="1"/>
  <c r="D278" i="2" l="1"/>
  <c r="D235" i="2"/>
  <c r="E192" i="2" l="1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D192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D270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D246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D148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D105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F34" i="2"/>
  <c r="E34" i="2"/>
  <c r="D34" i="2"/>
  <c r="C14" i="2" l="1"/>
  <c r="C15" i="2"/>
  <c r="C24" i="2"/>
  <c r="C25" i="2"/>
  <c r="C26" i="2"/>
  <c r="C27" i="2"/>
  <c r="C28" i="2"/>
  <c r="C29" i="2"/>
  <c r="C30" i="2"/>
  <c r="C31" i="2"/>
  <c r="C32" i="2"/>
  <c r="C23" i="2"/>
  <c r="C11" i="2"/>
  <c r="C12" i="2"/>
  <c r="C13" i="2"/>
  <c r="C10" i="2"/>
  <c r="B233" i="2"/>
  <c r="B234" i="2"/>
  <c r="B272" i="2"/>
  <c r="B273" i="2"/>
  <c r="B274" i="2"/>
  <c r="B275" i="2"/>
  <c r="B276" i="2"/>
  <c r="B277" i="2"/>
  <c r="B271" i="2"/>
  <c r="B260" i="2"/>
  <c r="B261" i="2"/>
  <c r="B262" i="2"/>
  <c r="B263" i="2"/>
  <c r="B264" i="2"/>
  <c r="B265" i="2"/>
  <c r="B266" i="2"/>
  <c r="B267" i="2"/>
  <c r="B268" i="2"/>
  <c r="B259" i="2"/>
  <c r="AE24" i="2" a="1"/>
  <c r="AC30" i="2" a="1"/>
  <c r="V32" i="2" a="1"/>
  <c r="Z28" i="2" a="1"/>
  <c r="E26" i="2" a="1"/>
  <c r="K32" i="2" a="1"/>
  <c r="Y31" i="2" a="1"/>
  <c r="AD31" i="2" a="1"/>
  <c r="S27" i="2" a="1"/>
  <c r="I30" i="2" a="1"/>
  <c r="N24" i="2" a="1"/>
  <c r="U24" i="2" a="1"/>
  <c r="S23" i="2" a="1"/>
  <c r="I23" i="2" a="1"/>
  <c r="AF27" i="2" a="1"/>
  <c r="G32" i="2" a="1"/>
  <c r="R25" i="2" a="1"/>
  <c r="E31" i="2" a="1"/>
  <c r="E24" i="2" a="1"/>
  <c r="AA29" i="2" a="1"/>
  <c r="O24" i="2" a="1"/>
  <c r="U32" i="2" a="1"/>
  <c r="Z29" i="2" a="1"/>
  <c r="AE26" i="2" a="1"/>
  <c r="D32" i="2" a="1"/>
  <c r="O23" i="2" a="1"/>
  <c r="J29" i="2" a="1"/>
  <c r="K23" i="2" a="1"/>
  <c r="V24" i="2" a="1"/>
  <c r="X29" i="2" a="1"/>
  <c r="L31" i="2" a="1"/>
  <c r="J32" i="2" a="1"/>
  <c r="F28" i="2" a="1"/>
  <c r="O32" i="2" a="1"/>
  <c r="N23" i="2" a="1"/>
  <c r="X28" i="2" a="1"/>
  <c r="P32" i="2" a="1"/>
  <c r="O25" i="2" a="1"/>
  <c r="L23" i="2" a="1"/>
  <c r="P26" i="2" a="1"/>
  <c r="K30" i="2" a="1"/>
  <c r="S26" i="2" a="1"/>
  <c r="K25" i="2" a="1"/>
  <c r="AA28" i="2" a="1"/>
  <c r="G31" i="2" a="1"/>
  <c r="U31" i="2" a="1"/>
  <c r="T28" i="2" a="1"/>
  <c r="AE29" i="2" a="1"/>
  <c r="V30" i="2" a="1"/>
  <c r="H23" i="2" a="1"/>
  <c r="AA32" i="2" a="1"/>
  <c r="F30" i="2" a="1"/>
  <c r="M24" i="2" a="1"/>
  <c r="H28" i="2" a="1"/>
  <c r="E27" i="2" a="1"/>
  <c r="AE31" i="2" a="1"/>
  <c r="N30" i="2" a="1"/>
  <c r="T25" i="2" a="1"/>
  <c r="W30" i="2" a="1"/>
  <c r="D26" i="2" a="1"/>
  <c r="AE32" i="2" a="1"/>
  <c r="F26" i="2" a="1"/>
  <c r="Q31" i="2" a="1"/>
  <c r="U28" i="2" a="1"/>
  <c r="AB25" i="2" a="1"/>
  <c r="J30" i="2" a="1"/>
  <c r="G25" i="2" a="1"/>
  <c r="N25" i="2" a="1"/>
  <c r="Z26" i="2" a="1"/>
  <c r="I31" i="2" a="1"/>
  <c r="AC25" i="2" a="1"/>
  <c r="N28" i="2" a="1"/>
  <c r="AA26" i="2" a="1"/>
  <c r="N26" i="2" a="1"/>
  <c r="K26" i="2" a="1"/>
  <c r="Y25" i="2" a="1"/>
  <c r="D25" i="2" a="1"/>
  <c r="Q28" i="2" a="1"/>
  <c r="M23" i="2" a="1"/>
  <c r="X23" i="2" a="1"/>
  <c r="AC29" i="2" a="1"/>
  <c r="AE25" i="2" a="1"/>
  <c r="AF26" i="2" a="1"/>
  <c r="Z23" i="2" a="1"/>
  <c r="G23" i="2" a="1"/>
  <c r="X25" i="2" a="1"/>
  <c r="V23" i="2" a="1"/>
  <c r="M30" i="2" a="1"/>
  <c r="Q24" i="2" a="1"/>
  <c r="AA30" i="2" a="1"/>
  <c r="E25" i="2" a="1"/>
  <c r="K24" i="2" a="1"/>
  <c r="G29" i="2" a="1"/>
  <c r="AC28" i="2" a="1"/>
  <c r="R26" i="2" a="1"/>
  <c r="O31" i="2" a="1"/>
  <c r="AF23" i="2" a="1"/>
  <c r="Q27" i="2" a="1"/>
  <c r="I24" i="2" a="1"/>
  <c r="V25" i="2" a="1"/>
  <c r="AB29" i="2" a="1"/>
  <c r="Y27" i="2" a="1"/>
  <c r="D29" i="2" a="1"/>
  <c r="Y29" i="2" a="1"/>
  <c r="Y23" i="2" a="1"/>
  <c r="Z24" i="2" a="1"/>
  <c r="L32" i="2" a="1"/>
  <c r="P27" i="2" a="1"/>
  <c r="AB23" i="2" a="1"/>
  <c r="O29" i="2" a="1"/>
  <c r="T32" i="2" a="1"/>
  <c r="O28" i="2" a="1"/>
  <c r="S24" i="2" a="1"/>
  <c r="T31" i="2" a="1"/>
  <c r="X27" i="2" a="1"/>
  <c r="H25" i="2" a="1"/>
  <c r="H24" i="2" a="1"/>
  <c r="AC32" i="2" a="1"/>
  <c r="D30" i="2" a="1"/>
  <c r="S25" i="2" a="1"/>
  <c r="T24" i="2" a="1"/>
  <c r="E29" i="2" a="1"/>
  <c r="AD27" i="2" a="1"/>
  <c r="L27" i="2" a="1"/>
  <c r="F25" i="2" a="1"/>
  <c r="S28" i="2" a="1"/>
  <c r="K28" i="2" a="1"/>
  <c r="R31" i="2" a="1"/>
  <c r="AF31" i="2" a="1"/>
  <c r="P30" i="2" a="1"/>
  <c r="Z30" i="2" a="1"/>
  <c r="J24" i="2" a="1"/>
  <c r="V31" i="2" a="1"/>
  <c r="J27" i="2" a="1"/>
  <c r="T23" i="2" a="1"/>
  <c r="AC27" i="2" a="1"/>
  <c r="W27" i="2" a="1"/>
  <c r="AD26" i="2" a="1"/>
  <c r="I32" i="2" a="1"/>
  <c r="U26" i="2" a="1"/>
  <c r="AC31" i="2" a="1"/>
  <c r="R32" i="2" a="1"/>
  <c r="X30" i="2" a="1"/>
  <c r="Q30" i="2" a="1"/>
  <c r="I26" i="2" a="1"/>
  <c r="X26" i="2" a="1"/>
  <c r="AD32" i="2" a="1"/>
  <c r="AF30" i="2" a="1"/>
  <c r="S31" i="2" a="1"/>
  <c r="I29" i="2" a="1"/>
  <c r="W31" i="2" a="1"/>
  <c r="M32" i="2" a="1"/>
  <c r="W26" i="2" a="1"/>
  <c r="E32" i="2" a="1"/>
  <c r="D13" i="2" a="1"/>
  <c r="Z31" i="2" a="1"/>
  <c r="J26" i="2" a="1"/>
  <c r="Y26" i="2" a="1"/>
  <c r="W24" i="2" a="1"/>
  <c r="T29" i="2" a="1"/>
  <c r="F27" i="2" a="1"/>
  <c r="W32" i="2" a="1"/>
  <c r="Y32" i="2" a="1"/>
  <c r="D23" i="2" a="1"/>
  <c r="W28" i="2" a="1"/>
  <c r="D24" i="2" a="1"/>
  <c r="D27" i="2" a="1"/>
  <c r="V29" i="2" a="1"/>
  <c r="R30" i="2" a="1"/>
  <c r="W25" i="2" a="1"/>
  <c r="O27" i="2" a="1"/>
  <c r="L29" i="2" a="1"/>
  <c r="AC23" i="2" a="1"/>
  <c r="AD25" i="2" a="1"/>
  <c r="L25" i="2" a="1"/>
  <c r="AC26" i="2" a="1"/>
  <c r="G24" i="2" a="1"/>
  <c r="E23" i="2" a="1"/>
  <c r="D28" i="2" a="1"/>
  <c r="I25" i="2" a="1"/>
  <c r="D31" i="2" a="1"/>
  <c r="T27" i="2" a="1"/>
  <c r="J31" i="2" a="1"/>
  <c r="AE23" i="2" a="1"/>
  <c r="T26" i="2" a="1"/>
  <c r="F32" i="2" a="1"/>
  <c r="AF32" i="2" a="1"/>
  <c r="U23" i="2" a="1"/>
  <c r="V27" i="2" a="1"/>
  <c r="N27" i="2" a="1"/>
  <c r="L24" i="2" a="1"/>
  <c r="H30" i="2" a="1"/>
  <c r="G28" i="2" a="1"/>
  <c r="AE30" i="2" a="1"/>
  <c r="E28" i="2" a="1"/>
  <c r="H27" i="2" a="1"/>
  <c r="O30" i="2" a="1"/>
  <c r="Q23" i="2" a="1"/>
  <c r="L30" i="2" a="1"/>
  <c r="T30" i="2" a="1"/>
  <c r="H26" i="2" a="1"/>
  <c r="I27" i="2" a="1"/>
  <c r="D12" i="2" a="1"/>
  <c r="AA25" i="2" a="1"/>
  <c r="M25" i="2" a="1"/>
  <c r="H32" i="2" a="1"/>
  <c r="U25" i="2" a="1"/>
  <c r="K31" i="2" a="1"/>
  <c r="M28" i="2" a="1"/>
  <c r="F23" i="2" a="1"/>
  <c r="P23" i="2" a="1"/>
  <c r="M27" i="2" a="1"/>
  <c r="Q25" i="2" a="1"/>
  <c r="AD30" i="2" a="1"/>
  <c r="AE28" i="2" a="1"/>
  <c r="V28" i="2" a="1"/>
  <c r="Q29" i="2" a="1"/>
  <c r="U30" i="2" a="1"/>
  <c r="M29" i="2" a="1"/>
  <c r="V26" i="2" a="1"/>
  <c r="M31" i="2" a="1"/>
  <c r="F29" i="2" a="1"/>
  <c r="AB24" i="2" a="1"/>
  <c r="R24" i="2" a="1"/>
  <c r="Y24" i="2" a="1"/>
  <c r="AC24" i="2" a="1"/>
  <c r="P25" i="2" a="1"/>
  <c r="Y30" i="2" a="1"/>
  <c r="AA27" i="2" a="1"/>
  <c r="X24" i="2" a="1"/>
  <c r="N29" i="2" a="1"/>
  <c r="Z32" i="2" a="1"/>
  <c r="AE27" i="2" a="1"/>
  <c r="R28" i="2" a="1"/>
  <c r="X31" i="2" a="1"/>
  <c r="Z27" i="2" a="1"/>
  <c r="R23" i="2" a="1"/>
  <c r="X32" i="2" a="1"/>
  <c r="AA23" i="2" a="1"/>
  <c r="AB30" i="2" a="1"/>
  <c r="AB31" i="2" a="1"/>
  <c r="S30" i="2" a="1"/>
  <c r="AF24" i="2" a="1"/>
  <c r="G26" i="2" a="1"/>
  <c r="P24" i="2" a="1"/>
  <c r="K29" i="2" a="1"/>
  <c r="AD24" i="2" a="1"/>
  <c r="L28" i="2" a="1"/>
  <c r="W29" i="2" a="1"/>
  <c r="P28" i="2" a="1"/>
  <c r="AB27" i="2" a="1"/>
  <c r="P29" i="2" a="1"/>
  <c r="Z25" i="2" a="1"/>
  <c r="AA24" i="2" a="1"/>
  <c r="H31" i="2" a="1"/>
  <c r="M26" i="2" a="1"/>
  <c r="AD29" i="2" a="1"/>
  <c r="J25" i="2" a="1"/>
  <c r="G30" i="2" a="1"/>
  <c r="D11" i="2" a="1"/>
  <c r="R27" i="2" a="1"/>
  <c r="AF28" i="2" a="1"/>
  <c r="J23" i="2" a="1"/>
  <c r="J28" i="2" a="1"/>
  <c r="N32" i="2" a="1"/>
  <c r="AB32" i="2" a="1"/>
  <c r="N31" i="2" a="1"/>
  <c r="F31" i="2" a="1"/>
  <c r="P31" i="2" a="1"/>
  <c r="AD28" i="2" a="1"/>
  <c r="AF25" i="2" a="1"/>
  <c r="D10" i="2" a="1"/>
  <c r="E30" i="2" a="1"/>
  <c r="Q32" i="2" a="1"/>
  <c r="H29" i="2" a="1"/>
  <c r="AB28" i="2" a="1"/>
  <c r="AF29" i="2" a="1"/>
  <c r="O26" i="2" a="1"/>
  <c r="I28" i="2" a="1"/>
  <c r="F24" i="2" a="1"/>
  <c r="G27" i="2" a="1"/>
  <c r="U27" i="2" a="1"/>
  <c r="AA31" i="2" a="1"/>
  <c r="Y28" i="2" a="1"/>
  <c r="R29" i="2" a="1"/>
  <c r="L26" i="2" a="1"/>
  <c r="S32" i="2" a="1"/>
  <c r="Q26" i="2" a="1"/>
  <c r="S29" i="2" a="1"/>
  <c r="W23" i="2" a="1"/>
  <c r="U29" i="2" a="1"/>
  <c r="K27" i="2" a="1"/>
  <c r="AB26" i="2" a="1"/>
  <c r="AD23" i="2" a="1"/>
  <c r="D13" i="2" l="1"/>
  <c r="D58" i="2" s="1"/>
  <c r="D10" i="2"/>
  <c r="D11" i="2"/>
  <c r="D12" i="2"/>
  <c r="D19" i="2" s="1"/>
  <c r="E31" i="2"/>
  <c r="M31" i="2"/>
  <c r="U31" i="2"/>
  <c r="AC31" i="2"/>
  <c r="F31" i="2"/>
  <c r="N31" i="2"/>
  <c r="V31" i="2"/>
  <c r="AD31" i="2"/>
  <c r="P31" i="2"/>
  <c r="X31" i="2"/>
  <c r="I31" i="2"/>
  <c r="R31" i="2"/>
  <c r="Z31" i="2"/>
  <c r="K31" i="2"/>
  <c r="L31" i="2"/>
  <c r="G31" i="2"/>
  <c r="O31" i="2"/>
  <c r="W31" i="2"/>
  <c r="AE31" i="2"/>
  <c r="H31" i="2"/>
  <c r="AF31" i="2"/>
  <c r="Q31" i="2"/>
  <c r="Y31" i="2"/>
  <c r="J31" i="2"/>
  <c r="S31" i="2"/>
  <c r="AA31" i="2"/>
  <c r="T31" i="2"/>
  <c r="AB31" i="2"/>
  <c r="D31" i="2"/>
  <c r="E30" i="2"/>
  <c r="M30" i="2"/>
  <c r="U30" i="2"/>
  <c r="AC30" i="2"/>
  <c r="F30" i="2"/>
  <c r="N30" i="2"/>
  <c r="V30" i="2"/>
  <c r="AD30" i="2"/>
  <c r="W30" i="2"/>
  <c r="H30" i="2"/>
  <c r="X30" i="2"/>
  <c r="I30" i="2"/>
  <c r="Y30" i="2"/>
  <c r="J30" i="2"/>
  <c r="Z30" i="2"/>
  <c r="K30" i="2"/>
  <c r="AA30" i="2"/>
  <c r="L30" i="2"/>
  <c r="AB30" i="2"/>
  <c r="G30" i="2"/>
  <c r="O30" i="2"/>
  <c r="AE30" i="2"/>
  <c r="P30" i="2"/>
  <c r="AF30" i="2"/>
  <c r="Q30" i="2"/>
  <c r="R30" i="2"/>
  <c r="S30" i="2"/>
  <c r="T30" i="2"/>
  <c r="D30" i="2"/>
  <c r="E28" i="2"/>
  <c r="M28" i="2"/>
  <c r="U28" i="2"/>
  <c r="AC28" i="2"/>
  <c r="F28" i="2"/>
  <c r="N28" i="2"/>
  <c r="V28" i="2"/>
  <c r="AD28" i="2"/>
  <c r="Y28" i="2"/>
  <c r="R28" i="2"/>
  <c r="K28" i="2"/>
  <c r="AA28" i="2"/>
  <c r="L28" i="2"/>
  <c r="G28" i="2"/>
  <c r="O28" i="2"/>
  <c r="W28" i="2"/>
  <c r="AE28" i="2"/>
  <c r="H28" i="2"/>
  <c r="P28" i="2"/>
  <c r="X28" i="2"/>
  <c r="AF28" i="2"/>
  <c r="I28" i="2"/>
  <c r="Q28" i="2"/>
  <c r="J28" i="2"/>
  <c r="Z28" i="2"/>
  <c r="S28" i="2"/>
  <c r="T28" i="2"/>
  <c r="AB28" i="2"/>
  <c r="D28" i="2"/>
  <c r="E32" i="2"/>
  <c r="M32" i="2"/>
  <c r="U32" i="2"/>
  <c r="AC32" i="2"/>
  <c r="F32" i="2"/>
  <c r="N32" i="2"/>
  <c r="V32" i="2"/>
  <c r="AD32" i="2"/>
  <c r="P32" i="2"/>
  <c r="AF32" i="2"/>
  <c r="Q32" i="2"/>
  <c r="R32" i="2"/>
  <c r="S32" i="2"/>
  <c r="AA32" i="2"/>
  <c r="T32" i="2"/>
  <c r="G32" i="2"/>
  <c r="O32" i="2"/>
  <c r="W32" i="2"/>
  <c r="AE32" i="2"/>
  <c r="H32" i="2"/>
  <c r="X32" i="2"/>
  <c r="I32" i="2"/>
  <c r="Y32" i="2"/>
  <c r="J32" i="2"/>
  <c r="Z32" i="2"/>
  <c r="K32" i="2"/>
  <c r="L32" i="2"/>
  <c r="AB32" i="2"/>
  <c r="D32" i="2"/>
  <c r="E29" i="2"/>
  <c r="M29" i="2"/>
  <c r="U29" i="2"/>
  <c r="AC29" i="2"/>
  <c r="F29" i="2"/>
  <c r="N29" i="2"/>
  <c r="V29" i="2"/>
  <c r="AD29" i="2"/>
  <c r="X29" i="2"/>
  <c r="I29" i="2"/>
  <c r="Y29" i="2"/>
  <c r="R29" i="2"/>
  <c r="Z29" i="2"/>
  <c r="K29" i="2"/>
  <c r="S29" i="2"/>
  <c r="T29" i="2"/>
  <c r="AB29" i="2"/>
  <c r="G29" i="2"/>
  <c r="O29" i="2"/>
  <c r="W29" i="2"/>
  <c r="AE29" i="2"/>
  <c r="H29" i="2"/>
  <c r="P29" i="2"/>
  <c r="AF29" i="2"/>
  <c r="Q29" i="2"/>
  <c r="J29" i="2"/>
  <c r="AA29" i="2"/>
  <c r="L29" i="2"/>
  <c r="D29" i="2"/>
  <c r="E27" i="2"/>
  <c r="M27" i="2"/>
  <c r="U27" i="2"/>
  <c r="AC27" i="2"/>
  <c r="F27" i="2"/>
  <c r="N27" i="2"/>
  <c r="V27" i="2"/>
  <c r="AD27" i="2"/>
  <c r="I27" i="2"/>
  <c r="AA27" i="2"/>
  <c r="L27" i="2"/>
  <c r="G27" i="2"/>
  <c r="O27" i="2"/>
  <c r="W27" i="2"/>
  <c r="AE27" i="2"/>
  <c r="Y27" i="2"/>
  <c r="R27" i="2"/>
  <c r="T27" i="2"/>
  <c r="AF27" i="2"/>
  <c r="J27" i="2"/>
  <c r="K27" i="2"/>
  <c r="AB27" i="2"/>
  <c r="H27" i="2"/>
  <c r="P27" i="2"/>
  <c r="X27" i="2"/>
  <c r="Q27" i="2"/>
  <c r="Z27" i="2"/>
  <c r="S27" i="2"/>
  <c r="D27" i="2"/>
  <c r="E23" i="2"/>
  <c r="M23" i="2"/>
  <c r="U23" i="2"/>
  <c r="AC23" i="2"/>
  <c r="F23" i="2"/>
  <c r="N23" i="2"/>
  <c r="V23" i="2"/>
  <c r="AD23" i="2"/>
  <c r="W23" i="2"/>
  <c r="P23" i="2"/>
  <c r="AF23" i="2"/>
  <c r="I23" i="2"/>
  <c r="J23" i="2"/>
  <c r="Z23" i="2"/>
  <c r="K23" i="2"/>
  <c r="T23" i="2"/>
  <c r="G23" i="2"/>
  <c r="O23" i="2"/>
  <c r="AE23" i="2"/>
  <c r="H23" i="2"/>
  <c r="X23" i="2"/>
  <c r="Q23" i="2"/>
  <c r="Y23" i="2"/>
  <c r="R23" i="2"/>
  <c r="S23" i="2"/>
  <c r="AA23" i="2"/>
  <c r="L23" i="2"/>
  <c r="AB23" i="2"/>
  <c r="D23" i="2"/>
  <c r="E26" i="2"/>
  <c r="M26" i="2"/>
  <c r="U26" i="2"/>
  <c r="AC26" i="2"/>
  <c r="F26" i="2"/>
  <c r="N26" i="2"/>
  <c r="V26" i="2"/>
  <c r="AD26" i="2"/>
  <c r="W26" i="2"/>
  <c r="H26" i="2"/>
  <c r="X26" i="2"/>
  <c r="I26" i="2"/>
  <c r="Y26" i="2"/>
  <c r="J26" i="2"/>
  <c r="K26" i="2"/>
  <c r="L26" i="2"/>
  <c r="AB26" i="2"/>
  <c r="G26" i="2"/>
  <c r="O26" i="2"/>
  <c r="AE26" i="2"/>
  <c r="P26" i="2"/>
  <c r="AF26" i="2"/>
  <c r="Q26" i="2"/>
  <c r="R26" i="2"/>
  <c r="Z26" i="2"/>
  <c r="S26" i="2"/>
  <c r="AA26" i="2"/>
  <c r="T26" i="2"/>
  <c r="D26" i="2"/>
  <c r="G25" i="2"/>
  <c r="O25" i="2"/>
  <c r="W25" i="2"/>
  <c r="AE25" i="2"/>
  <c r="H25" i="2"/>
  <c r="P25" i="2"/>
  <c r="X25" i="2"/>
  <c r="AF25" i="2"/>
  <c r="I25" i="2"/>
  <c r="Q25" i="2"/>
  <c r="Y25" i="2"/>
  <c r="J25" i="2"/>
  <c r="R25" i="2"/>
  <c r="Z25" i="2"/>
  <c r="K25" i="2"/>
  <c r="S25" i="2"/>
  <c r="AA25" i="2"/>
  <c r="L25" i="2"/>
  <c r="T25" i="2"/>
  <c r="AB25" i="2"/>
  <c r="E25" i="2"/>
  <c r="M25" i="2"/>
  <c r="U25" i="2"/>
  <c r="AC25" i="2"/>
  <c r="F25" i="2"/>
  <c r="N25" i="2"/>
  <c r="V25" i="2"/>
  <c r="AD25" i="2"/>
  <c r="D25" i="2"/>
  <c r="E24" i="2"/>
  <c r="M24" i="2"/>
  <c r="U24" i="2"/>
  <c r="AC24" i="2"/>
  <c r="F24" i="2"/>
  <c r="N24" i="2"/>
  <c r="V24" i="2"/>
  <c r="AD24" i="2"/>
  <c r="I24" i="2"/>
  <c r="R24" i="2"/>
  <c r="K24" i="2"/>
  <c r="AA24" i="2"/>
  <c r="L24" i="2"/>
  <c r="AB24" i="2"/>
  <c r="G24" i="2"/>
  <c r="O24" i="2"/>
  <c r="W24" i="2"/>
  <c r="AE24" i="2"/>
  <c r="H24" i="2"/>
  <c r="P24" i="2"/>
  <c r="X24" i="2"/>
  <c r="AF24" i="2"/>
  <c r="Q24" i="2"/>
  <c r="Y24" i="2"/>
  <c r="J24" i="2"/>
  <c r="Z24" i="2"/>
  <c r="S24" i="2"/>
  <c r="T24" i="2"/>
  <c r="D24" i="2"/>
  <c r="D16" i="2" l="1"/>
  <c r="B201" i="2"/>
  <c r="B200" i="2"/>
  <c r="B199" i="2"/>
  <c r="B202" i="2"/>
  <c r="B203" i="2"/>
  <c r="B204" i="2"/>
  <c r="B205" i="2"/>
  <c r="D17" i="2" l="1"/>
  <c r="D18" i="2"/>
  <c r="B232" i="2" l="1"/>
  <c r="B209" i="2"/>
  <c r="B211" i="2" l="1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194" i="2" l="1"/>
  <c r="B195" i="2"/>
  <c r="B196" i="2"/>
  <c r="B197" i="2"/>
  <c r="B198" i="2"/>
  <c r="B206" i="2"/>
  <c r="B207" i="2"/>
  <c r="B208" i="2"/>
  <c r="B210" i="2"/>
  <c r="B193" i="2"/>
  <c r="D255" i="2" l="1"/>
  <c r="D256" i="2"/>
  <c r="D254" i="2"/>
  <c r="E147" i="2"/>
  <c r="E254" i="2" s="1"/>
  <c r="E255" i="2" l="1"/>
  <c r="E256" i="2"/>
  <c r="F147" i="2"/>
  <c r="D127" i="2"/>
  <c r="F254" i="2" l="1"/>
  <c r="F255" i="2"/>
  <c r="F256" i="2"/>
  <c r="D149" i="2"/>
  <c r="D193" i="2" s="1"/>
  <c r="D116" i="2"/>
  <c r="D96" i="2" s="1"/>
  <c r="D118" i="2"/>
  <c r="D98" i="2" s="1"/>
  <c r="D110" i="2"/>
  <c r="E110" i="2" s="1"/>
  <c r="F110" i="2" s="1"/>
  <c r="G110" i="2" s="1"/>
  <c r="H110" i="2" s="1"/>
  <c r="I110" i="2" s="1"/>
  <c r="J110" i="2" s="1"/>
  <c r="K110" i="2" s="1"/>
  <c r="L110" i="2" s="1"/>
  <c r="M110" i="2" s="1"/>
  <c r="N110" i="2" s="1"/>
  <c r="O110" i="2" s="1"/>
  <c r="P110" i="2" s="1"/>
  <c r="Q110" i="2" s="1"/>
  <c r="R110" i="2" s="1"/>
  <c r="S110" i="2" s="1"/>
  <c r="T110" i="2" s="1"/>
  <c r="U110" i="2" s="1"/>
  <c r="V110" i="2" s="1"/>
  <c r="W110" i="2" s="1"/>
  <c r="X110" i="2" s="1"/>
  <c r="Y110" i="2" s="1"/>
  <c r="Z110" i="2" s="1"/>
  <c r="AA110" i="2" s="1"/>
  <c r="AB110" i="2" s="1"/>
  <c r="AC110" i="2" s="1"/>
  <c r="AD110" i="2" s="1"/>
  <c r="AE110" i="2" s="1"/>
  <c r="AF110" i="2" s="1"/>
  <c r="D108" i="2"/>
  <c r="D117" i="2"/>
  <c r="D115" i="2" s="1"/>
  <c r="D95" i="2" s="1"/>
  <c r="D188" i="2"/>
  <c r="D232" i="2" s="1"/>
  <c r="D129" i="2"/>
  <c r="D179" i="2" s="1"/>
  <c r="D223" i="2" s="1"/>
  <c r="D190" i="2"/>
  <c r="D234" i="2" s="1"/>
  <c r="D114" i="2"/>
  <c r="D131" i="2"/>
  <c r="D174" i="2" s="1"/>
  <c r="D100" i="2"/>
  <c r="D99" i="2"/>
  <c r="D113" i="2"/>
  <c r="D94" i="2" s="1"/>
  <c r="D165" i="2"/>
  <c r="D209" i="2" s="1"/>
  <c r="D187" i="2"/>
  <c r="D231" i="2" s="1"/>
  <c r="D175" i="2"/>
  <c r="D219" i="2" s="1"/>
  <c r="D185" i="2"/>
  <c r="D186" i="2"/>
  <c r="D177" i="2"/>
  <c r="D221" i="2" s="1"/>
  <c r="D166" i="2"/>
  <c r="D210" i="2" s="1"/>
  <c r="D247" i="2" s="1"/>
  <c r="D164" i="2"/>
  <c r="D208" i="2" s="1"/>
  <c r="D158" i="2"/>
  <c r="D202" i="2" s="1"/>
  <c r="D154" i="2"/>
  <c r="D198" i="2" s="1"/>
  <c r="G147" i="2"/>
  <c r="D156" i="2"/>
  <c r="D159" i="2"/>
  <c r="D160" i="2"/>
  <c r="D204" i="2" s="1"/>
  <c r="G254" i="2" l="1"/>
  <c r="G255" i="2"/>
  <c r="G256" i="2"/>
  <c r="D218" i="2"/>
  <c r="D249" i="2" s="1"/>
  <c r="D281" i="2"/>
  <c r="D203" i="2"/>
  <c r="D253" i="2" s="1"/>
  <c r="D285" i="2"/>
  <c r="D200" i="2"/>
  <c r="D248" i="2" s="1"/>
  <c r="D280" i="2"/>
  <c r="D189" i="2"/>
  <c r="D233" i="2" s="1"/>
  <c r="D150" i="2"/>
  <c r="D282" i="2" s="1"/>
  <c r="D183" i="2"/>
  <c r="D227" i="2" s="1"/>
  <c r="D229" i="2"/>
  <c r="D230" i="2"/>
  <c r="D93" i="2"/>
  <c r="D92" i="2"/>
  <c r="E108" i="2"/>
  <c r="F108" i="2" s="1"/>
  <c r="G108" i="2" s="1"/>
  <c r="H108" i="2" s="1"/>
  <c r="I108" i="2" s="1"/>
  <c r="J108" i="2" s="1"/>
  <c r="K108" i="2" s="1"/>
  <c r="L108" i="2" s="1"/>
  <c r="M108" i="2" s="1"/>
  <c r="N108" i="2" s="1"/>
  <c r="O108" i="2" s="1"/>
  <c r="P108" i="2" s="1"/>
  <c r="Q108" i="2" s="1"/>
  <c r="R108" i="2" s="1"/>
  <c r="S108" i="2" s="1"/>
  <c r="T108" i="2" s="1"/>
  <c r="U108" i="2" s="1"/>
  <c r="V108" i="2" s="1"/>
  <c r="W108" i="2" s="1"/>
  <c r="X108" i="2" s="1"/>
  <c r="Y108" i="2" s="1"/>
  <c r="Z108" i="2" s="1"/>
  <c r="AA108" i="2" s="1"/>
  <c r="AB108" i="2" s="1"/>
  <c r="AC108" i="2" s="1"/>
  <c r="AD108" i="2" s="1"/>
  <c r="AE108" i="2" s="1"/>
  <c r="AF108" i="2" s="1"/>
  <c r="D126" i="2"/>
  <c r="D155" i="2"/>
  <c r="D199" i="2" s="1"/>
  <c r="D130" i="2"/>
  <c r="D178" i="2" s="1"/>
  <c r="D222" i="2" s="1"/>
  <c r="D171" i="2"/>
  <c r="D215" i="2" s="1"/>
  <c r="D176" i="2"/>
  <c r="D220" i="2" s="1"/>
  <c r="D91" i="2"/>
  <c r="E112" i="2" s="1"/>
  <c r="D181" i="2"/>
  <c r="D225" i="2" s="1"/>
  <c r="D97" i="2"/>
  <c r="D162" i="2"/>
  <c r="D206" i="2" s="1"/>
  <c r="D163" i="2"/>
  <c r="D207" i="2" s="1"/>
  <c r="D157" i="2"/>
  <c r="D201" i="2" s="1"/>
  <c r="D184" i="2"/>
  <c r="D228" i="2" s="1"/>
  <c r="D152" i="2"/>
  <c r="D196" i="2" s="1"/>
  <c r="D169" i="2"/>
  <c r="D213" i="2" s="1"/>
  <c r="D153" i="2"/>
  <c r="D197" i="2" s="1"/>
  <c r="D170" i="2"/>
  <c r="D214" i="2" s="1"/>
  <c r="D168" i="2"/>
  <c r="D212" i="2" s="1"/>
  <c r="D167" i="2"/>
  <c r="H147" i="2"/>
  <c r="H254" i="2" l="1"/>
  <c r="H255" i="2"/>
  <c r="H256" i="2"/>
  <c r="D211" i="2"/>
  <c r="D252" i="2" s="1"/>
  <c r="D284" i="2"/>
  <c r="D101" i="2"/>
  <c r="D151" i="2"/>
  <c r="D195" i="2" s="1"/>
  <c r="D194" i="2"/>
  <c r="D250" i="2" s="1"/>
  <c r="D180" i="2"/>
  <c r="D224" i="2" s="1"/>
  <c r="D161" i="2"/>
  <c r="D205" i="2" s="1"/>
  <c r="D128" i="2" a="1"/>
  <c r="D128" i="2" l="1"/>
  <c r="D182" i="2" s="1"/>
  <c r="D226" i="2" s="1"/>
  <c r="I147" i="2"/>
  <c r="D173" i="2" l="1"/>
  <c r="D217" i="2" s="1"/>
  <c r="D172" i="2"/>
  <c r="D216" i="2" s="1"/>
  <c r="D251" i="2" s="1"/>
  <c r="I254" i="2"/>
  <c r="I256" i="2"/>
  <c r="I255" i="2"/>
  <c r="J147" i="2"/>
  <c r="D15" i="2"/>
  <c r="D283" i="2" l="1"/>
  <c r="D286" i="2" s="1"/>
  <c r="J256" i="2"/>
  <c r="J254" i="2"/>
  <c r="J255" i="2"/>
  <c r="K147" i="2"/>
  <c r="K255" i="2" l="1"/>
  <c r="K256" i="2"/>
  <c r="K254" i="2"/>
  <c r="L147" i="2"/>
  <c r="L255" i="2" l="1"/>
  <c r="L256" i="2"/>
  <c r="L254" i="2"/>
  <c r="E37" i="2"/>
  <c r="E38" i="2"/>
  <c r="M147" i="2"/>
  <c r="Q38" i="2"/>
  <c r="F38" i="2"/>
  <c r="J38" i="2"/>
  <c r="N38" i="2"/>
  <c r="R38" i="2"/>
  <c r="V38" i="2"/>
  <c r="Z38" i="2"/>
  <c r="AD38" i="2"/>
  <c r="I38" i="2"/>
  <c r="M38" i="2"/>
  <c r="U38" i="2"/>
  <c r="Y38" i="2"/>
  <c r="AC38" i="2"/>
  <c r="G38" i="2"/>
  <c r="K38" i="2"/>
  <c r="O38" i="2"/>
  <c r="S38" i="2"/>
  <c r="W38" i="2"/>
  <c r="AA38" i="2"/>
  <c r="AE38" i="2"/>
  <c r="M255" i="2" l="1"/>
  <c r="M254" i="2"/>
  <c r="M256" i="2"/>
  <c r="J36" i="2"/>
  <c r="E36" i="2"/>
  <c r="E40" i="2" s="1"/>
  <c r="E35" i="2"/>
  <c r="U36" i="2"/>
  <c r="E45" i="2"/>
  <c r="R36" i="2"/>
  <c r="N36" i="2"/>
  <c r="Z36" i="2"/>
  <c r="I36" i="2"/>
  <c r="Y36" i="2"/>
  <c r="M36" i="2"/>
  <c r="V36" i="2"/>
  <c r="AD36" i="2"/>
  <c r="AC36" i="2"/>
  <c r="Q36" i="2"/>
  <c r="F36" i="2"/>
  <c r="N147" i="2"/>
  <c r="D55" i="2"/>
  <c r="E46" i="2"/>
  <c r="AF38" i="2"/>
  <c r="P38" i="2"/>
  <c r="AB38" i="2"/>
  <c r="L38" i="2"/>
  <c r="X38" i="2"/>
  <c r="H38" i="2"/>
  <c r="T38" i="2"/>
  <c r="F46" i="2"/>
  <c r="N255" i="2" l="1"/>
  <c r="N254" i="2"/>
  <c r="N256" i="2"/>
  <c r="E39" i="2"/>
  <c r="AF36" i="2"/>
  <c r="O36" i="2"/>
  <c r="P36" i="2"/>
  <c r="X36" i="2"/>
  <c r="H36" i="2"/>
  <c r="G36" i="2"/>
  <c r="T36" i="2"/>
  <c r="S36" i="2"/>
  <c r="AE36" i="2"/>
  <c r="W36" i="2"/>
  <c r="AA36" i="2"/>
  <c r="K36" i="2"/>
  <c r="AB36" i="2"/>
  <c r="L36" i="2"/>
  <c r="E42" i="2"/>
  <c r="E43" i="2"/>
  <c r="O147" i="2"/>
  <c r="G46" i="2"/>
  <c r="O254" i="2" l="1"/>
  <c r="O256" i="2"/>
  <c r="O255" i="2"/>
  <c r="E41" i="2"/>
  <c r="E44" i="2"/>
  <c r="P147" i="2"/>
  <c r="E48" i="2"/>
  <c r="E47" i="2"/>
  <c r="H46" i="2"/>
  <c r="P255" i="2" l="1"/>
  <c r="P254" i="2"/>
  <c r="P256" i="2"/>
  <c r="F37" i="2"/>
  <c r="F35" i="2"/>
  <c r="E53" i="2"/>
  <c r="E49" i="2"/>
  <c r="Q147" i="2"/>
  <c r="F45" i="2"/>
  <c r="E54" i="2"/>
  <c r="E50" i="2"/>
  <c r="E51" i="2"/>
  <c r="F43" i="2"/>
  <c r="F40" i="2"/>
  <c r="I46" i="2"/>
  <c r="Q255" i="2" l="1"/>
  <c r="Q254" i="2"/>
  <c r="Q256" i="2"/>
  <c r="F42" i="2"/>
  <c r="F44" i="2" s="1"/>
  <c r="F39" i="2"/>
  <c r="F41" i="2" s="1"/>
  <c r="E56" i="2"/>
  <c r="E52" i="2"/>
  <c r="E106" i="2" s="1"/>
  <c r="E55" i="2"/>
  <c r="R147" i="2"/>
  <c r="E57" i="2"/>
  <c r="F48" i="2"/>
  <c r="J46" i="2"/>
  <c r="R255" i="2" l="1"/>
  <c r="R254" i="2"/>
  <c r="R256" i="2"/>
  <c r="E58" i="2"/>
  <c r="E107" i="2" s="1"/>
  <c r="E111" i="2" s="1"/>
  <c r="F47" i="2"/>
  <c r="F50" i="2" s="1"/>
  <c r="G35" i="2"/>
  <c r="G37" i="2"/>
  <c r="E120" i="2"/>
  <c r="E166" i="2"/>
  <c r="S147" i="2"/>
  <c r="G45" i="2"/>
  <c r="F51" i="2"/>
  <c r="F54" i="2"/>
  <c r="K46" i="2"/>
  <c r="S255" i="2" l="1"/>
  <c r="S256" i="2"/>
  <c r="S254" i="2"/>
  <c r="E119" i="2"/>
  <c r="E116" i="2" s="1"/>
  <c r="F53" i="2"/>
  <c r="F55" i="2" s="1"/>
  <c r="F49" i="2"/>
  <c r="F52" i="2"/>
  <c r="F106" i="2" s="1"/>
  <c r="E210" i="2"/>
  <c r="T147" i="2"/>
  <c r="G39" i="2"/>
  <c r="G47" i="2" s="1"/>
  <c r="G42" i="2"/>
  <c r="G43" i="2"/>
  <c r="G40" i="2"/>
  <c r="F57" i="2"/>
  <c r="L46" i="2"/>
  <c r="T255" i="2" l="1"/>
  <c r="T256" i="2"/>
  <c r="T254" i="2"/>
  <c r="F166" i="2"/>
  <c r="F210" i="2" s="1"/>
  <c r="F247" i="2" s="1"/>
  <c r="F56" i="2"/>
  <c r="F58" i="2" s="1"/>
  <c r="F107" i="2" s="1"/>
  <c r="E118" i="2"/>
  <c r="E117" i="2"/>
  <c r="E115" i="2" s="1"/>
  <c r="E113" i="2"/>
  <c r="E121" i="2" s="1"/>
  <c r="E109" i="2"/>
  <c r="E164" i="2"/>
  <c r="E186" i="2"/>
  <c r="E160" i="2"/>
  <c r="G41" i="2"/>
  <c r="G44" i="2"/>
  <c r="F120" i="2"/>
  <c r="U147" i="2"/>
  <c r="G48" i="2"/>
  <c r="M46" i="2"/>
  <c r="U256" i="2" l="1"/>
  <c r="U255" i="2"/>
  <c r="U254" i="2"/>
  <c r="F186" i="2"/>
  <c r="F230" i="2" s="1"/>
  <c r="F160" i="2"/>
  <c r="F204" i="2" s="1"/>
  <c r="F119" i="2"/>
  <c r="F116" i="2" s="1"/>
  <c r="E122" i="2"/>
  <c r="E123" i="2"/>
  <c r="E154" i="2"/>
  <c r="E198" i="2" s="1"/>
  <c r="E149" i="2"/>
  <c r="E193" i="2" s="1"/>
  <c r="H35" i="2"/>
  <c r="H37" i="2"/>
  <c r="E159" i="2"/>
  <c r="E285" i="2" s="1"/>
  <c r="E114" i="2"/>
  <c r="E184" i="2" s="1"/>
  <c r="E156" i="2"/>
  <c r="E280" i="2" s="1"/>
  <c r="E187" i="2"/>
  <c r="E185" i="2"/>
  <c r="E157" i="2"/>
  <c r="E201" i="2" s="1"/>
  <c r="E168" i="2"/>
  <c r="E208" i="2"/>
  <c r="E230" i="2"/>
  <c r="E204" i="2"/>
  <c r="G49" i="2"/>
  <c r="V147" i="2"/>
  <c r="G50" i="2"/>
  <c r="H45" i="2"/>
  <c r="G53" i="2"/>
  <c r="G51" i="2"/>
  <c r="G54" i="2"/>
  <c r="N46" i="2"/>
  <c r="V256" i="2" l="1"/>
  <c r="V254" i="2"/>
  <c r="V255" i="2"/>
  <c r="E189" i="2"/>
  <c r="E233" i="2" s="1"/>
  <c r="E247" i="2" s="1"/>
  <c r="E271" i="2" s="1"/>
  <c r="E130" i="2"/>
  <c r="E203" i="2"/>
  <c r="E253" i="2" s="1"/>
  <c r="E277" i="2" s="1"/>
  <c r="E183" i="2"/>
  <c r="E200" i="2"/>
  <c r="E228" i="2"/>
  <c r="E231" i="2"/>
  <c r="E229" i="2"/>
  <c r="F111" i="2"/>
  <c r="F109" i="2"/>
  <c r="G55" i="2"/>
  <c r="G52" i="2"/>
  <c r="G106" i="2" s="1"/>
  <c r="E212" i="2"/>
  <c r="W147" i="2"/>
  <c r="H39" i="2"/>
  <c r="H42" i="2"/>
  <c r="G56" i="2"/>
  <c r="H40" i="2"/>
  <c r="H43" i="2"/>
  <c r="G57" i="2"/>
  <c r="O46" i="2"/>
  <c r="W255" i="2" l="1"/>
  <c r="W256" i="2"/>
  <c r="W254" i="2"/>
  <c r="F149" i="2"/>
  <c r="F193" i="2" s="1"/>
  <c r="F185" i="2"/>
  <c r="F229" i="2" s="1"/>
  <c r="F156" i="2"/>
  <c r="F200" i="2" s="1"/>
  <c r="F248" i="2" s="1"/>
  <c r="F272" i="2" s="1"/>
  <c r="F187" i="2"/>
  <c r="F231" i="2" s="1"/>
  <c r="G166" i="2"/>
  <c r="G210" i="2" s="1"/>
  <c r="G247" i="2" s="1"/>
  <c r="E128" i="2"/>
  <c r="E127" i="2"/>
  <c r="E190" i="2"/>
  <c r="E234" i="2" s="1"/>
  <c r="E131" i="2"/>
  <c r="E174" i="2" s="1"/>
  <c r="E281" i="2" s="1"/>
  <c r="E129" i="2"/>
  <c r="E179" i="2" s="1"/>
  <c r="F114" i="2"/>
  <c r="E227" i="2"/>
  <c r="E188" i="2"/>
  <c r="E177" i="2"/>
  <c r="E165" i="2"/>
  <c r="E124" i="2"/>
  <c r="E125" i="2"/>
  <c r="E175" i="2"/>
  <c r="E158" i="2"/>
  <c r="E181" i="2"/>
  <c r="G58" i="2"/>
  <c r="H44" i="2"/>
  <c r="F183" i="2" l="1"/>
  <c r="F227" i="2" s="1"/>
  <c r="F184" i="2"/>
  <c r="F228" i="2" s="1"/>
  <c r="E232" i="2"/>
  <c r="E126" i="2"/>
  <c r="E178" i="2"/>
  <c r="E222" i="2" s="1"/>
  <c r="F112" i="2"/>
  <c r="E171" i="2"/>
  <c r="E215" i="2" s="1"/>
  <c r="E153" i="2"/>
  <c r="E150" i="2"/>
  <c r="E282" i="2" s="1"/>
  <c r="E176" i="2"/>
  <c r="E220" i="2" s="1"/>
  <c r="E170" i="2"/>
  <c r="E214" i="2" s="1"/>
  <c r="E162" i="2"/>
  <c r="E152" i="2"/>
  <c r="E167" i="2"/>
  <c r="E284" i="2" s="1"/>
  <c r="E169" i="2"/>
  <c r="E163" i="2"/>
  <c r="H41" i="2"/>
  <c r="E202" i="2"/>
  <c r="E221" i="2"/>
  <c r="G120" i="2"/>
  <c r="E219" i="2"/>
  <c r="E209" i="2"/>
  <c r="E223" i="2"/>
  <c r="E173" i="2"/>
  <c r="E182" i="2"/>
  <c r="E172" i="2"/>
  <c r="E283" i="2" s="1"/>
  <c r="E218" i="2"/>
  <c r="E249" i="2" s="1"/>
  <c r="E273" i="2" s="1"/>
  <c r="E225" i="2"/>
  <c r="E155" i="2"/>
  <c r="E199" i="2" s="1"/>
  <c r="X147" i="2"/>
  <c r="H47" i="2"/>
  <c r="H48" i="2"/>
  <c r="P46" i="2"/>
  <c r="X254" i="2" l="1"/>
  <c r="X256" i="2"/>
  <c r="X255" i="2"/>
  <c r="E286" i="2"/>
  <c r="F113" i="2"/>
  <c r="F121" i="2" s="1"/>
  <c r="F164" i="2"/>
  <c r="F208" i="2" s="1"/>
  <c r="F154" i="2"/>
  <c r="F198" i="2" s="1"/>
  <c r="F159" i="2"/>
  <c r="F203" i="2" s="1"/>
  <c r="F253" i="2" s="1"/>
  <c r="F277" i="2" s="1"/>
  <c r="F280" i="2"/>
  <c r="F118" i="2"/>
  <c r="I35" i="2"/>
  <c r="I37" i="2"/>
  <c r="F117" i="2"/>
  <c r="E213" i="2"/>
  <c r="E180" i="2"/>
  <c r="E224" i="2" s="1"/>
  <c r="E151" i="2"/>
  <c r="E161" i="2"/>
  <c r="E197" i="2"/>
  <c r="E196" i="2"/>
  <c r="E206" i="2"/>
  <c r="E194" i="2"/>
  <c r="E207" i="2"/>
  <c r="E211" i="2"/>
  <c r="E252" i="2" s="1"/>
  <c r="E276" i="2" s="1"/>
  <c r="H49" i="2"/>
  <c r="E226" i="2"/>
  <c r="E217" i="2"/>
  <c r="E216" i="2"/>
  <c r="E251" i="2" s="1"/>
  <c r="E275" i="2" s="1"/>
  <c r="Y147" i="2"/>
  <c r="G107" i="2"/>
  <c r="H50" i="2"/>
  <c r="I45" i="2"/>
  <c r="H53" i="2"/>
  <c r="H54" i="2"/>
  <c r="H51" i="2"/>
  <c r="Q46" i="2"/>
  <c r="Y255" i="2" l="1"/>
  <c r="Y256" i="2"/>
  <c r="Y254" i="2"/>
  <c r="F115" i="2"/>
  <c r="F157" i="2"/>
  <c r="F201" i="2" s="1"/>
  <c r="F168" i="2"/>
  <c r="F212" i="2" s="1"/>
  <c r="F122" i="2"/>
  <c r="F158" i="2" s="1"/>
  <c r="F202" i="2" s="1"/>
  <c r="G160" i="2"/>
  <c r="G204" i="2" s="1"/>
  <c r="G186" i="2"/>
  <c r="G230" i="2" s="1"/>
  <c r="F285" i="2"/>
  <c r="F123" i="2"/>
  <c r="F162" i="2" s="1"/>
  <c r="F206" i="2" s="1"/>
  <c r="E248" i="2"/>
  <c r="E272" i="2" s="1"/>
  <c r="E250" i="2"/>
  <c r="E274" i="2" s="1"/>
  <c r="G119" i="2"/>
  <c r="E205" i="2"/>
  <c r="G111" i="2"/>
  <c r="G109" i="2"/>
  <c r="E195" i="2"/>
  <c r="H52" i="2"/>
  <c r="H106" i="2" s="1"/>
  <c r="H55" i="2"/>
  <c r="Z147" i="2"/>
  <c r="I39" i="2"/>
  <c r="I42" i="2"/>
  <c r="H56" i="2"/>
  <c r="H57" i="2"/>
  <c r="I40" i="2"/>
  <c r="I43" i="2"/>
  <c r="R46" i="2"/>
  <c r="Z255" i="2" l="1"/>
  <c r="Z254" i="2"/>
  <c r="Z256" i="2"/>
  <c r="F167" i="2"/>
  <c r="F211" i="2" s="1"/>
  <c r="F252" i="2" s="1"/>
  <c r="F276" i="2" s="1"/>
  <c r="G156" i="2"/>
  <c r="G200" i="2" s="1"/>
  <c r="G248" i="2" s="1"/>
  <c r="G272" i="2" s="1"/>
  <c r="G187" i="2"/>
  <c r="G231" i="2" s="1"/>
  <c r="F165" i="2"/>
  <c r="F209" i="2" s="1"/>
  <c r="F188" i="2"/>
  <c r="F232" i="2" s="1"/>
  <c r="F177" i="2"/>
  <c r="F221" i="2" s="1"/>
  <c r="F190" i="2"/>
  <c r="F234" i="2" s="1"/>
  <c r="F175" i="2"/>
  <c r="F219" i="2" s="1"/>
  <c r="F181" i="2"/>
  <c r="F225" i="2" s="1"/>
  <c r="F163" i="2"/>
  <c r="F207" i="2" s="1"/>
  <c r="F130" i="2"/>
  <c r="F178" i="2" s="1"/>
  <c r="F222" i="2" s="1"/>
  <c r="F150" i="2"/>
  <c r="F194" i="2" s="1"/>
  <c r="F250" i="2" s="1"/>
  <c r="F274" i="2" s="1"/>
  <c r="F189" i="2"/>
  <c r="F233" i="2" s="1"/>
  <c r="F176" i="2"/>
  <c r="F220" i="2" s="1"/>
  <c r="F153" i="2"/>
  <c r="F197" i="2" s="1"/>
  <c r="E278" i="2"/>
  <c r="F169" i="2"/>
  <c r="F213" i="2" s="1"/>
  <c r="H166" i="2"/>
  <c r="H210" i="2" s="1"/>
  <c r="H247" i="2" s="1"/>
  <c r="G149" i="2"/>
  <c r="G193" i="2" s="1"/>
  <c r="G185" i="2"/>
  <c r="G229" i="2" s="1"/>
  <c r="F170" i="2"/>
  <c r="F214" i="2" s="1"/>
  <c r="F152" i="2"/>
  <c r="F196" i="2" s="1"/>
  <c r="F127" i="2"/>
  <c r="F171" i="2" s="1"/>
  <c r="F215" i="2" s="1"/>
  <c r="F271" i="2"/>
  <c r="F128" i="2"/>
  <c r="F172" i="2" s="1"/>
  <c r="F216" i="2" s="1"/>
  <c r="F251" i="2" s="1"/>
  <c r="F275" i="2" s="1"/>
  <c r="F129" i="2"/>
  <c r="F179" i="2" s="1"/>
  <c r="F223" i="2" s="1"/>
  <c r="F131" i="2"/>
  <c r="F174" i="2" s="1"/>
  <c r="F218" i="2" s="1"/>
  <c r="F249" i="2" s="1"/>
  <c r="F273" i="2" s="1"/>
  <c r="F278" i="2" l="1"/>
  <c r="F173" i="2"/>
  <c r="F217" i="2" s="1"/>
  <c r="F182" i="2"/>
  <c r="F226" i="2" s="1"/>
  <c r="G114" i="2"/>
  <c r="F125" i="2"/>
  <c r="F124" i="2"/>
  <c r="H58" i="2"/>
  <c r="I44" i="2"/>
  <c r="I41" i="2"/>
  <c r="H120" i="2"/>
  <c r="F155" i="2" l="1"/>
  <c r="F199" i="2" s="1"/>
  <c r="G183" i="2"/>
  <c r="G227" i="2" s="1"/>
  <c r="G184" i="2"/>
  <c r="G228" i="2" s="1"/>
  <c r="J35" i="2"/>
  <c r="J37" i="2"/>
  <c r="F281" i="2"/>
  <c r="F126" i="2"/>
  <c r="G112" i="2"/>
  <c r="F284" i="2"/>
  <c r="F283" i="2"/>
  <c r="AA147" i="2"/>
  <c r="I47" i="2"/>
  <c r="I48" i="2"/>
  <c r="S46" i="2"/>
  <c r="AA256" i="2" l="1"/>
  <c r="AA255" i="2"/>
  <c r="AA254" i="2"/>
  <c r="F161" i="2"/>
  <c r="F205" i="2" s="1"/>
  <c r="F180" i="2"/>
  <c r="F224" i="2" s="1"/>
  <c r="F151" i="2"/>
  <c r="F195" i="2" s="1"/>
  <c r="G164" i="2"/>
  <c r="G208" i="2" s="1"/>
  <c r="G154" i="2"/>
  <c r="G198" i="2" s="1"/>
  <c r="G159" i="2"/>
  <c r="G203" i="2" s="1"/>
  <c r="G253" i="2" s="1"/>
  <c r="G277" i="2" s="1"/>
  <c r="F282" i="2"/>
  <c r="F286" i="2" s="1"/>
  <c r="G280" i="2"/>
  <c r="G113" i="2"/>
  <c r="G117" i="2"/>
  <c r="G118" i="2"/>
  <c r="I49" i="2"/>
  <c r="AB147" i="2"/>
  <c r="H107" i="2"/>
  <c r="J45" i="2"/>
  <c r="I53" i="2"/>
  <c r="I50" i="2"/>
  <c r="I51" i="2"/>
  <c r="I54" i="2"/>
  <c r="T46" i="2"/>
  <c r="AB254" i="2" l="1"/>
  <c r="AB256" i="2"/>
  <c r="AB255" i="2"/>
  <c r="H160" i="2"/>
  <c r="H204" i="2" s="1"/>
  <c r="H186" i="2"/>
  <c r="H230" i="2" s="1"/>
  <c r="G168" i="2"/>
  <c r="G212" i="2" s="1"/>
  <c r="G285" i="2"/>
  <c r="G157" i="2"/>
  <c r="G201" i="2" s="1"/>
  <c r="H119" i="2"/>
  <c r="G115" i="2"/>
  <c r="G121" i="2"/>
  <c r="G116" i="2"/>
  <c r="H111" i="2"/>
  <c r="H109" i="2"/>
  <c r="I52" i="2"/>
  <c r="I106" i="2" s="1"/>
  <c r="I55" i="2"/>
  <c r="AC147" i="2"/>
  <c r="J39" i="2"/>
  <c r="J42" i="2"/>
  <c r="I56" i="2"/>
  <c r="J43" i="2"/>
  <c r="J40" i="2"/>
  <c r="I57" i="2"/>
  <c r="U46" i="2"/>
  <c r="AC254" i="2" l="1"/>
  <c r="AC255" i="2"/>
  <c r="AC256" i="2"/>
  <c r="I166" i="2"/>
  <c r="I210" i="2" s="1"/>
  <c r="I247" i="2" s="1"/>
  <c r="H156" i="2"/>
  <c r="H200" i="2" s="1"/>
  <c r="H248" i="2" s="1"/>
  <c r="H272" i="2" s="1"/>
  <c r="H187" i="2"/>
  <c r="H231" i="2" s="1"/>
  <c r="H149" i="2"/>
  <c r="H193" i="2" s="1"/>
  <c r="H185" i="2"/>
  <c r="H229" i="2" s="1"/>
  <c r="G122" i="2"/>
  <c r="G158" i="2" s="1"/>
  <c r="G202" i="2" s="1"/>
  <c r="G123" i="2"/>
  <c r="G170" i="2" s="1"/>
  <c r="G214" i="2" s="1"/>
  <c r="H114" i="2"/>
  <c r="I58" i="2"/>
  <c r="J44" i="2"/>
  <c r="G150" i="2" l="1"/>
  <c r="G194" i="2" s="1"/>
  <c r="G250" i="2" s="1"/>
  <c r="G274" i="2" s="1"/>
  <c r="G189" i="2"/>
  <c r="G233" i="2" s="1"/>
  <c r="G176" i="2"/>
  <c r="G220" i="2" s="1"/>
  <c r="G162" i="2"/>
  <c r="G206" i="2" s="1"/>
  <c r="G163" i="2"/>
  <c r="G207" i="2" s="1"/>
  <c r="G167" i="2"/>
  <c r="G211" i="2" s="1"/>
  <c r="G252" i="2" s="1"/>
  <c r="G276" i="2" s="1"/>
  <c r="G169" i="2"/>
  <c r="G213" i="2" s="1"/>
  <c r="G152" i="2"/>
  <c r="G196" i="2" s="1"/>
  <c r="H184" i="2"/>
  <c r="H228" i="2" s="1"/>
  <c r="H183" i="2"/>
  <c r="H227" i="2" s="1"/>
  <c r="G165" i="2"/>
  <c r="G209" i="2" s="1"/>
  <c r="G188" i="2"/>
  <c r="G232" i="2" s="1"/>
  <c r="G190" i="2"/>
  <c r="G234" i="2" s="1"/>
  <c r="G177" i="2"/>
  <c r="G221" i="2" s="1"/>
  <c r="G175" i="2"/>
  <c r="G219" i="2" s="1"/>
  <c r="G181" i="2"/>
  <c r="G225" i="2" s="1"/>
  <c r="G153" i="2"/>
  <c r="G197" i="2" s="1"/>
  <c r="G271" i="2"/>
  <c r="G127" i="2"/>
  <c r="G171" i="2" s="1"/>
  <c r="G215" i="2" s="1"/>
  <c r="G128" i="2"/>
  <c r="G129" i="2"/>
  <c r="G179" i="2" s="1"/>
  <c r="G223" i="2" s="1"/>
  <c r="G131" i="2"/>
  <c r="G174" i="2" s="1"/>
  <c r="G218" i="2" s="1"/>
  <c r="G249" i="2" s="1"/>
  <c r="G273" i="2" s="1"/>
  <c r="G130" i="2"/>
  <c r="G178" i="2" s="1"/>
  <c r="G222" i="2" s="1"/>
  <c r="G124" i="2"/>
  <c r="G125" i="2"/>
  <c r="H112" i="2"/>
  <c r="J41" i="2"/>
  <c r="I120" i="2"/>
  <c r="AD147" i="2"/>
  <c r="J47" i="2"/>
  <c r="J48" i="2"/>
  <c r="V46" i="2"/>
  <c r="AD255" i="2" l="1"/>
  <c r="AD254" i="2"/>
  <c r="AD256" i="2"/>
  <c r="G282" i="2"/>
  <c r="G155" i="2"/>
  <c r="G199" i="2" s="1"/>
  <c r="G173" i="2"/>
  <c r="G217" i="2" s="1"/>
  <c r="G182" i="2"/>
  <c r="G226" i="2" s="1"/>
  <c r="G172" i="2"/>
  <c r="G216" i="2" s="1"/>
  <c r="G251" i="2" s="1"/>
  <c r="G275" i="2" s="1"/>
  <c r="H113" i="2"/>
  <c r="H121" i="2" s="1"/>
  <c r="H164" i="2"/>
  <c r="H208" i="2" s="1"/>
  <c r="H159" i="2"/>
  <c r="H203" i="2" s="1"/>
  <c r="H253" i="2" s="1"/>
  <c r="H277" i="2" s="1"/>
  <c r="H154" i="2"/>
  <c r="H198" i="2" s="1"/>
  <c r="G281" i="2"/>
  <c r="H280" i="2"/>
  <c r="G284" i="2"/>
  <c r="G126" i="2"/>
  <c r="K35" i="2"/>
  <c r="K37" i="2"/>
  <c r="H118" i="2"/>
  <c r="H117" i="2"/>
  <c r="J49" i="2"/>
  <c r="AE147" i="2"/>
  <c r="I107" i="2"/>
  <c r="K45" i="2"/>
  <c r="J50" i="2"/>
  <c r="J53" i="2"/>
  <c r="J51" i="2"/>
  <c r="J54" i="2"/>
  <c r="W46" i="2"/>
  <c r="AE255" i="2" l="1"/>
  <c r="AE254" i="2"/>
  <c r="AE256" i="2"/>
  <c r="H157" i="2"/>
  <c r="H201" i="2" s="1"/>
  <c r="H168" i="2"/>
  <c r="H212" i="2" s="1"/>
  <c r="I160" i="2"/>
  <c r="I204" i="2" s="1"/>
  <c r="I186" i="2"/>
  <c r="I230" i="2" s="1"/>
  <c r="H285" i="2"/>
  <c r="G161" i="2"/>
  <c r="G205" i="2" s="1"/>
  <c r="G180" i="2"/>
  <c r="G224" i="2" s="1"/>
  <c r="G151" i="2"/>
  <c r="G195" i="2" s="1"/>
  <c r="G283" i="2"/>
  <c r="G286" i="2" s="1"/>
  <c r="G278" i="2"/>
  <c r="I119" i="2"/>
  <c r="H122" i="2"/>
  <c r="H123" i="2"/>
  <c r="H115" i="2"/>
  <c r="H116" i="2"/>
  <c r="I109" i="2"/>
  <c r="I111" i="2"/>
  <c r="J55" i="2"/>
  <c r="J52" i="2"/>
  <c r="J106" i="2" s="1"/>
  <c r="AF147" i="2"/>
  <c r="K39" i="2"/>
  <c r="K42" i="2"/>
  <c r="J56" i="2"/>
  <c r="K40" i="2"/>
  <c r="K43" i="2"/>
  <c r="J57" i="2"/>
  <c r="X46" i="2"/>
  <c r="AF255" i="2" l="1"/>
  <c r="AF254" i="2"/>
  <c r="AF256" i="2"/>
  <c r="H189" i="2"/>
  <c r="H233" i="2" s="1"/>
  <c r="H150" i="2"/>
  <c r="H194" i="2" s="1"/>
  <c r="H250" i="2" s="1"/>
  <c r="H274" i="2" s="1"/>
  <c r="H176" i="2"/>
  <c r="H220" i="2" s="1"/>
  <c r="H165" i="2"/>
  <c r="H209" i="2" s="1"/>
  <c r="H188" i="2"/>
  <c r="H232" i="2" s="1"/>
  <c r="H177" i="2"/>
  <c r="H221" i="2" s="1"/>
  <c r="H190" i="2"/>
  <c r="H234" i="2" s="1"/>
  <c r="H175" i="2"/>
  <c r="H219" i="2" s="1"/>
  <c r="H181" i="2"/>
  <c r="H225" i="2" s="1"/>
  <c r="H163" i="2"/>
  <c r="H207" i="2" s="1"/>
  <c r="H167" i="2"/>
  <c r="H211" i="2" s="1"/>
  <c r="H252" i="2" s="1"/>
  <c r="H276" i="2" s="1"/>
  <c r="I156" i="2"/>
  <c r="I200" i="2" s="1"/>
  <c r="I248" i="2" s="1"/>
  <c r="I272" i="2" s="1"/>
  <c r="I187" i="2"/>
  <c r="I231" i="2" s="1"/>
  <c r="I149" i="2"/>
  <c r="I193" i="2" s="1"/>
  <c r="I185" i="2"/>
  <c r="I229" i="2" s="1"/>
  <c r="H158" i="2"/>
  <c r="H202" i="2" s="1"/>
  <c r="H169" i="2"/>
  <c r="H213" i="2" s="1"/>
  <c r="H153" i="2"/>
  <c r="H197" i="2" s="1"/>
  <c r="J166" i="2"/>
  <c r="J210" i="2" s="1"/>
  <c r="J247" i="2" s="1"/>
  <c r="H152" i="2"/>
  <c r="H196" i="2" s="1"/>
  <c r="H170" i="2"/>
  <c r="H214" i="2" s="1"/>
  <c r="H162" i="2"/>
  <c r="H206" i="2" s="1"/>
  <c r="H130" i="2"/>
  <c r="H178" i="2" s="1"/>
  <c r="H222" i="2" s="1"/>
  <c r="H271" i="2"/>
  <c r="H127" i="2"/>
  <c r="H171" i="2" s="1"/>
  <c r="H215" i="2" s="1"/>
  <c r="H128" i="2"/>
  <c r="H129" i="2"/>
  <c r="H179" i="2" s="1"/>
  <c r="H223" i="2" s="1"/>
  <c r="H131" i="2"/>
  <c r="H124" i="2"/>
  <c r="H125" i="2"/>
  <c r="I114" i="2"/>
  <c r="J58" i="2"/>
  <c r="K44" i="2"/>
  <c r="H173" i="2" l="1"/>
  <c r="H217" i="2" s="1"/>
  <c r="H182" i="2"/>
  <c r="H226" i="2" s="1"/>
  <c r="H172" i="2"/>
  <c r="H216" i="2" s="1"/>
  <c r="H251" i="2" s="1"/>
  <c r="H275" i="2" s="1"/>
  <c r="H155" i="2"/>
  <c r="H199" i="2" s="1"/>
  <c r="I183" i="2"/>
  <c r="I227" i="2" s="1"/>
  <c r="I184" i="2"/>
  <c r="I228" i="2" s="1"/>
  <c r="H174" i="2"/>
  <c r="H218" i="2" s="1"/>
  <c r="H249" i="2" s="1"/>
  <c r="H273" i="2" s="1"/>
  <c r="H126" i="2"/>
  <c r="K41" i="2"/>
  <c r="I112" i="2"/>
  <c r="H282" i="2"/>
  <c r="J120" i="2"/>
  <c r="H284" i="2"/>
  <c r="AG147" i="2"/>
  <c r="K47" i="2"/>
  <c r="K48" i="2"/>
  <c r="Y46" i="2"/>
  <c r="H283" i="2" l="1"/>
  <c r="H281" i="2"/>
  <c r="H161" i="2"/>
  <c r="H205" i="2" s="1"/>
  <c r="H180" i="2"/>
  <c r="H224" i="2" s="1"/>
  <c r="H151" i="2"/>
  <c r="H195" i="2" s="1"/>
  <c r="I113" i="2"/>
  <c r="I121" i="2" s="1"/>
  <c r="I164" i="2"/>
  <c r="I208" i="2" s="1"/>
  <c r="I159" i="2"/>
  <c r="I203" i="2" s="1"/>
  <c r="I253" i="2" s="1"/>
  <c r="I277" i="2" s="1"/>
  <c r="I154" i="2"/>
  <c r="I198" i="2" s="1"/>
  <c r="I280" i="2"/>
  <c r="L37" i="2"/>
  <c r="L35" i="2"/>
  <c r="I118" i="2"/>
  <c r="I117" i="2"/>
  <c r="K49" i="2"/>
  <c r="AH147" i="2"/>
  <c r="J107" i="2"/>
  <c r="K50" i="2"/>
  <c r="L45" i="2"/>
  <c r="K53" i="2"/>
  <c r="K51" i="2"/>
  <c r="K54" i="2"/>
  <c r="Z46" i="2"/>
  <c r="H286" i="2" l="1"/>
  <c r="I123" i="2"/>
  <c r="I162" i="2" s="1"/>
  <c r="I206" i="2" s="1"/>
  <c r="J186" i="2"/>
  <c r="J230" i="2" s="1"/>
  <c r="J160" i="2"/>
  <c r="J204" i="2" s="1"/>
  <c r="I285" i="2"/>
  <c r="I115" i="2"/>
  <c r="I157" i="2"/>
  <c r="I201" i="2" s="1"/>
  <c r="I168" i="2"/>
  <c r="I212" i="2" s="1"/>
  <c r="J119" i="2"/>
  <c r="I116" i="2"/>
  <c r="J109" i="2"/>
  <c r="J111" i="2"/>
  <c r="K55" i="2"/>
  <c r="K52" i="2"/>
  <c r="I169" i="2" l="1"/>
  <c r="I213" i="2" s="1"/>
  <c r="I163" i="2"/>
  <c r="I207" i="2" s="1"/>
  <c r="I167" i="2"/>
  <c r="I211" i="2" s="1"/>
  <c r="I252" i="2" s="1"/>
  <c r="I276" i="2" s="1"/>
  <c r="I130" i="2"/>
  <c r="I153" i="2"/>
  <c r="I197" i="2" s="1"/>
  <c r="I152" i="2"/>
  <c r="I196" i="2" s="1"/>
  <c r="I170" i="2"/>
  <c r="I214" i="2" s="1"/>
  <c r="J156" i="2"/>
  <c r="J200" i="2" s="1"/>
  <c r="J248" i="2" s="1"/>
  <c r="J272" i="2" s="1"/>
  <c r="J187" i="2"/>
  <c r="J231" i="2" s="1"/>
  <c r="J149" i="2"/>
  <c r="J193" i="2" s="1"/>
  <c r="J185" i="2"/>
  <c r="J229" i="2" s="1"/>
  <c r="I150" i="2"/>
  <c r="I194" i="2" s="1"/>
  <c r="I250" i="2" s="1"/>
  <c r="I274" i="2" s="1"/>
  <c r="I176" i="2"/>
  <c r="I220" i="2" s="1"/>
  <c r="H278" i="2"/>
  <c r="J114" i="2"/>
  <c r="I122" i="2"/>
  <c r="J112" i="2"/>
  <c r="J159" i="2" s="1"/>
  <c r="J203" i="2" s="1"/>
  <c r="J253" i="2" s="1"/>
  <c r="J277" i="2" s="1"/>
  <c r="K106" i="2"/>
  <c r="L39" i="2"/>
  <c r="L42" i="2"/>
  <c r="K56" i="2"/>
  <c r="L43" i="2"/>
  <c r="L40" i="2"/>
  <c r="K57" i="2"/>
  <c r="AA46" i="2"/>
  <c r="I284" i="2" l="1"/>
  <c r="J154" i="2"/>
  <c r="J198" i="2" s="1"/>
  <c r="I165" i="2"/>
  <c r="I209" i="2" s="1"/>
  <c r="I188" i="2"/>
  <c r="I232" i="2" s="1"/>
  <c r="I177" i="2"/>
  <c r="I221" i="2" s="1"/>
  <c r="I190" i="2"/>
  <c r="I234" i="2" s="1"/>
  <c r="I175" i="2"/>
  <c r="I219" i="2" s="1"/>
  <c r="I181" i="2"/>
  <c r="I225" i="2" s="1"/>
  <c r="I158" i="2"/>
  <c r="I202" i="2" s="1"/>
  <c r="K166" i="2"/>
  <c r="K210" i="2" s="1"/>
  <c r="K247" i="2" s="1"/>
  <c r="I189" i="2"/>
  <c r="I233" i="2" s="1"/>
  <c r="I178" i="2"/>
  <c r="I222" i="2" s="1"/>
  <c r="J113" i="2"/>
  <c r="J164" i="2"/>
  <c r="J208" i="2" s="1"/>
  <c r="J184" i="2"/>
  <c r="J228" i="2" s="1"/>
  <c r="J183" i="2"/>
  <c r="J227" i="2" s="1"/>
  <c r="I282" i="2"/>
  <c r="I127" i="2"/>
  <c r="I171" i="2" s="1"/>
  <c r="I215" i="2" s="1"/>
  <c r="I271" i="2"/>
  <c r="I129" i="2"/>
  <c r="I179" i="2" s="1"/>
  <c r="I223" i="2" s="1"/>
  <c r="I128" i="2"/>
  <c r="I131" i="2"/>
  <c r="J118" i="2"/>
  <c r="J117" i="2"/>
  <c r="I125" i="2"/>
  <c r="I124" i="2"/>
  <c r="K58" i="2"/>
  <c r="L44" i="2"/>
  <c r="I155" i="2" l="1"/>
  <c r="I199" i="2" s="1"/>
  <c r="J168" i="2"/>
  <c r="J212" i="2" s="1"/>
  <c r="J115" i="2"/>
  <c r="J157" i="2"/>
  <c r="J201" i="2" s="1"/>
  <c r="I174" i="2"/>
  <c r="I218" i="2" s="1"/>
  <c r="I249" i="2" s="1"/>
  <c r="I273" i="2" s="1"/>
  <c r="I173" i="2"/>
  <c r="I217" i="2" s="1"/>
  <c r="I182" i="2"/>
  <c r="I226" i="2" s="1"/>
  <c r="I172" i="2"/>
  <c r="I216" i="2" s="1"/>
  <c r="I251" i="2" s="1"/>
  <c r="I275" i="2" s="1"/>
  <c r="I126" i="2"/>
  <c r="L41" i="2"/>
  <c r="K120" i="2"/>
  <c r="J121" i="2"/>
  <c r="J285" i="2"/>
  <c r="L47" i="2"/>
  <c r="L48" i="2"/>
  <c r="AB46" i="2"/>
  <c r="I283" i="2" l="1"/>
  <c r="I281" i="2"/>
  <c r="J123" i="2"/>
  <c r="J170" i="2" s="1"/>
  <c r="J214" i="2" s="1"/>
  <c r="I161" i="2"/>
  <c r="I205" i="2" s="1"/>
  <c r="I180" i="2"/>
  <c r="I224" i="2" s="1"/>
  <c r="I151" i="2"/>
  <c r="I195" i="2" s="1"/>
  <c r="J280" i="2"/>
  <c r="I278" i="2"/>
  <c r="L49" i="2"/>
  <c r="M37" i="2"/>
  <c r="M35" i="2"/>
  <c r="J116" i="2"/>
  <c r="K107" i="2"/>
  <c r="M45" i="2"/>
  <c r="L50" i="2"/>
  <c r="L53" i="2"/>
  <c r="L51" i="2"/>
  <c r="L54" i="2"/>
  <c r="AC46" i="2"/>
  <c r="J153" i="2" l="1"/>
  <c r="J197" i="2" s="1"/>
  <c r="J152" i="2"/>
  <c r="J196" i="2" s="1"/>
  <c r="I286" i="2"/>
  <c r="J150" i="2"/>
  <c r="J194" i="2" s="1"/>
  <c r="J250" i="2" s="1"/>
  <c r="J274" i="2" s="1"/>
  <c r="J176" i="2"/>
  <c r="J220" i="2" s="1"/>
  <c r="J163" i="2"/>
  <c r="J207" i="2" s="1"/>
  <c r="J167" i="2"/>
  <c r="J211" i="2" s="1"/>
  <c r="J252" i="2" s="1"/>
  <c r="J276" i="2" s="1"/>
  <c r="J169" i="2"/>
  <c r="J213" i="2" s="1"/>
  <c r="J162" i="2"/>
  <c r="J206" i="2" s="1"/>
  <c r="K186" i="2"/>
  <c r="K230" i="2" s="1"/>
  <c r="K160" i="2"/>
  <c r="K204" i="2" s="1"/>
  <c r="J130" i="2"/>
  <c r="K119" i="2"/>
  <c r="K109" i="2"/>
  <c r="K111" i="2"/>
  <c r="L52" i="2"/>
  <c r="L106" i="2" s="1"/>
  <c r="L55" i="2"/>
  <c r="J122" i="2"/>
  <c r="J189" i="2" s="1"/>
  <c r="J233" i="2" s="1"/>
  <c r="K112" i="2"/>
  <c r="K164" i="2" s="1"/>
  <c r="K208" i="2" s="1"/>
  <c r="L56" i="2"/>
  <c r="M39" i="2"/>
  <c r="M42" i="2"/>
  <c r="M40" i="2"/>
  <c r="M43" i="2"/>
  <c r="L57" i="2"/>
  <c r="AD46" i="2"/>
  <c r="J282" i="2" l="1"/>
  <c r="J284" i="2"/>
  <c r="J178" i="2"/>
  <c r="J222" i="2" s="1"/>
  <c r="K156" i="2"/>
  <c r="K200" i="2" s="1"/>
  <c r="K248" i="2" s="1"/>
  <c r="K272" i="2" s="1"/>
  <c r="K159" i="2"/>
  <c r="K203" i="2" s="1"/>
  <c r="K253" i="2" s="1"/>
  <c r="K277" i="2" s="1"/>
  <c r="K187" i="2"/>
  <c r="K231" i="2" s="1"/>
  <c r="L166" i="2"/>
  <c r="L210" i="2" s="1"/>
  <c r="L247" i="2" s="1"/>
  <c r="K154" i="2"/>
  <c r="K198" i="2" s="1"/>
  <c r="K149" i="2"/>
  <c r="K193" i="2" s="1"/>
  <c r="K185" i="2"/>
  <c r="K229" i="2" s="1"/>
  <c r="J165" i="2"/>
  <c r="J209" i="2" s="1"/>
  <c r="J188" i="2"/>
  <c r="J232" i="2" s="1"/>
  <c r="J177" i="2"/>
  <c r="J221" i="2" s="1"/>
  <c r="J190" i="2"/>
  <c r="J234" i="2" s="1"/>
  <c r="J175" i="2"/>
  <c r="J219" i="2" s="1"/>
  <c r="J181" i="2"/>
  <c r="J225" i="2" s="1"/>
  <c r="J158" i="2"/>
  <c r="J202" i="2" s="1"/>
  <c r="J127" i="2"/>
  <c r="J171" i="2" s="1"/>
  <c r="J215" i="2" s="1"/>
  <c r="J271" i="2"/>
  <c r="J128" i="2"/>
  <c r="J129" i="2"/>
  <c r="J179" i="2" s="1"/>
  <c r="J223" i="2" s="1"/>
  <c r="J131" i="2"/>
  <c r="K113" i="2"/>
  <c r="K121" i="2" s="1"/>
  <c r="K114" i="2"/>
  <c r="K117" i="2"/>
  <c r="K118" i="2"/>
  <c r="L58" i="2"/>
  <c r="M41" i="2"/>
  <c r="M44" i="2"/>
  <c r="J124" i="2"/>
  <c r="J125" i="2"/>
  <c r="L120" i="2"/>
  <c r="M47" i="2"/>
  <c r="M48" i="2"/>
  <c r="AE46" i="2"/>
  <c r="K285" i="2" l="1"/>
  <c r="J155" i="2"/>
  <c r="J199" i="2" s="1"/>
  <c r="J174" i="2"/>
  <c r="J218" i="2" s="1"/>
  <c r="J249" i="2" s="1"/>
  <c r="J273" i="2" s="1"/>
  <c r="K168" i="2"/>
  <c r="K212" i="2" s="1"/>
  <c r="J173" i="2"/>
  <c r="J217" i="2" s="1"/>
  <c r="J182" i="2"/>
  <c r="J226" i="2" s="1"/>
  <c r="J172" i="2"/>
  <c r="J216" i="2" s="1"/>
  <c r="J251" i="2" s="1"/>
  <c r="J275" i="2" s="1"/>
  <c r="K115" i="2"/>
  <c r="K157" i="2"/>
  <c r="K201" i="2" s="1"/>
  <c r="K184" i="2"/>
  <c r="K228" i="2" s="1"/>
  <c r="K183" i="2"/>
  <c r="K227" i="2" s="1"/>
  <c r="K123" i="2"/>
  <c r="K130" i="2" s="1"/>
  <c r="K280" i="2"/>
  <c r="N35" i="2"/>
  <c r="N37" i="2"/>
  <c r="K116" i="2"/>
  <c r="J126" i="2"/>
  <c r="M49" i="2"/>
  <c r="K122" i="2"/>
  <c r="K158" i="2" s="1"/>
  <c r="K202" i="2" s="1"/>
  <c r="L107" i="2"/>
  <c r="N45" i="2"/>
  <c r="M53" i="2"/>
  <c r="M50" i="2"/>
  <c r="M51" i="2"/>
  <c r="M54" i="2"/>
  <c r="AF46" i="2"/>
  <c r="K169" i="2" l="1"/>
  <c r="K213" i="2" s="1"/>
  <c r="K153" i="2"/>
  <c r="K197" i="2" s="1"/>
  <c r="K162" i="2"/>
  <c r="K206" i="2" s="1"/>
  <c r="K178" i="2"/>
  <c r="K222" i="2" s="1"/>
  <c r="J281" i="2"/>
  <c r="L160" i="2"/>
  <c r="L204" i="2" s="1"/>
  <c r="L186" i="2"/>
  <c r="L230" i="2" s="1"/>
  <c r="K165" i="2"/>
  <c r="K209" i="2" s="1"/>
  <c r="K188" i="2"/>
  <c r="K232" i="2" s="1"/>
  <c r="K190" i="2"/>
  <c r="K234" i="2" s="1"/>
  <c r="K177" i="2"/>
  <c r="K221" i="2" s="1"/>
  <c r="K175" i="2"/>
  <c r="K219" i="2" s="1"/>
  <c r="K150" i="2"/>
  <c r="K194" i="2" s="1"/>
  <c r="K250" i="2" s="1"/>
  <c r="K274" i="2" s="1"/>
  <c r="K189" i="2"/>
  <c r="K233" i="2" s="1"/>
  <c r="K176" i="2"/>
  <c r="K220" i="2" s="1"/>
  <c r="J283" i="2"/>
  <c r="J161" i="2"/>
  <c r="J205" i="2" s="1"/>
  <c r="J180" i="2"/>
  <c r="J224" i="2" s="1"/>
  <c r="J151" i="2"/>
  <c r="J195" i="2" s="1"/>
  <c r="K181" i="2"/>
  <c r="K225" i="2" s="1"/>
  <c r="K152" i="2"/>
  <c r="K196" i="2" s="1"/>
  <c r="K170" i="2"/>
  <c r="K214" i="2" s="1"/>
  <c r="K163" i="2"/>
  <c r="K207" i="2" s="1"/>
  <c r="K167" i="2"/>
  <c r="K211" i="2" s="1"/>
  <c r="K252" i="2" s="1"/>
  <c r="K276" i="2" s="1"/>
  <c r="J278" i="2"/>
  <c r="K127" i="2"/>
  <c r="K171" i="2" s="1"/>
  <c r="K215" i="2" s="1"/>
  <c r="K271" i="2"/>
  <c r="L119" i="2"/>
  <c r="K128" i="2"/>
  <c r="K129" i="2"/>
  <c r="K179" i="2" s="1"/>
  <c r="K223" i="2" s="1"/>
  <c r="K131" i="2"/>
  <c r="L109" i="2"/>
  <c r="L111" i="2"/>
  <c r="M52" i="2"/>
  <c r="M55" i="2"/>
  <c r="J286" i="2" l="1"/>
  <c r="L149" i="2"/>
  <c r="L193" i="2" s="1"/>
  <c r="L185" i="2"/>
  <c r="L229" i="2" s="1"/>
  <c r="K174" i="2"/>
  <c r="K218" i="2" s="1"/>
  <c r="K249" i="2" s="1"/>
  <c r="K273" i="2" s="1"/>
  <c r="K173" i="2"/>
  <c r="K217" i="2" s="1"/>
  <c r="K182" i="2"/>
  <c r="K226" i="2" s="1"/>
  <c r="L156" i="2"/>
  <c r="L200" i="2" s="1"/>
  <c r="L248" i="2" s="1"/>
  <c r="L272" i="2" s="1"/>
  <c r="L187" i="2"/>
  <c r="L231" i="2" s="1"/>
  <c r="K172" i="2"/>
  <c r="K216" i="2" s="1"/>
  <c r="K251" i="2" s="1"/>
  <c r="K275" i="2" s="1"/>
  <c r="L114" i="2"/>
  <c r="K282" i="2"/>
  <c r="L112" i="2"/>
  <c r="L159" i="2" s="1"/>
  <c r="L203" i="2" s="1"/>
  <c r="L253" i="2" s="1"/>
  <c r="L277" i="2" s="1"/>
  <c r="K125" i="2"/>
  <c r="K124" i="2"/>
  <c r="M106" i="2"/>
  <c r="M56" i="2"/>
  <c r="N39" i="2"/>
  <c r="N42" i="2"/>
  <c r="N43" i="2"/>
  <c r="N40" i="2"/>
  <c r="M57" i="2"/>
  <c r="K155" i="2" l="1"/>
  <c r="K199" i="2" s="1"/>
  <c r="M166" i="2"/>
  <c r="M210" i="2" s="1"/>
  <c r="M247" i="2" s="1"/>
  <c r="L113" i="2"/>
  <c r="L121" i="2" s="1"/>
  <c r="L164" i="2"/>
  <c r="L208" i="2" s="1"/>
  <c r="K281" i="2"/>
  <c r="L184" i="2"/>
  <c r="L228" i="2" s="1"/>
  <c r="L183" i="2"/>
  <c r="L227" i="2" s="1"/>
  <c r="L154" i="2"/>
  <c r="L198" i="2" s="1"/>
  <c r="K283" i="2"/>
  <c r="K284" i="2"/>
  <c r="K126" i="2"/>
  <c r="L117" i="2"/>
  <c r="L118" i="2"/>
  <c r="M58" i="2"/>
  <c r="N44" i="2"/>
  <c r="N41" i="2"/>
  <c r="M120" i="2"/>
  <c r="L285" i="2"/>
  <c r="N47" i="2"/>
  <c r="N48" i="2"/>
  <c r="K286" i="2" l="1"/>
  <c r="L123" i="2"/>
  <c r="L163" i="2" s="1"/>
  <c r="L207" i="2" s="1"/>
  <c r="L168" i="2"/>
  <c r="L212" i="2" s="1"/>
  <c r="L115" i="2"/>
  <c r="L157" i="2"/>
  <c r="L201" i="2" s="1"/>
  <c r="K161" i="2"/>
  <c r="K205" i="2" s="1"/>
  <c r="K180" i="2"/>
  <c r="K224" i="2" s="1"/>
  <c r="K151" i="2"/>
  <c r="K195" i="2" s="1"/>
  <c r="L280" i="2"/>
  <c r="O35" i="2"/>
  <c r="O37" i="2"/>
  <c r="L116" i="2"/>
  <c r="N49" i="2"/>
  <c r="M107" i="2"/>
  <c r="N50" i="2"/>
  <c r="O45" i="2"/>
  <c r="N53" i="2"/>
  <c r="N51" i="2"/>
  <c r="N54" i="2"/>
  <c r="L169" i="2" l="1"/>
  <c r="L213" i="2" s="1"/>
  <c r="L162" i="2"/>
  <c r="L206" i="2" s="1"/>
  <c r="L153" i="2"/>
  <c r="L197" i="2" s="1"/>
  <c r="L167" i="2"/>
  <c r="L211" i="2" s="1"/>
  <c r="L252" i="2" s="1"/>
  <c r="L276" i="2" s="1"/>
  <c r="L130" i="2"/>
  <c r="M160" i="2"/>
  <c r="M204" i="2" s="1"/>
  <c r="M186" i="2"/>
  <c r="M230" i="2" s="1"/>
  <c r="L152" i="2"/>
  <c r="L196" i="2" s="1"/>
  <c r="L170" i="2"/>
  <c r="L214" i="2" s="1"/>
  <c r="L150" i="2"/>
  <c r="L194" i="2" s="1"/>
  <c r="L250" i="2" s="1"/>
  <c r="L274" i="2" s="1"/>
  <c r="L176" i="2"/>
  <c r="L220" i="2" s="1"/>
  <c r="K278" i="2"/>
  <c r="M119" i="2"/>
  <c r="M109" i="2"/>
  <c r="M111" i="2"/>
  <c r="N52" i="2"/>
  <c r="N55" i="2"/>
  <c r="L122" i="2"/>
  <c r="L284" i="2" l="1"/>
  <c r="L178" i="2"/>
  <c r="L222" i="2" s="1"/>
  <c r="L189" i="2"/>
  <c r="L233" i="2" s="1"/>
  <c r="L165" i="2"/>
  <c r="L209" i="2" s="1"/>
  <c r="L188" i="2"/>
  <c r="L232" i="2" s="1"/>
  <c r="L177" i="2"/>
  <c r="L221" i="2" s="1"/>
  <c r="L190" i="2"/>
  <c r="L234" i="2" s="1"/>
  <c r="L175" i="2"/>
  <c r="L219" i="2" s="1"/>
  <c r="L181" i="2"/>
  <c r="L225" i="2" s="1"/>
  <c r="L158" i="2"/>
  <c r="L202" i="2" s="1"/>
  <c r="L282" i="2"/>
  <c r="M156" i="2"/>
  <c r="M200" i="2" s="1"/>
  <c r="M248" i="2" s="1"/>
  <c r="M272" i="2" s="1"/>
  <c r="M187" i="2"/>
  <c r="M231" i="2" s="1"/>
  <c r="M149" i="2"/>
  <c r="M193" i="2" s="1"/>
  <c r="M185" i="2"/>
  <c r="M229" i="2" s="1"/>
  <c r="L127" i="2"/>
  <c r="L171" i="2" s="1"/>
  <c r="L215" i="2" s="1"/>
  <c r="L271" i="2"/>
  <c r="L128" i="2"/>
  <c r="L129" i="2"/>
  <c r="L179" i="2" s="1"/>
  <c r="L223" i="2" s="1"/>
  <c r="L131" i="2"/>
  <c r="L174" i="2" s="1"/>
  <c r="L218" i="2" s="1"/>
  <c r="L249" i="2" s="1"/>
  <c r="L273" i="2" s="1"/>
  <c r="M114" i="2"/>
  <c r="L125" i="2"/>
  <c r="L124" i="2"/>
  <c r="M112" i="2"/>
  <c r="M154" i="2" s="1"/>
  <c r="M198" i="2" s="1"/>
  <c r="N106" i="2"/>
  <c r="N56" i="2"/>
  <c r="O39" i="2"/>
  <c r="O42" i="2"/>
  <c r="O43" i="2"/>
  <c r="O40" i="2"/>
  <c r="N57" i="2"/>
  <c r="L155" i="2" l="1"/>
  <c r="L199" i="2" s="1"/>
  <c r="L173" i="2"/>
  <c r="L217" i="2" s="1"/>
  <c r="L182" i="2"/>
  <c r="L226" i="2" s="1"/>
  <c r="L172" i="2"/>
  <c r="L216" i="2" s="1"/>
  <c r="L251" i="2" s="1"/>
  <c r="L275" i="2" s="1"/>
  <c r="M184" i="2"/>
  <c r="M228" i="2" s="1"/>
  <c r="M183" i="2"/>
  <c r="M227" i="2" s="1"/>
  <c r="N166" i="2"/>
  <c r="N210" i="2" s="1"/>
  <c r="N247" i="2" s="1"/>
  <c r="M113" i="2"/>
  <c r="M121" i="2" s="1"/>
  <c r="M164" i="2"/>
  <c r="M208" i="2" s="1"/>
  <c r="M159" i="2"/>
  <c r="M203" i="2" s="1"/>
  <c r="M253" i="2" s="1"/>
  <c r="M277" i="2" s="1"/>
  <c r="L281" i="2"/>
  <c r="L126" i="2"/>
  <c r="M117" i="2"/>
  <c r="M118" i="2"/>
  <c r="N58" i="2"/>
  <c r="O44" i="2"/>
  <c r="O41" i="2"/>
  <c r="N120" i="2"/>
  <c r="O47" i="2"/>
  <c r="O48" i="2"/>
  <c r="M285" i="2" l="1"/>
  <c r="M123" i="2"/>
  <c r="M163" i="2" s="1"/>
  <c r="M207" i="2" s="1"/>
  <c r="M168" i="2"/>
  <c r="M212" i="2" s="1"/>
  <c r="M115" i="2"/>
  <c r="M157" i="2"/>
  <c r="M201" i="2" s="1"/>
  <c r="L161" i="2"/>
  <c r="L205" i="2" s="1"/>
  <c r="L180" i="2"/>
  <c r="L224" i="2" s="1"/>
  <c r="L151" i="2"/>
  <c r="L195" i="2" s="1"/>
  <c r="L283" i="2"/>
  <c r="L286" i="2" s="1"/>
  <c r="M280" i="2"/>
  <c r="P35" i="2"/>
  <c r="P37" i="2"/>
  <c r="L278" i="2"/>
  <c r="M116" i="2"/>
  <c r="O49" i="2"/>
  <c r="M122" i="2"/>
  <c r="M158" i="2" s="1"/>
  <c r="M202" i="2" s="1"/>
  <c r="N107" i="2"/>
  <c r="O50" i="2"/>
  <c r="P45" i="2"/>
  <c r="O53" i="2"/>
  <c r="O51" i="2"/>
  <c r="O54" i="2"/>
  <c r="M153" i="2" l="1"/>
  <c r="M197" i="2" s="1"/>
  <c r="M162" i="2"/>
  <c r="M206" i="2" s="1"/>
  <c r="M130" i="2"/>
  <c r="M178" i="2" s="1"/>
  <c r="M222" i="2" s="1"/>
  <c r="M169" i="2"/>
  <c r="M213" i="2" s="1"/>
  <c r="M167" i="2"/>
  <c r="M211" i="2" s="1"/>
  <c r="M252" i="2" s="1"/>
  <c r="M276" i="2" s="1"/>
  <c r="M271" i="2"/>
  <c r="M165" i="2"/>
  <c r="M209" i="2" s="1"/>
  <c r="M188" i="2"/>
  <c r="M232" i="2" s="1"/>
  <c r="M190" i="2"/>
  <c r="M234" i="2" s="1"/>
  <c r="M177" i="2"/>
  <c r="M221" i="2" s="1"/>
  <c r="M175" i="2"/>
  <c r="M219" i="2" s="1"/>
  <c r="M181" i="2"/>
  <c r="M225" i="2" s="1"/>
  <c r="M152" i="2"/>
  <c r="M196" i="2" s="1"/>
  <c r="M170" i="2"/>
  <c r="M214" i="2" s="1"/>
  <c r="N160" i="2"/>
  <c r="N204" i="2" s="1"/>
  <c r="N186" i="2"/>
  <c r="N230" i="2" s="1"/>
  <c r="M150" i="2"/>
  <c r="M194" i="2" s="1"/>
  <c r="M250" i="2" s="1"/>
  <c r="M274" i="2" s="1"/>
  <c r="M189" i="2"/>
  <c r="M233" i="2" s="1"/>
  <c r="M176" i="2"/>
  <c r="M220" i="2" s="1"/>
  <c r="M127" i="2"/>
  <c r="M171" i="2" s="1"/>
  <c r="M215" i="2" s="1"/>
  <c r="N119" i="2"/>
  <c r="M128" i="2"/>
  <c r="M172" i="2" s="1"/>
  <c r="M216" i="2" s="1"/>
  <c r="M251" i="2" s="1"/>
  <c r="M275" i="2" s="1"/>
  <c r="M131" i="2"/>
  <c r="M129" i="2"/>
  <c r="M179" i="2" s="1"/>
  <c r="M223" i="2" s="1"/>
  <c r="N111" i="2"/>
  <c r="N109" i="2"/>
  <c r="O52" i="2"/>
  <c r="O106" i="2" s="1"/>
  <c r="O55" i="2"/>
  <c r="M124" i="2"/>
  <c r="M125" i="2"/>
  <c r="P39" i="2"/>
  <c r="P42" i="2"/>
  <c r="O56" i="2"/>
  <c r="P40" i="2"/>
  <c r="P43" i="2"/>
  <c r="O57" i="2"/>
  <c r="N185" i="2" l="1"/>
  <c r="N229" i="2" s="1"/>
  <c r="N149" i="2"/>
  <c r="N193" i="2" s="1"/>
  <c r="M155" i="2"/>
  <c r="M199" i="2" s="1"/>
  <c r="O166" i="2"/>
  <c r="O210" i="2" s="1"/>
  <c r="O247" i="2" s="1"/>
  <c r="M174" i="2"/>
  <c r="M218" i="2" s="1"/>
  <c r="M249" i="2" s="1"/>
  <c r="M273" i="2" s="1"/>
  <c r="N156" i="2"/>
  <c r="N200" i="2" s="1"/>
  <c r="N248" i="2" s="1"/>
  <c r="N272" i="2" s="1"/>
  <c r="N187" i="2"/>
  <c r="N231" i="2" s="1"/>
  <c r="M173" i="2"/>
  <c r="M217" i="2" s="1"/>
  <c r="M182" i="2"/>
  <c r="M226" i="2" s="1"/>
  <c r="N114" i="2"/>
  <c r="M126" i="2"/>
  <c r="O58" i="2"/>
  <c r="P41" i="2"/>
  <c r="M281" i="2" l="1"/>
  <c r="N183" i="2"/>
  <c r="N227" i="2" s="1"/>
  <c r="N184" i="2"/>
  <c r="N228" i="2" s="1"/>
  <c r="M161" i="2"/>
  <c r="M205" i="2" s="1"/>
  <c r="M180" i="2"/>
  <c r="M224" i="2" s="1"/>
  <c r="M151" i="2"/>
  <c r="M195" i="2" s="1"/>
  <c r="Q35" i="2"/>
  <c r="Q37" i="2"/>
  <c r="P44" i="2"/>
  <c r="N112" i="2"/>
  <c r="M282" i="2"/>
  <c r="O120" i="2"/>
  <c r="P47" i="2"/>
  <c r="P48" i="2"/>
  <c r="N113" i="2" l="1"/>
  <c r="N121" i="2" s="1"/>
  <c r="N164" i="2"/>
  <c r="N208" i="2" s="1"/>
  <c r="N154" i="2"/>
  <c r="N198" i="2" s="1"/>
  <c r="N159" i="2"/>
  <c r="N203" i="2" s="1"/>
  <c r="N253" i="2" s="1"/>
  <c r="N277" i="2" s="1"/>
  <c r="M283" i="2"/>
  <c r="N280" i="2"/>
  <c r="M284" i="2"/>
  <c r="N118" i="2"/>
  <c r="N117" i="2"/>
  <c r="P49" i="2"/>
  <c r="O107" i="2"/>
  <c r="P50" i="2"/>
  <c r="Q45" i="2"/>
  <c r="P53" i="2"/>
  <c r="P51" i="2"/>
  <c r="P54" i="2"/>
  <c r="M286" i="2" l="1"/>
  <c r="N285" i="2"/>
  <c r="N168" i="2"/>
  <c r="N212" i="2" s="1"/>
  <c r="N123" i="2"/>
  <c r="N130" i="2" s="1"/>
  <c r="O160" i="2"/>
  <c r="O204" i="2" s="1"/>
  <c r="O186" i="2"/>
  <c r="O230" i="2" s="1"/>
  <c r="N115" i="2"/>
  <c r="N157" i="2"/>
  <c r="N201" i="2" s="1"/>
  <c r="O119" i="2"/>
  <c r="N116" i="2"/>
  <c r="O111" i="2"/>
  <c r="O109" i="2"/>
  <c r="P55" i="2"/>
  <c r="P52" i="2"/>
  <c r="N153" i="2" l="1"/>
  <c r="N197" i="2" s="1"/>
  <c r="N152" i="2"/>
  <c r="N196" i="2" s="1"/>
  <c r="N170" i="2"/>
  <c r="N214" i="2" s="1"/>
  <c r="O156" i="2"/>
  <c r="O200" i="2" s="1"/>
  <c r="O248" i="2" s="1"/>
  <c r="O272" i="2" s="1"/>
  <c r="O187" i="2"/>
  <c r="O231" i="2" s="1"/>
  <c r="N150" i="2"/>
  <c r="N194" i="2" s="1"/>
  <c r="N250" i="2" s="1"/>
  <c r="N274" i="2" s="1"/>
  <c r="N176" i="2"/>
  <c r="N220" i="2" s="1"/>
  <c r="N162" i="2"/>
  <c r="N206" i="2" s="1"/>
  <c r="N167" i="2"/>
  <c r="N211" i="2" s="1"/>
  <c r="N252" i="2" s="1"/>
  <c r="N276" i="2" s="1"/>
  <c r="O185" i="2"/>
  <c r="O229" i="2" s="1"/>
  <c r="O149" i="2"/>
  <c r="O193" i="2" s="1"/>
  <c r="N169" i="2"/>
  <c r="N213" i="2" s="1"/>
  <c r="N163" i="2"/>
  <c r="N207" i="2" s="1"/>
  <c r="M278" i="2"/>
  <c r="O114" i="2"/>
  <c r="N122" i="2"/>
  <c r="N178" i="2" s="1"/>
  <c r="N222" i="2" s="1"/>
  <c r="O112" i="2"/>
  <c r="O159" i="2" s="1"/>
  <c r="O203" i="2" s="1"/>
  <c r="O253" i="2" s="1"/>
  <c r="O277" i="2" s="1"/>
  <c r="P106" i="2"/>
  <c r="P56" i="2"/>
  <c r="Q39" i="2"/>
  <c r="Q42" i="2"/>
  <c r="Q40" i="2"/>
  <c r="Q43" i="2"/>
  <c r="P57" i="2"/>
  <c r="O154" i="2" l="1"/>
  <c r="O198" i="2" s="1"/>
  <c r="O184" i="2"/>
  <c r="O228" i="2" s="1"/>
  <c r="O183" i="2"/>
  <c r="O227" i="2" s="1"/>
  <c r="P166" i="2"/>
  <c r="P210" i="2" s="1"/>
  <c r="P247" i="2" s="1"/>
  <c r="O113" i="2"/>
  <c r="O164" i="2"/>
  <c r="O208" i="2" s="1"/>
  <c r="N282" i="2"/>
  <c r="N165" i="2"/>
  <c r="N209" i="2" s="1"/>
  <c r="N188" i="2"/>
  <c r="N232" i="2" s="1"/>
  <c r="N177" i="2"/>
  <c r="N221" i="2" s="1"/>
  <c r="N190" i="2"/>
  <c r="N234" i="2" s="1"/>
  <c r="N175" i="2"/>
  <c r="N219" i="2" s="1"/>
  <c r="N181" i="2"/>
  <c r="N225" i="2" s="1"/>
  <c r="N158" i="2"/>
  <c r="N202" i="2" s="1"/>
  <c r="N189" i="2"/>
  <c r="N233" i="2" s="1"/>
  <c r="N284" i="2"/>
  <c r="N127" i="2"/>
  <c r="N171" i="2" s="1"/>
  <c r="N215" i="2" s="1"/>
  <c r="N271" i="2"/>
  <c r="N128" i="2"/>
  <c r="N129" i="2"/>
  <c r="N179" i="2" s="1"/>
  <c r="N223" i="2" s="1"/>
  <c r="N131" i="2"/>
  <c r="O118" i="2"/>
  <c r="O117" i="2"/>
  <c r="N124" i="2"/>
  <c r="N125" i="2"/>
  <c r="P58" i="2"/>
  <c r="Q41" i="2"/>
  <c r="N173" i="2" l="1"/>
  <c r="N217" i="2" s="1"/>
  <c r="N182" i="2"/>
  <c r="N226" i="2" s="1"/>
  <c r="N172" i="2"/>
  <c r="N216" i="2" s="1"/>
  <c r="N251" i="2" s="1"/>
  <c r="N275" i="2" s="1"/>
  <c r="N155" i="2"/>
  <c r="N199" i="2" s="1"/>
  <c r="O115" i="2"/>
  <c r="O157" i="2"/>
  <c r="O201" i="2" s="1"/>
  <c r="O168" i="2"/>
  <c r="O212" i="2" s="1"/>
  <c r="N174" i="2"/>
  <c r="N218" i="2" s="1"/>
  <c r="N249" i="2" s="1"/>
  <c r="N273" i="2" s="1"/>
  <c r="R35" i="2"/>
  <c r="R37" i="2"/>
  <c r="N126" i="2"/>
  <c r="Q44" i="2"/>
  <c r="P120" i="2"/>
  <c r="O121" i="2"/>
  <c r="O285" i="2"/>
  <c r="Q47" i="2"/>
  <c r="Q48" i="2"/>
  <c r="N283" i="2" l="1"/>
  <c r="O123" i="2"/>
  <c r="O130" i="2" s="1"/>
  <c r="N161" i="2"/>
  <c r="N205" i="2" s="1"/>
  <c r="N180" i="2"/>
  <c r="N224" i="2" s="1"/>
  <c r="N151" i="2"/>
  <c r="N195" i="2" s="1"/>
  <c r="N281" i="2"/>
  <c r="O280" i="2"/>
  <c r="O116" i="2"/>
  <c r="Q49" i="2"/>
  <c r="O122" i="2"/>
  <c r="O158" i="2" s="1"/>
  <c r="O202" i="2" s="1"/>
  <c r="N278" i="2"/>
  <c r="P107" i="2"/>
  <c r="Q50" i="2"/>
  <c r="R45" i="2"/>
  <c r="Q53" i="2"/>
  <c r="Q51" i="2"/>
  <c r="Q54" i="2"/>
  <c r="N286" i="2" l="1"/>
  <c r="O178" i="2"/>
  <c r="O222" i="2" s="1"/>
  <c r="O150" i="2"/>
  <c r="O194" i="2" s="1"/>
  <c r="O250" i="2" s="1"/>
  <c r="O274" i="2" s="1"/>
  <c r="O189" i="2"/>
  <c r="O233" i="2" s="1"/>
  <c r="O176" i="2"/>
  <c r="O220" i="2" s="1"/>
  <c r="O169" i="2"/>
  <c r="O213" i="2" s="1"/>
  <c r="O162" i="2"/>
  <c r="O206" i="2" s="1"/>
  <c r="O167" i="2"/>
  <c r="O211" i="2" s="1"/>
  <c r="O252" i="2" s="1"/>
  <c r="O276" i="2" s="1"/>
  <c r="O163" i="2"/>
  <c r="O207" i="2" s="1"/>
  <c r="P186" i="2"/>
  <c r="P230" i="2" s="1"/>
  <c r="P160" i="2"/>
  <c r="P204" i="2" s="1"/>
  <c r="O153" i="2"/>
  <c r="O197" i="2" s="1"/>
  <c r="O152" i="2"/>
  <c r="O196" i="2" s="1"/>
  <c r="O271" i="2"/>
  <c r="O165" i="2"/>
  <c r="O209" i="2" s="1"/>
  <c r="O188" i="2"/>
  <c r="O232" i="2" s="1"/>
  <c r="O177" i="2"/>
  <c r="O221" i="2" s="1"/>
  <c r="O190" i="2"/>
  <c r="O234" i="2" s="1"/>
  <c r="O175" i="2"/>
  <c r="O219" i="2" s="1"/>
  <c r="O181" i="2"/>
  <c r="O225" i="2" s="1"/>
  <c r="O170" i="2"/>
  <c r="O214" i="2" s="1"/>
  <c r="O127" i="2"/>
  <c r="O171" i="2" s="1"/>
  <c r="O215" i="2" s="1"/>
  <c r="P119" i="2"/>
  <c r="O128" i="2"/>
  <c r="O129" i="2"/>
  <c r="O179" i="2" s="1"/>
  <c r="O223" i="2" s="1"/>
  <c r="O131" i="2"/>
  <c r="P109" i="2"/>
  <c r="P111" i="2"/>
  <c r="Q55" i="2"/>
  <c r="Q52" i="2"/>
  <c r="P187" i="2" l="1"/>
  <c r="P231" i="2" s="1"/>
  <c r="P156" i="2"/>
  <c r="P200" i="2" s="1"/>
  <c r="P248" i="2" s="1"/>
  <c r="P272" i="2" s="1"/>
  <c r="P149" i="2"/>
  <c r="P193" i="2" s="1"/>
  <c r="P185" i="2"/>
  <c r="P229" i="2" s="1"/>
  <c r="O174" i="2"/>
  <c r="O218" i="2" s="1"/>
  <c r="O249" i="2" s="1"/>
  <c r="O273" i="2" s="1"/>
  <c r="O173" i="2"/>
  <c r="O217" i="2" s="1"/>
  <c r="O182" i="2"/>
  <c r="O226" i="2" s="1"/>
  <c r="O172" i="2"/>
  <c r="O216" i="2" s="1"/>
  <c r="O251" i="2" s="1"/>
  <c r="O275" i="2" s="1"/>
  <c r="P114" i="2"/>
  <c r="O282" i="2"/>
  <c r="O284" i="2"/>
  <c r="P112" i="2"/>
  <c r="O125" i="2"/>
  <c r="O124" i="2"/>
  <c r="Q106" i="2"/>
  <c r="R39" i="2"/>
  <c r="R42" i="2"/>
  <c r="Q56" i="2"/>
  <c r="R40" i="2"/>
  <c r="R43" i="2"/>
  <c r="Q57" i="2"/>
  <c r="O283" i="2" l="1"/>
  <c r="O155" i="2"/>
  <c r="O199" i="2" s="1"/>
  <c r="O281" i="2"/>
  <c r="P117" i="2"/>
  <c r="P115" i="2" s="1"/>
  <c r="P164" i="2"/>
  <c r="P208" i="2" s="1"/>
  <c r="P154" i="2"/>
  <c r="P198" i="2" s="1"/>
  <c r="Q166" i="2"/>
  <c r="Q210" i="2" s="1"/>
  <c r="Q247" i="2" s="1"/>
  <c r="P183" i="2"/>
  <c r="P227" i="2" s="1"/>
  <c r="P184" i="2"/>
  <c r="P228" i="2" s="1"/>
  <c r="P159" i="2"/>
  <c r="P203" i="2" s="1"/>
  <c r="P253" i="2" s="1"/>
  <c r="P277" i="2" s="1"/>
  <c r="P113" i="2"/>
  <c r="P121" i="2" s="1"/>
  <c r="O126" i="2"/>
  <c r="P118" i="2"/>
  <c r="Q58" i="2"/>
  <c r="R44" i="2"/>
  <c r="R41" i="2"/>
  <c r="Q120" i="2"/>
  <c r="R47" i="2"/>
  <c r="R48" i="2"/>
  <c r="O286" i="2" l="1"/>
  <c r="P285" i="2"/>
  <c r="P168" i="2"/>
  <c r="P212" i="2" s="1"/>
  <c r="O161" i="2"/>
  <c r="O205" i="2" s="1"/>
  <c r="O180" i="2"/>
  <c r="O224" i="2" s="1"/>
  <c r="O151" i="2"/>
  <c r="O195" i="2" s="1"/>
  <c r="P157" i="2"/>
  <c r="P201" i="2" s="1"/>
  <c r="P123" i="2"/>
  <c r="P170" i="2" s="1"/>
  <c r="P214" i="2" s="1"/>
  <c r="P280" i="2"/>
  <c r="S35" i="2"/>
  <c r="S37" i="2"/>
  <c r="P116" i="2"/>
  <c r="R49" i="2"/>
  <c r="Q107" i="2"/>
  <c r="R50" i="2"/>
  <c r="S45" i="2"/>
  <c r="R53" i="2"/>
  <c r="R51" i="2"/>
  <c r="R54" i="2"/>
  <c r="P169" i="2" l="1"/>
  <c r="P213" i="2" s="1"/>
  <c r="P162" i="2"/>
  <c r="P206" i="2" s="1"/>
  <c r="P163" i="2"/>
  <c r="P207" i="2" s="1"/>
  <c r="P153" i="2"/>
  <c r="P197" i="2" s="1"/>
  <c r="P167" i="2"/>
  <c r="P211" i="2" s="1"/>
  <c r="P252" i="2" s="1"/>
  <c r="P276" i="2" s="1"/>
  <c r="P130" i="2"/>
  <c r="Q160" i="2"/>
  <c r="Q204" i="2" s="1"/>
  <c r="Q186" i="2"/>
  <c r="Q230" i="2" s="1"/>
  <c r="P150" i="2"/>
  <c r="P194" i="2" s="1"/>
  <c r="P250" i="2" s="1"/>
  <c r="P274" i="2" s="1"/>
  <c r="P176" i="2"/>
  <c r="P220" i="2" s="1"/>
  <c r="P152" i="2"/>
  <c r="P196" i="2" s="1"/>
  <c r="O278" i="2"/>
  <c r="Q119" i="2"/>
  <c r="Q109" i="2"/>
  <c r="Q111" i="2"/>
  <c r="R52" i="2"/>
  <c r="R106" i="2" s="1"/>
  <c r="P122" i="2"/>
  <c r="R55" i="2"/>
  <c r="R56" i="2"/>
  <c r="S39" i="2"/>
  <c r="S42" i="2"/>
  <c r="S43" i="2"/>
  <c r="S40" i="2"/>
  <c r="R57" i="2"/>
  <c r="P178" i="2" l="1"/>
  <c r="P222" i="2" s="1"/>
  <c r="P189" i="2"/>
  <c r="P233" i="2" s="1"/>
  <c r="P165" i="2"/>
  <c r="P209" i="2" s="1"/>
  <c r="P188" i="2"/>
  <c r="P232" i="2" s="1"/>
  <c r="P177" i="2"/>
  <c r="P221" i="2" s="1"/>
  <c r="P190" i="2"/>
  <c r="P234" i="2" s="1"/>
  <c r="P175" i="2"/>
  <c r="P219" i="2" s="1"/>
  <c r="P181" i="2"/>
  <c r="P225" i="2" s="1"/>
  <c r="P158" i="2"/>
  <c r="P202" i="2" s="1"/>
  <c r="R166" i="2"/>
  <c r="R210" i="2" s="1"/>
  <c r="R247" i="2" s="1"/>
  <c r="Q156" i="2"/>
  <c r="Q200" i="2" s="1"/>
  <c r="Q248" i="2" s="1"/>
  <c r="Q272" i="2" s="1"/>
  <c r="Q187" i="2"/>
  <c r="Q231" i="2" s="1"/>
  <c r="Q185" i="2"/>
  <c r="Q229" i="2" s="1"/>
  <c r="Q149" i="2"/>
  <c r="Q193" i="2" s="1"/>
  <c r="P127" i="2"/>
  <c r="P171" i="2" s="1"/>
  <c r="P215" i="2" s="1"/>
  <c r="P271" i="2"/>
  <c r="P128" i="2"/>
  <c r="P129" i="2"/>
  <c r="P179" i="2" s="1"/>
  <c r="P223" i="2" s="1"/>
  <c r="P131" i="2"/>
  <c r="P174" i="2" s="1"/>
  <c r="P218" i="2" s="1"/>
  <c r="P249" i="2" s="1"/>
  <c r="P273" i="2" s="1"/>
  <c r="Q114" i="2"/>
  <c r="R58" i="2"/>
  <c r="Q112" i="2"/>
  <c r="Q159" i="2" s="1"/>
  <c r="Q203" i="2" s="1"/>
  <c r="Q253" i="2" s="1"/>
  <c r="Q277" i="2" s="1"/>
  <c r="P125" i="2"/>
  <c r="P124" i="2"/>
  <c r="S44" i="2"/>
  <c r="S41" i="2"/>
  <c r="R120" i="2"/>
  <c r="S47" i="2"/>
  <c r="S48" i="2"/>
  <c r="P155" i="2" l="1"/>
  <c r="P199" i="2" s="1"/>
  <c r="Q154" i="2"/>
  <c r="Q198" i="2" s="1"/>
  <c r="Q183" i="2"/>
  <c r="Q227" i="2" s="1"/>
  <c r="Q184" i="2"/>
  <c r="Q228" i="2" s="1"/>
  <c r="P173" i="2"/>
  <c r="P217" i="2" s="1"/>
  <c r="P182" i="2"/>
  <c r="P226" i="2" s="1"/>
  <c r="P172" i="2"/>
  <c r="P216" i="2" s="1"/>
  <c r="P251" i="2" s="1"/>
  <c r="P275" i="2" s="1"/>
  <c r="Q113" i="2"/>
  <c r="Q164" i="2"/>
  <c r="Q208" i="2" s="1"/>
  <c r="P282" i="2"/>
  <c r="P284" i="2"/>
  <c r="Q280" i="2"/>
  <c r="T37" i="2"/>
  <c r="T35" i="2"/>
  <c r="P281" i="2"/>
  <c r="P126" i="2"/>
  <c r="Q118" i="2"/>
  <c r="Q117" i="2"/>
  <c r="Q285" i="2"/>
  <c r="S49" i="2"/>
  <c r="R107" i="2"/>
  <c r="S50" i="2"/>
  <c r="T45" i="2"/>
  <c r="S53" i="2"/>
  <c r="S51" i="2"/>
  <c r="S54" i="2"/>
  <c r="Q115" i="2" l="1"/>
  <c r="Q157" i="2"/>
  <c r="Q201" i="2" s="1"/>
  <c r="P283" i="2"/>
  <c r="P286" i="2" s="1"/>
  <c r="Q168" i="2"/>
  <c r="Q212" i="2" s="1"/>
  <c r="P161" i="2"/>
  <c r="P205" i="2" s="1"/>
  <c r="P151" i="2"/>
  <c r="P195" i="2" s="1"/>
  <c r="P180" i="2"/>
  <c r="P224" i="2" s="1"/>
  <c r="R160" i="2"/>
  <c r="R204" i="2" s="1"/>
  <c r="R186" i="2"/>
  <c r="R230" i="2" s="1"/>
  <c r="R119" i="2"/>
  <c r="R109" i="2"/>
  <c r="R111" i="2"/>
  <c r="Q121" i="2"/>
  <c r="S55" i="2"/>
  <c r="S52" i="2"/>
  <c r="P278" i="2" l="1"/>
  <c r="R187" i="2"/>
  <c r="R231" i="2" s="1"/>
  <c r="R156" i="2"/>
  <c r="R200" i="2" s="1"/>
  <c r="R248" i="2" s="1"/>
  <c r="R272" i="2" s="1"/>
  <c r="R149" i="2"/>
  <c r="R193" i="2" s="1"/>
  <c r="R185" i="2"/>
  <c r="R229" i="2" s="1"/>
  <c r="Q123" i="2"/>
  <c r="Q152" i="2" s="1"/>
  <c r="Q196" i="2" s="1"/>
  <c r="R114" i="2"/>
  <c r="Q116" i="2"/>
  <c r="Q122" i="2"/>
  <c r="Q158" i="2" s="1"/>
  <c r="Q202" i="2" s="1"/>
  <c r="S106" i="2"/>
  <c r="S56" i="2"/>
  <c r="T39" i="2"/>
  <c r="T42" i="2"/>
  <c r="T40" i="2"/>
  <c r="T43" i="2"/>
  <c r="S57" i="2"/>
  <c r="Q189" i="2" l="1"/>
  <c r="Q233" i="2" s="1"/>
  <c r="Q150" i="2"/>
  <c r="Q194" i="2" s="1"/>
  <c r="Q250" i="2" s="1"/>
  <c r="Q274" i="2" s="1"/>
  <c r="Q176" i="2"/>
  <c r="Q220" i="2" s="1"/>
  <c r="Q163" i="2"/>
  <c r="Q207" i="2" s="1"/>
  <c r="Q162" i="2"/>
  <c r="Q206" i="2" s="1"/>
  <c r="Q169" i="2"/>
  <c r="Q213" i="2" s="1"/>
  <c r="Q167" i="2"/>
  <c r="Q211" i="2" s="1"/>
  <c r="Q252" i="2" s="1"/>
  <c r="Q276" i="2" s="1"/>
  <c r="Q165" i="2"/>
  <c r="Q209" i="2" s="1"/>
  <c r="Q188" i="2"/>
  <c r="Q232" i="2" s="1"/>
  <c r="Q190" i="2"/>
  <c r="Q234" i="2" s="1"/>
  <c r="Q177" i="2"/>
  <c r="Q221" i="2" s="1"/>
  <c r="Q175" i="2"/>
  <c r="Q219" i="2" s="1"/>
  <c r="Q181" i="2"/>
  <c r="Q225" i="2" s="1"/>
  <c r="R183" i="2"/>
  <c r="R227" i="2" s="1"/>
  <c r="R184" i="2"/>
  <c r="R228" i="2" s="1"/>
  <c r="Q130" i="2"/>
  <c r="Q178" i="2" s="1"/>
  <c r="Q222" i="2" s="1"/>
  <c r="S166" i="2"/>
  <c r="S210" i="2" s="1"/>
  <c r="S247" i="2" s="1"/>
  <c r="Q153" i="2"/>
  <c r="Q197" i="2" s="1"/>
  <c r="Q170" i="2"/>
  <c r="Q214" i="2" s="1"/>
  <c r="Q127" i="2"/>
  <c r="Q171" i="2" s="1"/>
  <c r="Q215" i="2" s="1"/>
  <c r="Q271" i="2"/>
  <c r="Q129" i="2"/>
  <c r="Q179" i="2" s="1"/>
  <c r="Q223" i="2" s="1"/>
  <c r="Q128" i="2"/>
  <c r="Q172" i="2" s="1"/>
  <c r="Q216" i="2" s="1"/>
  <c r="Q251" i="2" s="1"/>
  <c r="Q275" i="2" s="1"/>
  <c r="Q131" i="2"/>
  <c r="Q124" i="2"/>
  <c r="Q125" i="2"/>
  <c r="S58" i="2"/>
  <c r="T44" i="2"/>
  <c r="T41" i="2"/>
  <c r="S120" i="2"/>
  <c r="T47" i="2"/>
  <c r="T48" i="2"/>
  <c r="Q174" i="2" l="1"/>
  <c r="Q218" i="2" s="1"/>
  <c r="Q249" i="2" s="1"/>
  <c r="Q273" i="2" s="1"/>
  <c r="Q155" i="2"/>
  <c r="Q199" i="2" s="1"/>
  <c r="Q173" i="2"/>
  <c r="Q217" i="2" s="1"/>
  <c r="Q182" i="2"/>
  <c r="Q226" i="2" s="1"/>
  <c r="R280" i="2"/>
  <c r="U37" i="2"/>
  <c r="U35" i="2"/>
  <c r="Q126" i="2"/>
  <c r="R112" i="2"/>
  <c r="Q284" i="2"/>
  <c r="T49" i="2"/>
  <c r="S107" i="2"/>
  <c r="T50" i="2"/>
  <c r="U45" i="2"/>
  <c r="T53" i="2"/>
  <c r="T51" i="2"/>
  <c r="T54" i="2"/>
  <c r="R113" i="2" l="1"/>
  <c r="R121" i="2" s="1"/>
  <c r="R164" i="2"/>
  <c r="R208" i="2" s="1"/>
  <c r="R159" i="2"/>
  <c r="R203" i="2" s="1"/>
  <c r="R253" i="2" s="1"/>
  <c r="R277" i="2" s="1"/>
  <c r="R154" i="2"/>
  <c r="R198" i="2" s="1"/>
  <c r="S160" i="2"/>
  <c r="S204" i="2" s="1"/>
  <c r="S186" i="2"/>
  <c r="S230" i="2" s="1"/>
  <c r="Q161" i="2"/>
  <c r="Q205" i="2" s="1"/>
  <c r="Q180" i="2"/>
  <c r="Q224" i="2" s="1"/>
  <c r="Q151" i="2"/>
  <c r="Q195" i="2" s="1"/>
  <c r="Q281" i="2"/>
  <c r="Q282" i="2"/>
  <c r="Q283" i="2"/>
  <c r="S119" i="2"/>
  <c r="R118" i="2"/>
  <c r="R117" i="2"/>
  <c r="S109" i="2"/>
  <c r="S111" i="2"/>
  <c r="T52" i="2"/>
  <c r="T55" i="2"/>
  <c r="R285" i="2" l="1"/>
  <c r="R115" i="2"/>
  <c r="R157" i="2"/>
  <c r="R201" i="2" s="1"/>
  <c r="S149" i="2"/>
  <c r="S193" i="2" s="1"/>
  <c r="S185" i="2"/>
  <c r="S229" i="2" s="1"/>
  <c r="R123" i="2"/>
  <c r="R130" i="2" s="1"/>
  <c r="R168" i="2"/>
  <c r="R212" i="2" s="1"/>
  <c r="S156" i="2"/>
  <c r="S200" i="2" s="1"/>
  <c r="S248" i="2" s="1"/>
  <c r="S272" i="2" s="1"/>
  <c r="S187" i="2"/>
  <c r="S231" i="2" s="1"/>
  <c r="Q286" i="2"/>
  <c r="Q278" i="2"/>
  <c r="S114" i="2"/>
  <c r="R116" i="2"/>
  <c r="R122" i="2"/>
  <c r="T106" i="2"/>
  <c r="U39" i="2"/>
  <c r="U42" i="2"/>
  <c r="T56" i="2"/>
  <c r="T57" i="2"/>
  <c r="U40" i="2"/>
  <c r="U43" i="2"/>
  <c r="R178" i="2" l="1"/>
  <c r="R222" i="2" s="1"/>
  <c r="R167" i="2"/>
  <c r="R211" i="2" s="1"/>
  <c r="R252" i="2" s="1"/>
  <c r="R276" i="2" s="1"/>
  <c r="R153" i="2"/>
  <c r="R197" i="2" s="1"/>
  <c r="R169" i="2"/>
  <c r="R213" i="2" s="1"/>
  <c r="R162" i="2"/>
  <c r="R206" i="2" s="1"/>
  <c r="R271" i="2"/>
  <c r="R165" i="2"/>
  <c r="R209" i="2" s="1"/>
  <c r="R188" i="2"/>
  <c r="R232" i="2" s="1"/>
  <c r="R177" i="2"/>
  <c r="R221" i="2" s="1"/>
  <c r="R190" i="2"/>
  <c r="R234" i="2" s="1"/>
  <c r="R175" i="2"/>
  <c r="R219" i="2" s="1"/>
  <c r="R181" i="2"/>
  <c r="R225" i="2" s="1"/>
  <c r="R152" i="2"/>
  <c r="R196" i="2" s="1"/>
  <c r="R170" i="2"/>
  <c r="R214" i="2" s="1"/>
  <c r="S183" i="2"/>
  <c r="S227" i="2" s="1"/>
  <c r="S184" i="2"/>
  <c r="S228" i="2" s="1"/>
  <c r="R163" i="2"/>
  <c r="R207" i="2" s="1"/>
  <c r="R158" i="2"/>
  <c r="R202" i="2" s="1"/>
  <c r="R150" i="2"/>
  <c r="R194" i="2" s="1"/>
  <c r="R250" i="2" s="1"/>
  <c r="R274" i="2" s="1"/>
  <c r="R189" i="2"/>
  <c r="R233" i="2" s="1"/>
  <c r="R176" i="2"/>
  <c r="R220" i="2" s="1"/>
  <c r="T166" i="2"/>
  <c r="T210" i="2" s="1"/>
  <c r="T247" i="2" s="1"/>
  <c r="R127" i="2"/>
  <c r="R171" i="2" s="1"/>
  <c r="R215" i="2" s="1"/>
  <c r="R128" i="2"/>
  <c r="R172" i="2" s="1"/>
  <c r="R216" i="2" s="1"/>
  <c r="R251" i="2" s="1"/>
  <c r="R275" i="2" s="1"/>
  <c r="R129" i="2"/>
  <c r="R179" i="2" s="1"/>
  <c r="R223" i="2" s="1"/>
  <c r="R131" i="2"/>
  <c r="R125" i="2"/>
  <c r="R124" i="2"/>
  <c r="T58" i="2"/>
  <c r="U44" i="2"/>
  <c r="U41" i="2"/>
  <c r="T120" i="2"/>
  <c r="U47" i="2"/>
  <c r="U48" i="2"/>
  <c r="R155" i="2" l="1"/>
  <c r="R199" i="2" s="1"/>
  <c r="R174" i="2"/>
  <c r="R218" i="2" s="1"/>
  <c r="R249" i="2" s="1"/>
  <c r="R273" i="2" s="1"/>
  <c r="R173" i="2"/>
  <c r="R217" i="2" s="1"/>
  <c r="R182" i="2"/>
  <c r="R226" i="2" s="1"/>
  <c r="S280" i="2"/>
  <c r="V35" i="2"/>
  <c r="V37" i="2"/>
  <c r="R126" i="2"/>
  <c r="S112" i="2"/>
  <c r="R283" i="2"/>
  <c r="U49" i="2"/>
  <c r="R161" i="2" l="1"/>
  <c r="R205" i="2" s="1"/>
  <c r="R180" i="2"/>
  <c r="R224" i="2" s="1"/>
  <c r="R151" i="2"/>
  <c r="R195" i="2" s="1"/>
  <c r="S113" i="2"/>
  <c r="S121" i="2" s="1"/>
  <c r="S164" i="2"/>
  <c r="S208" i="2" s="1"/>
  <c r="S159" i="2"/>
  <c r="S203" i="2" s="1"/>
  <c r="S253" i="2" s="1"/>
  <c r="S277" i="2" s="1"/>
  <c r="S154" i="2"/>
  <c r="S198" i="2" s="1"/>
  <c r="R281" i="2"/>
  <c r="R282" i="2"/>
  <c r="R284" i="2"/>
  <c r="S118" i="2"/>
  <c r="S117" i="2"/>
  <c r="T107" i="2"/>
  <c r="U50" i="2"/>
  <c r="V45" i="2"/>
  <c r="U53" i="2"/>
  <c r="U51" i="2"/>
  <c r="U54" i="2"/>
  <c r="S123" i="2" l="1"/>
  <c r="S162" i="2" s="1"/>
  <c r="S206" i="2" s="1"/>
  <c r="T160" i="2"/>
  <c r="T204" i="2" s="1"/>
  <c r="T186" i="2"/>
  <c r="T230" i="2" s="1"/>
  <c r="S168" i="2"/>
  <c r="S212" i="2" s="1"/>
  <c r="S285" i="2"/>
  <c r="S157" i="2"/>
  <c r="S201" i="2" s="1"/>
  <c r="R278" i="2"/>
  <c r="R286" i="2"/>
  <c r="T119" i="2"/>
  <c r="S115" i="2"/>
  <c r="S116" i="2"/>
  <c r="T109" i="2"/>
  <c r="T111" i="2"/>
  <c r="S122" i="2"/>
  <c r="U52" i="2"/>
  <c r="U106" i="2" s="1"/>
  <c r="U55" i="2"/>
  <c r="V39" i="2"/>
  <c r="V42" i="2"/>
  <c r="U56" i="2"/>
  <c r="V43" i="2"/>
  <c r="V40" i="2"/>
  <c r="U57" i="2"/>
  <c r="S130" i="2" l="1"/>
  <c r="S178" i="2" s="1"/>
  <c r="S222" i="2" s="1"/>
  <c r="S169" i="2"/>
  <c r="S213" i="2" s="1"/>
  <c r="S163" i="2"/>
  <c r="S207" i="2" s="1"/>
  <c r="S153" i="2"/>
  <c r="S197" i="2" s="1"/>
  <c r="S167" i="2"/>
  <c r="S211" i="2" s="1"/>
  <c r="S252" i="2" s="1"/>
  <c r="S276" i="2" s="1"/>
  <c r="S170" i="2"/>
  <c r="S214" i="2" s="1"/>
  <c r="S152" i="2"/>
  <c r="S196" i="2" s="1"/>
  <c r="T149" i="2"/>
  <c r="T193" i="2" s="1"/>
  <c r="T185" i="2"/>
  <c r="T229" i="2" s="1"/>
  <c r="U166" i="2"/>
  <c r="U210" i="2" s="1"/>
  <c r="U247" i="2" s="1"/>
  <c r="S271" i="2"/>
  <c r="S165" i="2"/>
  <c r="S209" i="2" s="1"/>
  <c r="S188" i="2"/>
  <c r="S232" i="2" s="1"/>
  <c r="S190" i="2"/>
  <c r="S234" i="2" s="1"/>
  <c r="S177" i="2"/>
  <c r="S221" i="2" s="1"/>
  <c r="S175" i="2"/>
  <c r="S219" i="2" s="1"/>
  <c r="S181" i="2"/>
  <c r="S225" i="2" s="1"/>
  <c r="S158" i="2"/>
  <c r="S202" i="2" s="1"/>
  <c r="T156" i="2"/>
  <c r="T200" i="2" s="1"/>
  <c r="T248" i="2" s="1"/>
  <c r="T272" i="2" s="1"/>
  <c r="T187" i="2"/>
  <c r="T231" i="2" s="1"/>
  <c r="S150" i="2"/>
  <c r="S194" i="2" s="1"/>
  <c r="S250" i="2" s="1"/>
  <c r="S274" i="2" s="1"/>
  <c r="S189" i="2"/>
  <c r="S233" i="2" s="1"/>
  <c r="S176" i="2"/>
  <c r="S220" i="2" s="1"/>
  <c r="S127" i="2"/>
  <c r="S171" i="2" s="1"/>
  <c r="S215" i="2" s="1"/>
  <c r="S128" i="2"/>
  <c r="S129" i="2"/>
  <c r="S179" i="2" s="1"/>
  <c r="S223" i="2" s="1"/>
  <c r="S131" i="2"/>
  <c r="S174" i="2" s="1"/>
  <c r="S218" i="2" s="1"/>
  <c r="S249" i="2" s="1"/>
  <c r="S273" i="2" s="1"/>
  <c r="S173" i="2" l="1"/>
  <c r="S217" i="2" s="1"/>
  <c r="S182" i="2"/>
  <c r="S226" i="2" s="1"/>
  <c r="S172" i="2"/>
  <c r="S216" i="2" s="1"/>
  <c r="S251" i="2" s="1"/>
  <c r="S275" i="2" s="1"/>
  <c r="T114" i="2"/>
  <c r="S124" i="2"/>
  <c r="S125" i="2"/>
  <c r="S281" i="2"/>
  <c r="U58" i="2"/>
  <c r="V41" i="2"/>
  <c r="V44" i="2"/>
  <c r="U120" i="2"/>
  <c r="S155" i="2" l="1"/>
  <c r="S199" i="2" s="1"/>
  <c r="T184" i="2"/>
  <c r="T228" i="2" s="1"/>
  <c r="T183" i="2"/>
  <c r="T227" i="2" s="1"/>
  <c r="W35" i="2"/>
  <c r="W37" i="2"/>
  <c r="S126" i="2"/>
  <c r="S283" i="2"/>
  <c r="S284" i="2"/>
  <c r="T112" i="2"/>
  <c r="S282" i="2"/>
  <c r="V47" i="2"/>
  <c r="V48" i="2"/>
  <c r="S161" i="2" l="1"/>
  <c r="S205" i="2" s="1"/>
  <c r="S180" i="2"/>
  <c r="S224" i="2" s="1"/>
  <c r="S151" i="2"/>
  <c r="S195" i="2" s="1"/>
  <c r="T113" i="2"/>
  <c r="T164" i="2"/>
  <c r="T208" i="2" s="1"/>
  <c r="T159" i="2"/>
  <c r="T203" i="2" s="1"/>
  <c r="T253" i="2" s="1"/>
  <c r="T277" i="2" s="1"/>
  <c r="T154" i="2"/>
  <c r="T198" i="2" s="1"/>
  <c r="S286" i="2"/>
  <c r="T280" i="2"/>
  <c r="T117" i="2"/>
  <c r="T118" i="2"/>
  <c r="V49" i="2"/>
  <c r="U107" i="2"/>
  <c r="V50" i="2"/>
  <c r="W45" i="2"/>
  <c r="V53" i="2"/>
  <c r="V51" i="2"/>
  <c r="V54" i="2"/>
  <c r="T168" i="2" l="1"/>
  <c r="T212" i="2" s="1"/>
  <c r="U160" i="2"/>
  <c r="U204" i="2" s="1"/>
  <c r="U186" i="2"/>
  <c r="U230" i="2" s="1"/>
  <c r="T157" i="2"/>
  <c r="T201" i="2" s="1"/>
  <c r="T285" i="2"/>
  <c r="S278" i="2"/>
  <c r="U119" i="2"/>
  <c r="T115" i="2"/>
  <c r="U109" i="2"/>
  <c r="U111" i="2"/>
  <c r="T121" i="2"/>
  <c r="V55" i="2"/>
  <c r="V52" i="2"/>
  <c r="V106" i="2" s="1"/>
  <c r="W39" i="2"/>
  <c r="W42" i="2"/>
  <c r="V56" i="2"/>
  <c r="W40" i="2"/>
  <c r="W43" i="2"/>
  <c r="V57" i="2"/>
  <c r="T123" i="2" l="1"/>
  <c r="T170" i="2" s="1"/>
  <c r="T214" i="2" s="1"/>
  <c r="V166" i="2"/>
  <c r="V210" i="2" s="1"/>
  <c r="V247" i="2" s="1"/>
  <c r="U156" i="2"/>
  <c r="U200" i="2" s="1"/>
  <c r="U248" i="2" s="1"/>
  <c r="U272" i="2" s="1"/>
  <c r="U187" i="2"/>
  <c r="U231" i="2" s="1"/>
  <c r="U149" i="2"/>
  <c r="U193" i="2" s="1"/>
  <c r="U185" i="2"/>
  <c r="U229" i="2" s="1"/>
  <c r="T130" i="2" l="1"/>
  <c r="T152" i="2"/>
  <c r="T196" i="2" s="1"/>
  <c r="T150" i="2"/>
  <c r="T194" i="2" s="1"/>
  <c r="T250" i="2" s="1"/>
  <c r="T274" i="2" s="1"/>
  <c r="T176" i="2"/>
  <c r="T220" i="2" s="1"/>
  <c r="T167" i="2"/>
  <c r="T211" i="2" s="1"/>
  <c r="T252" i="2" s="1"/>
  <c r="T276" i="2" s="1"/>
  <c r="T162" i="2"/>
  <c r="T206" i="2" s="1"/>
  <c r="T169" i="2"/>
  <c r="T213" i="2" s="1"/>
  <c r="T163" i="2"/>
  <c r="T207" i="2" s="1"/>
  <c r="U114" i="2"/>
  <c r="T116" i="2"/>
  <c r="T153" i="2" s="1"/>
  <c r="T197" i="2" s="1"/>
  <c r="V58" i="2"/>
  <c r="W41" i="2"/>
  <c r="W44" i="2"/>
  <c r="V120" i="2"/>
  <c r="W47" i="2"/>
  <c r="W48" i="2"/>
  <c r="U183" i="2" l="1"/>
  <c r="U227" i="2" s="1"/>
  <c r="U184" i="2"/>
  <c r="U228" i="2" s="1"/>
  <c r="U280" i="2"/>
  <c r="X35" i="2"/>
  <c r="X37" i="2"/>
  <c r="T122" i="2"/>
  <c r="T282" i="2"/>
  <c r="U112" i="2"/>
  <c r="T284" i="2"/>
  <c r="W49" i="2"/>
  <c r="T165" i="2" l="1"/>
  <c r="T209" i="2" s="1"/>
  <c r="T188" i="2"/>
  <c r="T232" i="2" s="1"/>
  <c r="T177" i="2"/>
  <c r="T221" i="2" s="1"/>
  <c r="T190" i="2"/>
  <c r="T234" i="2" s="1"/>
  <c r="T175" i="2"/>
  <c r="T219" i="2" s="1"/>
  <c r="T181" i="2"/>
  <c r="T225" i="2" s="1"/>
  <c r="T158" i="2"/>
  <c r="T202" i="2" s="1"/>
  <c r="T178" i="2"/>
  <c r="T222" i="2" s="1"/>
  <c r="T189" i="2"/>
  <c r="T233" i="2" s="1"/>
  <c r="U113" i="2"/>
  <c r="U164" i="2"/>
  <c r="U208" i="2" s="1"/>
  <c r="U159" i="2"/>
  <c r="U203" i="2" s="1"/>
  <c r="U253" i="2" s="1"/>
  <c r="U277" i="2" s="1"/>
  <c r="U154" i="2"/>
  <c r="U198" i="2" s="1"/>
  <c r="T127" i="2"/>
  <c r="T171" i="2" s="1"/>
  <c r="T215" i="2" s="1"/>
  <c r="T271" i="2"/>
  <c r="T124" i="2"/>
  <c r="T128" i="2"/>
  <c r="T129" i="2"/>
  <c r="T179" i="2" s="1"/>
  <c r="T223" i="2" s="1"/>
  <c r="T131" i="2"/>
  <c r="T174" i="2" s="1"/>
  <c r="T218" i="2" s="1"/>
  <c r="T249" i="2" s="1"/>
  <c r="T273" i="2" s="1"/>
  <c r="U117" i="2"/>
  <c r="U118" i="2"/>
  <c r="T125" i="2"/>
  <c r="V107" i="2"/>
  <c r="W50" i="2"/>
  <c r="X45" i="2"/>
  <c r="W53" i="2"/>
  <c r="W51" i="2"/>
  <c r="W54" i="2"/>
  <c r="U285" i="2" l="1"/>
  <c r="U168" i="2"/>
  <c r="U212" i="2" s="1"/>
  <c r="T155" i="2"/>
  <c r="T199" i="2" s="1"/>
  <c r="U157" i="2"/>
  <c r="U201" i="2" s="1"/>
  <c r="T173" i="2"/>
  <c r="T217" i="2" s="1"/>
  <c r="T182" i="2"/>
  <c r="T226" i="2" s="1"/>
  <c r="T172" i="2"/>
  <c r="T216" i="2" s="1"/>
  <c r="T251" i="2" s="1"/>
  <c r="T275" i="2" s="1"/>
  <c r="V160" i="2"/>
  <c r="V204" i="2" s="1"/>
  <c r="V186" i="2"/>
  <c r="V230" i="2" s="1"/>
  <c r="V119" i="2"/>
  <c r="T126" i="2"/>
  <c r="U115" i="2"/>
  <c r="T281" i="2"/>
  <c r="V111" i="2"/>
  <c r="V109" i="2"/>
  <c r="U121" i="2"/>
  <c r="W52" i="2"/>
  <c r="W55" i="2"/>
  <c r="X39" i="2"/>
  <c r="X42" i="2"/>
  <c r="W56" i="2"/>
  <c r="X40" i="2"/>
  <c r="X43" i="2"/>
  <c r="W57" i="2"/>
  <c r="T161" i="2" l="1"/>
  <c r="T205" i="2" s="1"/>
  <c r="T180" i="2"/>
  <c r="T224" i="2" s="1"/>
  <c r="T151" i="2"/>
  <c r="T195" i="2" s="1"/>
  <c r="V149" i="2"/>
  <c r="V193" i="2" s="1"/>
  <c r="V185" i="2"/>
  <c r="V229" i="2" s="1"/>
  <c r="V156" i="2"/>
  <c r="V200" i="2" s="1"/>
  <c r="V248" i="2" s="1"/>
  <c r="V272" i="2" s="1"/>
  <c r="V187" i="2"/>
  <c r="V231" i="2" s="1"/>
  <c r="U123" i="2"/>
  <c r="U130" i="2" s="1"/>
  <c r="T283" i="2"/>
  <c r="T286" i="2" s="1"/>
  <c r="V114" i="2"/>
  <c r="U116" i="2"/>
  <c r="W58" i="2"/>
  <c r="X44" i="2"/>
  <c r="X41" i="2"/>
  <c r="W106" i="2"/>
  <c r="X47" i="2"/>
  <c r="X48" i="2"/>
  <c r="U153" i="2" l="1"/>
  <c r="U197" i="2" s="1"/>
  <c r="V183" i="2"/>
  <c r="V227" i="2" s="1"/>
  <c r="V184" i="2"/>
  <c r="V228" i="2" s="1"/>
  <c r="W166" i="2"/>
  <c r="W210" i="2" s="1"/>
  <c r="W247" i="2" s="1"/>
  <c r="U150" i="2"/>
  <c r="U194" i="2" s="1"/>
  <c r="U250" i="2" s="1"/>
  <c r="U274" i="2" s="1"/>
  <c r="U176" i="2"/>
  <c r="U220" i="2" s="1"/>
  <c r="U167" i="2"/>
  <c r="U211" i="2" s="1"/>
  <c r="U252" i="2" s="1"/>
  <c r="U276" i="2" s="1"/>
  <c r="U163" i="2"/>
  <c r="U207" i="2" s="1"/>
  <c r="U162" i="2"/>
  <c r="U206" i="2" s="1"/>
  <c r="U169" i="2"/>
  <c r="U213" i="2" s="1"/>
  <c r="U170" i="2"/>
  <c r="U214" i="2" s="1"/>
  <c r="U152" i="2"/>
  <c r="U196" i="2" s="1"/>
  <c r="T278" i="2"/>
  <c r="V280" i="2"/>
  <c r="Y35" i="2"/>
  <c r="Y37" i="2"/>
  <c r="U122" i="2"/>
  <c r="V112" i="2"/>
  <c r="W120" i="2"/>
  <c r="X49" i="2"/>
  <c r="W107" i="2"/>
  <c r="Y45" i="2"/>
  <c r="X53" i="2"/>
  <c r="X50" i="2"/>
  <c r="X51" i="2"/>
  <c r="X54" i="2"/>
  <c r="U282" i="2" l="1"/>
  <c r="U284" i="2"/>
  <c r="U165" i="2"/>
  <c r="U209" i="2" s="1"/>
  <c r="U188" i="2"/>
  <c r="U232" i="2" s="1"/>
  <c r="U190" i="2"/>
  <c r="U234" i="2" s="1"/>
  <c r="U177" i="2"/>
  <c r="U221" i="2" s="1"/>
  <c r="U175" i="2"/>
  <c r="U219" i="2" s="1"/>
  <c r="U181" i="2"/>
  <c r="U225" i="2" s="1"/>
  <c r="U158" i="2"/>
  <c r="U202" i="2" s="1"/>
  <c r="U189" i="2"/>
  <c r="U233" i="2" s="1"/>
  <c r="W160" i="2"/>
  <c r="W204" i="2" s="1"/>
  <c r="W186" i="2"/>
  <c r="W230" i="2" s="1"/>
  <c r="U178" i="2"/>
  <c r="U222" i="2" s="1"/>
  <c r="V113" i="2"/>
  <c r="V164" i="2"/>
  <c r="V208" i="2" s="1"/>
  <c r="V159" i="2"/>
  <c r="V203" i="2" s="1"/>
  <c r="V253" i="2" s="1"/>
  <c r="V277" i="2" s="1"/>
  <c r="V154" i="2"/>
  <c r="V198" i="2" s="1"/>
  <c r="W119" i="2"/>
  <c r="U127" i="2"/>
  <c r="U171" i="2" s="1"/>
  <c r="U215" i="2" s="1"/>
  <c r="U271" i="2"/>
  <c r="U128" i="2"/>
  <c r="U131" i="2"/>
  <c r="U129" i="2"/>
  <c r="U179" i="2" s="1"/>
  <c r="U223" i="2" s="1"/>
  <c r="V118" i="2"/>
  <c r="V117" i="2"/>
  <c r="W111" i="2"/>
  <c r="W109" i="2"/>
  <c r="U125" i="2"/>
  <c r="U124" i="2"/>
  <c r="X55" i="2"/>
  <c r="X52" i="2"/>
  <c r="X106" i="2" s="1"/>
  <c r="Y39" i="2"/>
  <c r="Y42" i="2"/>
  <c r="X56" i="2"/>
  <c r="Y40" i="2"/>
  <c r="Y43" i="2"/>
  <c r="X57" i="2"/>
  <c r="V285" i="2" l="1"/>
  <c r="U155" i="2"/>
  <c r="U199" i="2" s="1"/>
  <c r="U173" i="2"/>
  <c r="U217" i="2" s="1"/>
  <c r="U182" i="2"/>
  <c r="U226" i="2" s="1"/>
  <c r="U172" i="2"/>
  <c r="U216" i="2" s="1"/>
  <c r="U251" i="2" s="1"/>
  <c r="U275" i="2" s="1"/>
  <c r="X166" i="2"/>
  <c r="X210" i="2" s="1"/>
  <c r="X247" i="2" s="1"/>
  <c r="W156" i="2"/>
  <c r="W200" i="2" s="1"/>
  <c r="W248" i="2" s="1"/>
  <c r="W272" i="2" s="1"/>
  <c r="W187" i="2"/>
  <c r="W231" i="2" s="1"/>
  <c r="V168" i="2"/>
  <c r="V212" i="2" s="1"/>
  <c r="W149" i="2"/>
  <c r="W193" i="2" s="1"/>
  <c r="W185" i="2"/>
  <c r="W229" i="2" s="1"/>
  <c r="V157" i="2"/>
  <c r="V201" i="2" s="1"/>
  <c r="U174" i="2"/>
  <c r="U218" i="2" s="1"/>
  <c r="U249" i="2" s="1"/>
  <c r="U273" i="2" s="1"/>
  <c r="V115" i="2"/>
  <c r="W114" i="2"/>
  <c r="U126" i="2"/>
  <c r="V121" i="2"/>
  <c r="X58" i="2"/>
  <c r="Y44" i="2"/>
  <c r="U281" i="2" l="1"/>
  <c r="U161" i="2"/>
  <c r="U205" i="2" s="1"/>
  <c r="U180" i="2"/>
  <c r="U224" i="2" s="1"/>
  <c r="U151" i="2"/>
  <c r="U195" i="2" s="1"/>
  <c r="W184" i="2"/>
  <c r="W228" i="2" s="1"/>
  <c r="W183" i="2"/>
  <c r="W227" i="2" s="1"/>
  <c r="V123" i="2"/>
  <c r="V152" i="2" s="1"/>
  <c r="V196" i="2" s="1"/>
  <c r="U283" i="2"/>
  <c r="U278" i="2"/>
  <c r="V116" i="2"/>
  <c r="Y41" i="2"/>
  <c r="X120" i="2"/>
  <c r="Y47" i="2"/>
  <c r="Y48" i="2"/>
  <c r="U286" i="2" l="1"/>
  <c r="V170" i="2"/>
  <c r="V214" i="2" s="1"/>
  <c r="V150" i="2"/>
  <c r="V194" i="2" s="1"/>
  <c r="V250" i="2" s="1"/>
  <c r="V274" i="2" s="1"/>
  <c r="V176" i="2"/>
  <c r="V220" i="2" s="1"/>
  <c r="V163" i="2"/>
  <c r="V207" i="2" s="1"/>
  <c r="V167" i="2"/>
  <c r="V211" i="2" s="1"/>
  <c r="V252" i="2" s="1"/>
  <c r="V276" i="2" s="1"/>
  <c r="V162" i="2"/>
  <c r="V206" i="2" s="1"/>
  <c r="V169" i="2"/>
  <c r="V213" i="2" s="1"/>
  <c r="V153" i="2"/>
  <c r="V197" i="2" s="1"/>
  <c r="V130" i="2"/>
  <c r="W280" i="2"/>
  <c r="Z35" i="2"/>
  <c r="Z37" i="2"/>
  <c r="V122" i="2"/>
  <c r="V189" i="2" s="1"/>
  <c r="V233" i="2" s="1"/>
  <c r="W112" i="2"/>
  <c r="Y49" i="2"/>
  <c r="X107" i="2"/>
  <c r="Y50" i="2"/>
  <c r="Z45" i="2"/>
  <c r="Y53" i="2"/>
  <c r="Y51" i="2"/>
  <c r="Y54" i="2"/>
  <c r="V282" i="2" l="1"/>
  <c r="V178" i="2"/>
  <c r="V222" i="2" s="1"/>
  <c r="X160" i="2"/>
  <c r="X204" i="2" s="1"/>
  <c r="X186" i="2"/>
  <c r="X230" i="2" s="1"/>
  <c r="V284" i="2"/>
  <c r="W113" i="2"/>
  <c r="W164" i="2"/>
  <c r="W208" i="2" s="1"/>
  <c r="W154" i="2"/>
  <c r="W198" i="2" s="1"/>
  <c r="W159" i="2"/>
  <c r="W203" i="2" s="1"/>
  <c r="W253" i="2" s="1"/>
  <c r="W277" i="2" s="1"/>
  <c r="V188" i="2"/>
  <c r="V232" i="2" s="1"/>
  <c r="V165" i="2"/>
  <c r="V209" i="2" s="1"/>
  <c r="V177" i="2"/>
  <c r="V221" i="2" s="1"/>
  <c r="V190" i="2"/>
  <c r="V234" i="2" s="1"/>
  <c r="V175" i="2"/>
  <c r="V219" i="2" s="1"/>
  <c r="V181" i="2"/>
  <c r="V225" i="2" s="1"/>
  <c r="V158" i="2"/>
  <c r="V202" i="2" s="1"/>
  <c r="X119" i="2"/>
  <c r="V127" i="2"/>
  <c r="V171" i="2" s="1"/>
  <c r="V215" i="2" s="1"/>
  <c r="V271" i="2"/>
  <c r="V125" i="2"/>
  <c r="V128" i="2"/>
  <c r="V129" i="2"/>
  <c r="V179" i="2" s="1"/>
  <c r="V223" i="2" s="1"/>
  <c r="V131" i="2"/>
  <c r="V174" i="2" s="1"/>
  <c r="V218" i="2" s="1"/>
  <c r="V249" i="2" s="1"/>
  <c r="V273" i="2" s="1"/>
  <c r="W118" i="2"/>
  <c r="W117" i="2"/>
  <c r="X111" i="2"/>
  <c r="X109" i="2"/>
  <c r="V124" i="2"/>
  <c r="Y55" i="2"/>
  <c r="Y52" i="2"/>
  <c r="Y106" i="2" s="1"/>
  <c r="Y56" i="2"/>
  <c r="Z39" i="2"/>
  <c r="Z42" i="2"/>
  <c r="Z40" i="2"/>
  <c r="Z43" i="2"/>
  <c r="Y57" i="2"/>
  <c r="V173" i="2" l="1"/>
  <c r="V217" i="2" s="1"/>
  <c r="V182" i="2"/>
  <c r="V226" i="2" s="1"/>
  <c r="V172" i="2"/>
  <c r="V216" i="2" s="1"/>
  <c r="V251" i="2" s="1"/>
  <c r="V275" i="2" s="1"/>
  <c r="W285" i="2"/>
  <c r="Y166" i="2"/>
  <c r="Y210" i="2" s="1"/>
  <c r="Y247" i="2" s="1"/>
  <c r="X156" i="2"/>
  <c r="X200" i="2" s="1"/>
  <c r="X248" i="2" s="1"/>
  <c r="X272" i="2" s="1"/>
  <c r="X187" i="2"/>
  <c r="X231" i="2" s="1"/>
  <c r="V155" i="2"/>
  <c r="V199" i="2" s="1"/>
  <c r="W157" i="2"/>
  <c r="W201" i="2" s="1"/>
  <c r="W168" i="2"/>
  <c r="W212" i="2" s="1"/>
  <c r="X149" i="2"/>
  <c r="X193" i="2" s="1"/>
  <c r="X185" i="2"/>
  <c r="X229" i="2" s="1"/>
  <c r="Y58" i="2"/>
  <c r="V126" i="2"/>
  <c r="W115" i="2"/>
  <c r="V281" i="2"/>
  <c r="X114" i="2"/>
  <c r="W121" i="2"/>
  <c r="Z41" i="2"/>
  <c r="Z44" i="2"/>
  <c r="Y120" i="2"/>
  <c r="W123" i="2" l="1"/>
  <c r="W152" i="2" s="1"/>
  <c r="W196" i="2" s="1"/>
  <c r="V161" i="2"/>
  <c r="V205" i="2" s="1"/>
  <c r="V180" i="2"/>
  <c r="V224" i="2" s="1"/>
  <c r="V151" i="2"/>
  <c r="V195" i="2" s="1"/>
  <c r="X183" i="2"/>
  <c r="X227" i="2" s="1"/>
  <c r="X184" i="2"/>
  <c r="X228" i="2" s="1"/>
  <c r="V283" i="2"/>
  <c r="V286" i="2" s="1"/>
  <c r="AA35" i="2"/>
  <c r="AA37" i="2"/>
  <c r="W116" i="2"/>
  <c r="Z47" i="2"/>
  <c r="Z48" i="2"/>
  <c r="W130" i="2" l="1"/>
  <c r="W153" i="2"/>
  <c r="W197" i="2" s="1"/>
  <c r="W170" i="2"/>
  <c r="W214" i="2" s="1"/>
  <c r="V278" i="2"/>
  <c r="W150" i="2"/>
  <c r="W194" i="2" s="1"/>
  <c r="W250" i="2" s="1"/>
  <c r="W274" i="2" s="1"/>
  <c r="W176" i="2"/>
  <c r="W220" i="2" s="1"/>
  <c r="W162" i="2"/>
  <c r="W206" i="2" s="1"/>
  <c r="W169" i="2"/>
  <c r="W213" i="2" s="1"/>
  <c r="W167" i="2"/>
  <c r="W211" i="2" s="1"/>
  <c r="W252" i="2" s="1"/>
  <c r="W276" i="2" s="1"/>
  <c r="W163" i="2"/>
  <c r="W207" i="2" s="1"/>
  <c r="X280" i="2"/>
  <c r="W122" i="2"/>
  <c r="W189" i="2" s="1"/>
  <c r="W233" i="2" s="1"/>
  <c r="X112" i="2"/>
  <c r="Z49" i="2"/>
  <c r="Y107" i="2"/>
  <c r="Z50" i="2"/>
  <c r="AA45" i="2"/>
  <c r="Z53" i="2"/>
  <c r="Z51" i="2"/>
  <c r="Z54" i="2"/>
  <c r="W282" i="2" l="1"/>
  <c r="W284" i="2"/>
  <c r="Y160" i="2"/>
  <c r="Y204" i="2" s="1"/>
  <c r="Y186" i="2"/>
  <c r="Y230" i="2" s="1"/>
  <c r="X113" i="2"/>
  <c r="X164" i="2"/>
  <c r="X208" i="2" s="1"/>
  <c r="X159" i="2"/>
  <c r="X203" i="2" s="1"/>
  <c r="X253" i="2" s="1"/>
  <c r="X277" i="2" s="1"/>
  <c r="X154" i="2"/>
  <c r="X198" i="2" s="1"/>
  <c r="W188" i="2"/>
  <c r="W232" i="2" s="1"/>
  <c r="W165" i="2"/>
  <c r="W209" i="2" s="1"/>
  <c r="W190" i="2"/>
  <c r="W234" i="2" s="1"/>
  <c r="W177" i="2"/>
  <c r="W221" i="2" s="1"/>
  <c r="W175" i="2"/>
  <c r="W219" i="2" s="1"/>
  <c r="W181" i="2"/>
  <c r="W225" i="2" s="1"/>
  <c r="W158" i="2"/>
  <c r="W202" i="2" s="1"/>
  <c r="W178" i="2"/>
  <c r="W222" i="2" s="1"/>
  <c r="W127" i="2"/>
  <c r="W171" i="2" s="1"/>
  <c r="W215" i="2" s="1"/>
  <c r="W271" i="2"/>
  <c r="Y119" i="2"/>
  <c r="W128" i="2"/>
  <c r="W129" i="2"/>
  <c r="W179" i="2" s="1"/>
  <c r="W223" i="2" s="1"/>
  <c r="W131" i="2"/>
  <c r="W174" i="2" s="1"/>
  <c r="W218" i="2" s="1"/>
  <c r="W249" i="2" s="1"/>
  <c r="W273" i="2" s="1"/>
  <c r="W173" i="2" l="1"/>
  <c r="W217" i="2" s="1"/>
  <c r="W182" i="2"/>
  <c r="W226" i="2" s="1"/>
  <c r="W172" i="2"/>
  <c r="W216" i="2" s="1"/>
  <c r="W251" i="2" s="1"/>
  <c r="W275" i="2" s="1"/>
  <c r="X118" i="2"/>
  <c r="X117" i="2"/>
  <c r="Y109" i="2"/>
  <c r="Y111" i="2"/>
  <c r="W125" i="2"/>
  <c r="W281" i="2"/>
  <c r="W124" i="2"/>
  <c r="X285" i="2"/>
  <c r="Z52" i="2"/>
  <c r="Z106" i="2" s="1"/>
  <c r="Z55" i="2"/>
  <c r="AA39" i="2"/>
  <c r="AA42" i="2"/>
  <c r="Z56" i="2"/>
  <c r="AA43" i="2"/>
  <c r="AA40" i="2"/>
  <c r="Z57" i="2"/>
  <c r="W155" i="2" l="1"/>
  <c r="W199" i="2" s="1"/>
  <c r="Y149" i="2"/>
  <c r="Y193" i="2" s="1"/>
  <c r="Y185" i="2"/>
  <c r="Y229" i="2" s="1"/>
  <c r="X157" i="2"/>
  <c r="X201" i="2" s="1"/>
  <c r="Y156" i="2"/>
  <c r="Y200" i="2" s="1"/>
  <c r="Y248" i="2" s="1"/>
  <c r="Y272" i="2" s="1"/>
  <c r="Y187" i="2"/>
  <c r="Y231" i="2" s="1"/>
  <c r="X168" i="2"/>
  <c r="X212" i="2" s="1"/>
  <c r="Z166" i="2"/>
  <c r="Z210" i="2" s="1"/>
  <c r="Z247" i="2" s="1"/>
  <c r="X115" i="2"/>
  <c r="Y114" i="2"/>
  <c r="W126" i="2"/>
  <c r="X121" i="2"/>
  <c r="Z58" i="2"/>
  <c r="Z107" i="2" s="1"/>
  <c r="AA44" i="2"/>
  <c r="AA41" i="2"/>
  <c r="Z120" i="2"/>
  <c r="AA47" i="2"/>
  <c r="AA48" i="2"/>
  <c r="Y184" i="2" l="1"/>
  <c r="Y228" i="2" s="1"/>
  <c r="Y183" i="2"/>
  <c r="Y227" i="2" s="1"/>
  <c r="W161" i="2"/>
  <c r="W205" i="2" s="1"/>
  <c r="W180" i="2"/>
  <c r="W224" i="2" s="1"/>
  <c r="W151" i="2"/>
  <c r="W195" i="2" s="1"/>
  <c r="Z160" i="2"/>
  <c r="Z204" i="2" s="1"/>
  <c r="Z186" i="2"/>
  <c r="Z230" i="2" s="1"/>
  <c r="X123" i="2"/>
  <c r="X130" i="2" s="1"/>
  <c r="Y280" i="2"/>
  <c r="W283" i="2"/>
  <c r="W286" i="2" s="1"/>
  <c r="W278" i="2"/>
  <c r="AB37" i="2"/>
  <c r="AB35" i="2"/>
  <c r="X116" i="2"/>
  <c r="X122" i="2"/>
  <c r="X158" i="2" s="1"/>
  <c r="X202" i="2" s="1"/>
  <c r="AA49" i="2"/>
  <c r="AA50" i="2"/>
  <c r="AB45" i="2"/>
  <c r="AA53" i="2"/>
  <c r="AA54" i="2"/>
  <c r="AA51" i="2"/>
  <c r="X178" i="2" l="1"/>
  <c r="X222" i="2" s="1"/>
  <c r="X150" i="2"/>
  <c r="X194" i="2" s="1"/>
  <c r="X250" i="2" s="1"/>
  <c r="X274" i="2" s="1"/>
  <c r="X189" i="2"/>
  <c r="X233" i="2" s="1"/>
  <c r="X176" i="2"/>
  <c r="X220" i="2" s="1"/>
  <c r="X163" i="2"/>
  <c r="X207" i="2" s="1"/>
  <c r="X167" i="2"/>
  <c r="X211" i="2" s="1"/>
  <c r="X252" i="2" s="1"/>
  <c r="X276" i="2" s="1"/>
  <c r="X162" i="2"/>
  <c r="X206" i="2" s="1"/>
  <c r="X169" i="2"/>
  <c r="X213" i="2" s="1"/>
  <c r="X170" i="2"/>
  <c r="X214" i="2" s="1"/>
  <c r="X271" i="2"/>
  <c r="X188" i="2"/>
  <c r="X232" i="2" s="1"/>
  <c r="X165" i="2"/>
  <c r="X209" i="2" s="1"/>
  <c r="X190" i="2"/>
  <c r="X234" i="2" s="1"/>
  <c r="X177" i="2"/>
  <c r="X221" i="2" s="1"/>
  <c r="X175" i="2"/>
  <c r="X219" i="2" s="1"/>
  <c r="X181" i="2"/>
  <c r="X225" i="2" s="1"/>
  <c r="X152" i="2"/>
  <c r="X196" i="2" s="1"/>
  <c r="X153" i="2"/>
  <c r="X197" i="2" s="1"/>
  <c r="Z119" i="2"/>
  <c r="X127" i="2"/>
  <c r="X171" i="2" s="1"/>
  <c r="X215" i="2" s="1"/>
  <c r="X128" i="2"/>
  <c r="X129" i="2"/>
  <c r="X179" i="2" s="1"/>
  <c r="X223" i="2" s="1"/>
  <c r="X131" i="2"/>
  <c r="Z109" i="2"/>
  <c r="Z111" i="2"/>
  <c r="X125" i="2"/>
  <c r="X124" i="2"/>
  <c r="AA52" i="2"/>
  <c r="AA106" i="2" s="1"/>
  <c r="AA55" i="2"/>
  <c r="AA56" i="2"/>
  <c r="AB39" i="2"/>
  <c r="AB42" i="2"/>
  <c r="AB40" i="2"/>
  <c r="AB43" i="2"/>
  <c r="AA57" i="2"/>
  <c r="X155" i="2" l="1"/>
  <c r="X199" i="2" s="1"/>
  <c r="X173" i="2"/>
  <c r="X217" i="2" s="1"/>
  <c r="X182" i="2"/>
  <c r="X226" i="2" s="1"/>
  <c r="X172" i="2"/>
  <c r="X216" i="2" s="1"/>
  <c r="X251" i="2" s="1"/>
  <c r="X275" i="2" s="1"/>
  <c r="X174" i="2"/>
  <c r="X218" i="2" s="1"/>
  <c r="X249" i="2" s="1"/>
  <c r="X273" i="2" s="1"/>
  <c r="AA166" i="2"/>
  <c r="AA210" i="2" s="1"/>
  <c r="AA247" i="2" s="1"/>
  <c r="Z156" i="2"/>
  <c r="Z200" i="2" s="1"/>
  <c r="Z248" i="2" s="1"/>
  <c r="Z272" i="2" s="1"/>
  <c r="Z187" i="2"/>
  <c r="Z231" i="2" s="1"/>
  <c r="Z149" i="2"/>
  <c r="Z193" i="2" s="1"/>
  <c r="Z185" i="2"/>
  <c r="Z229" i="2" s="1"/>
  <c r="Z114" i="2"/>
  <c r="X126" i="2"/>
  <c r="X284" i="2"/>
  <c r="Y112" i="2"/>
  <c r="AA58" i="2"/>
  <c r="AB44" i="2"/>
  <c r="X283" i="2" l="1"/>
  <c r="X161" i="2"/>
  <c r="X205" i="2" s="1"/>
  <c r="X180" i="2"/>
  <c r="X224" i="2" s="1"/>
  <c r="X151" i="2"/>
  <c r="X195" i="2" s="1"/>
  <c r="Z183" i="2"/>
  <c r="Z227" i="2" s="1"/>
  <c r="Z184" i="2"/>
  <c r="Z228" i="2" s="1"/>
  <c r="Y113" i="2"/>
  <c r="Y121" i="2" s="1"/>
  <c r="Y164" i="2"/>
  <c r="Y208" i="2" s="1"/>
  <c r="Y154" i="2"/>
  <c r="Y198" i="2" s="1"/>
  <c r="Y159" i="2"/>
  <c r="Y203" i="2" s="1"/>
  <c r="Y253" i="2" s="1"/>
  <c r="Y277" i="2" s="1"/>
  <c r="X281" i="2"/>
  <c r="X282" i="2"/>
  <c r="Y118" i="2"/>
  <c r="Y117" i="2"/>
  <c r="AB41" i="2"/>
  <c r="AA120" i="2"/>
  <c r="AB47" i="2"/>
  <c r="AB48" i="2"/>
  <c r="X286" i="2" l="1"/>
  <c r="Y123" i="2"/>
  <c r="Y167" i="2" s="1"/>
  <c r="Y211" i="2" s="1"/>
  <c r="Y252" i="2" s="1"/>
  <c r="Y276" i="2" s="1"/>
  <c r="Y285" i="2"/>
  <c r="Y168" i="2"/>
  <c r="Y212" i="2" s="1"/>
  <c r="Y157" i="2"/>
  <c r="Y201" i="2" s="1"/>
  <c r="X278" i="2"/>
  <c r="Z280" i="2"/>
  <c r="AC37" i="2"/>
  <c r="AC35" i="2"/>
  <c r="Y115" i="2"/>
  <c r="Y116" i="2"/>
  <c r="AB49" i="2"/>
  <c r="AA107" i="2"/>
  <c r="AB50" i="2"/>
  <c r="AC45" i="2"/>
  <c r="AB53" i="2"/>
  <c r="AB51" i="2"/>
  <c r="AB54" i="2"/>
  <c r="Y153" i="2" l="1"/>
  <c r="Y197" i="2" s="1"/>
  <c r="Y130" i="2"/>
  <c r="Y163" i="2"/>
  <c r="Y207" i="2" s="1"/>
  <c r="Y162" i="2"/>
  <c r="Y206" i="2" s="1"/>
  <c r="Y169" i="2"/>
  <c r="Y213" i="2" s="1"/>
  <c r="AA160" i="2"/>
  <c r="AA204" i="2" s="1"/>
  <c r="AA186" i="2"/>
  <c r="AA230" i="2" s="1"/>
  <c r="Y152" i="2"/>
  <c r="Y196" i="2" s="1"/>
  <c r="Y170" i="2"/>
  <c r="Y214" i="2" s="1"/>
  <c r="Y150" i="2"/>
  <c r="Y194" i="2" s="1"/>
  <c r="Y250" i="2" s="1"/>
  <c r="Y274" i="2" s="1"/>
  <c r="Y176" i="2"/>
  <c r="Y220" i="2" s="1"/>
  <c r="AA119" i="2"/>
  <c r="AA109" i="2"/>
  <c r="AA111" i="2"/>
  <c r="Y122" i="2"/>
  <c r="Z112" i="2"/>
  <c r="AB55" i="2"/>
  <c r="AB52" i="2"/>
  <c r="AB106" i="2" s="1"/>
  <c r="AC39" i="2"/>
  <c r="AC42" i="2"/>
  <c r="AB56" i="2"/>
  <c r="AC40" i="2"/>
  <c r="AC43" i="2"/>
  <c r="AB57" i="2"/>
  <c r="Y178" i="2" l="1"/>
  <c r="Y222" i="2" s="1"/>
  <c r="Y165" i="2"/>
  <c r="Y209" i="2" s="1"/>
  <c r="Y188" i="2"/>
  <c r="Y232" i="2" s="1"/>
  <c r="Y177" i="2"/>
  <c r="Y221" i="2" s="1"/>
  <c r="Y190" i="2"/>
  <c r="Y234" i="2" s="1"/>
  <c r="Y175" i="2"/>
  <c r="Y219" i="2" s="1"/>
  <c r="Y181" i="2"/>
  <c r="Y225" i="2" s="1"/>
  <c r="Y158" i="2"/>
  <c r="Y202" i="2" s="1"/>
  <c r="Y282" i="2"/>
  <c r="AA156" i="2"/>
  <c r="AA200" i="2" s="1"/>
  <c r="AA248" i="2" s="1"/>
  <c r="AA272" i="2" s="1"/>
  <c r="AA187" i="2"/>
  <c r="AA231" i="2" s="1"/>
  <c r="Z113" i="2"/>
  <c r="Z164" i="2"/>
  <c r="Z208" i="2" s="1"/>
  <c r="Z154" i="2"/>
  <c r="Z198" i="2" s="1"/>
  <c r="Z159" i="2"/>
  <c r="Z203" i="2" s="1"/>
  <c r="Z253" i="2" s="1"/>
  <c r="Z277" i="2" s="1"/>
  <c r="AB166" i="2"/>
  <c r="AB210" i="2" s="1"/>
  <c r="AB247" i="2" s="1"/>
  <c r="AA149" i="2"/>
  <c r="AA193" i="2" s="1"/>
  <c r="AA185" i="2"/>
  <c r="AA229" i="2" s="1"/>
  <c r="Y189" i="2"/>
  <c r="Y233" i="2" s="1"/>
  <c r="Y284" i="2"/>
  <c r="Y127" i="2"/>
  <c r="Y171" i="2" s="1"/>
  <c r="Y215" i="2" s="1"/>
  <c r="Y271" i="2"/>
  <c r="Y129" i="2"/>
  <c r="Y179" i="2" s="1"/>
  <c r="Y223" i="2" s="1"/>
  <c r="Y128" i="2"/>
  <c r="Y131" i="2"/>
  <c r="AA114" i="2"/>
  <c r="Z117" i="2"/>
  <c r="Z118" i="2"/>
  <c r="Y124" i="2"/>
  <c r="Y125" i="2"/>
  <c r="AB58" i="2"/>
  <c r="AC41" i="2"/>
  <c r="Y155" i="2" l="1"/>
  <c r="Y199" i="2" s="1"/>
  <c r="Y174" i="2"/>
  <c r="Y218" i="2" s="1"/>
  <c r="Y249" i="2" s="1"/>
  <c r="Y273" i="2" s="1"/>
  <c r="Z157" i="2"/>
  <c r="Z201" i="2" s="1"/>
  <c r="Z168" i="2"/>
  <c r="Z212" i="2" s="1"/>
  <c r="Z285" i="2"/>
  <c r="AA184" i="2"/>
  <c r="AA228" i="2" s="1"/>
  <c r="AA183" i="2"/>
  <c r="AA227" i="2" s="1"/>
  <c r="Y173" i="2"/>
  <c r="Y217" i="2" s="1"/>
  <c r="Y182" i="2"/>
  <c r="Y226" i="2" s="1"/>
  <c r="Y172" i="2"/>
  <c r="Y216" i="2" s="1"/>
  <c r="Y251" i="2" s="1"/>
  <c r="Y275" i="2" s="1"/>
  <c r="AD35" i="2"/>
  <c r="AD37" i="2"/>
  <c r="Z115" i="2"/>
  <c r="Y126" i="2"/>
  <c r="Z121" i="2"/>
  <c r="AC44" i="2"/>
  <c r="AB120" i="2"/>
  <c r="Y161" i="2" l="1"/>
  <c r="Y205" i="2" s="1"/>
  <c r="Y180" i="2"/>
  <c r="Y224" i="2" s="1"/>
  <c r="Y151" i="2"/>
  <c r="Y195" i="2" s="1"/>
  <c r="Z123" i="2"/>
  <c r="Z152" i="2" s="1"/>
  <c r="Z196" i="2" s="1"/>
  <c r="Y281" i="2"/>
  <c r="Y283" i="2"/>
  <c r="Y278" i="2"/>
  <c r="Z116" i="2"/>
  <c r="AC47" i="2"/>
  <c r="AC48" i="2"/>
  <c r="Y286" i="2" l="1"/>
  <c r="Z130" i="2"/>
  <c r="Z170" i="2"/>
  <c r="Z214" i="2" s="1"/>
  <c r="Z150" i="2"/>
  <c r="Z194" i="2" s="1"/>
  <c r="Z250" i="2" s="1"/>
  <c r="Z274" i="2" s="1"/>
  <c r="Z176" i="2"/>
  <c r="Z220" i="2" s="1"/>
  <c r="Z162" i="2"/>
  <c r="Z206" i="2" s="1"/>
  <c r="Z169" i="2"/>
  <c r="Z213" i="2" s="1"/>
  <c r="Z167" i="2"/>
  <c r="Z211" i="2" s="1"/>
  <c r="Z252" i="2" s="1"/>
  <c r="Z276" i="2" s="1"/>
  <c r="Z163" i="2"/>
  <c r="Z207" i="2" s="1"/>
  <c r="Z153" i="2"/>
  <c r="Z197" i="2" s="1"/>
  <c r="AA280" i="2"/>
  <c r="Z122" i="2"/>
  <c r="Z189" i="2" s="1"/>
  <c r="Z233" i="2" s="1"/>
  <c r="AA112" i="2"/>
  <c r="AC49" i="2"/>
  <c r="AB107" i="2"/>
  <c r="AC50" i="2"/>
  <c r="AD45" i="2"/>
  <c r="AC53" i="2"/>
  <c r="AC51" i="2"/>
  <c r="AC54" i="2"/>
  <c r="AB160" i="2" l="1"/>
  <c r="AB204" i="2" s="1"/>
  <c r="AB186" i="2"/>
  <c r="AB230" i="2" s="1"/>
  <c r="AA113" i="2"/>
  <c r="AA164" i="2"/>
  <c r="AA208" i="2" s="1"/>
  <c r="AA154" i="2"/>
  <c r="AA198" i="2" s="1"/>
  <c r="AA159" i="2"/>
  <c r="AA203" i="2" s="1"/>
  <c r="AA253" i="2" s="1"/>
  <c r="AA277" i="2" s="1"/>
  <c r="Z165" i="2"/>
  <c r="Z209" i="2" s="1"/>
  <c r="Z188" i="2"/>
  <c r="Z232" i="2" s="1"/>
  <c r="Z190" i="2"/>
  <c r="Z234" i="2" s="1"/>
  <c r="Z177" i="2"/>
  <c r="Z221" i="2" s="1"/>
  <c r="Z175" i="2"/>
  <c r="Z219" i="2" s="1"/>
  <c r="Z181" i="2"/>
  <c r="Z225" i="2" s="1"/>
  <c r="Z158" i="2"/>
  <c r="Z202" i="2" s="1"/>
  <c r="Z282" i="2"/>
  <c r="Z178" i="2"/>
  <c r="Z222" i="2" s="1"/>
  <c r="Z284" i="2"/>
  <c r="AB119" i="2"/>
  <c r="Z127" i="2"/>
  <c r="Z171" i="2" s="1"/>
  <c r="Z215" i="2" s="1"/>
  <c r="Z271" i="2"/>
  <c r="Z124" i="2"/>
  <c r="Z128" i="2"/>
  <c r="Z129" i="2"/>
  <c r="Z179" i="2" s="1"/>
  <c r="Z223" i="2" s="1"/>
  <c r="Z131" i="2"/>
  <c r="AA117" i="2"/>
  <c r="AA118" i="2"/>
  <c r="AB109" i="2"/>
  <c r="AB111" i="2"/>
  <c r="Z125" i="2"/>
  <c r="AC52" i="2"/>
  <c r="AC106" i="2" s="1"/>
  <c r="AC55" i="2"/>
  <c r="AC56" i="2"/>
  <c r="AD39" i="2"/>
  <c r="AD42" i="2"/>
  <c r="AD40" i="2"/>
  <c r="AD43" i="2"/>
  <c r="AC57" i="2"/>
  <c r="AA285" i="2" l="1"/>
  <c r="AC166" i="2"/>
  <c r="AC210" i="2" s="1"/>
  <c r="AC247" i="2" s="1"/>
  <c r="AB156" i="2"/>
  <c r="AB200" i="2" s="1"/>
  <c r="AB248" i="2" s="1"/>
  <c r="AB272" i="2" s="1"/>
  <c r="AB187" i="2"/>
  <c r="AB231" i="2" s="1"/>
  <c r="AB149" i="2"/>
  <c r="AB193" i="2" s="1"/>
  <c r="AB185" i="2"/>
  <c r="AB229" i="2" s="1"/>
  <c r="AA168" i="2"/>
  <c r="AA212" i="2" s="1"/>
  <c r="AA115" i="2"/>
  <c r="AA157" i="2"/>
  <c r="AA201" i="2" s="1"/>
  <c r="Z174" i="2"/>
  <c r="Z218" i="2" s="1"/>
  <c r="Z249" i="2" s="1"/>
  <c r="Z273" i="2" s="1"/>
  <c r="Z173" i="2"/>
  <c r="Z217" i="2" s="1"/>
  <c r="Z182" i="2"/>
  <c r="Z226" i="2" s="1"/>
  <c r="Z172" i="2"/>
  <c r="Z216" i="2" s="1"/>
  <c r="Z251" i="2" s="1"/>
  <c r="Z275" i="2" s="1"/>
  <c r="Z155" i="2"/>
  <c r="Z199" i="2" s="1"/>
  <c r="AB114" i="2"/>
  <c r="Z126" i="2"/>
  <c r="AA121" i="2"/>
  <c r="AC58" i="2"/>
  <c r="AD44" i="2"/>
  <c r="AD41" i="2"/>
  <c r="AC120" i="2"/>
  <c r="AD47" i="2"/>
  <c r="AD48" i="2"/>
  <c r="AB183" i="2" l="1"/>
  <c r="AB227" i="2" s="1"/>
  <c r="AB184" i="2"/>
  <c r="AB228" i="2" s="1"/>
  <c r="Z161" i="2"/>
  <c r="Z205" i="2" s="1"/>
  <c r="Z180" i="2"/>
  <c r="Z224" i="2" s="1"/>
  <c r="Z151" i="2"/>
  <c r="Z195" i="2" s="1"/>
  <c r="Z283" i="2"/>
  <c r="AA123" i="2"/>
  <c r="Z281" i="2"/>
  <c r="Z278" i="2"/>
  <c r="AB280" i="2"/>
  <c r="AE35" i="2"/>
  <c r="AE37" i="2"/>
  <c r="AA116" i="2"/>
  <c r="AA122" i="2"/>
  <c r="AD49" i="2"/>
  <c r="AC107" i="2"/>
  <c r="AD50" i="2"/>
  <c r="AE45" i="2"/>
  <c r="AD53" i="2"/>
  <c r="AD51" i="2"/>
  <c r="AD54" i="2"/>
  <c r="Z286" i="2" l="1"/>
  <c r="AA150" i="2"/>
  <c r="AA194" i="2" s="1"/>
  <c r="AA250" i="2" s="1"/>
  <c r="AA274" i="2" s="1"/>
  <c r="AA189" i="2"/>
  <c r="AA233" i="2" s="1"/>
  <c r="AA176" i="2"/>
  <c r="AA220" i="2" s="1"/>
  <c r="AA167" i="2"/>
  <c r="AA211" i="2" s="1"/>
  <c r="AA252" i="2" s="1"/>
  <c r="AA276" i="2" s="1"/>
  <c r="AA162" i="2"/>
  <c r="AA206" i="2" s="1"/>
  <c r="AA169" i="2"/>
  <c r="AA213" i="2" s="1"/>
  <c r="AA163" i="2"/>
  <c r="AA207" i="2" s="1"/>
  <c r="AC186" i="2"/>
  <c r="AC230" i="2" s="1"/>
  <c r="AC160" i="2"/>
  <c r="AC204" i="2" s="1"/>
  <c r="AA165" i="2"/>
  <c r="AA209" i="2" s="1"/>
  <c r="AA188" i="2"/>
  <c r="AA232" i="2" s="1"/>
  <c r="AA177" i="2"/>
  <c r="AA221" i="2" s="1"/>
  <c r="AA190" i="2"/>
  <c r="AA234" i="2" s="1"/>
  <c r="AA175" i="2"/>
  <c r="AA219" i="2" s="1"/>
  <c r="AA181" i="2"/>
  <c r="AA225" i="2" s="1"/>
  <c r="AA170" i="2"/>
  <c r="AA214" i="2" s="1"/>
  <c r="AA153" i="2"/>
  <c r="AA197" i="2" s="1"/>
  <c r="AA152" i="2"/>
  <c r="AA196" i="2" s="1"/>
  <c r="AA130" i="2"/>
  <c r="AA178" i="2" s="1"/>
  <c r="AA222" i="2" s="1"/>
  <c r="AA158" i="2"/>
  <c r="AA202" i="2" s="1"/>
  <c r="AC119" i="2"/>
  <c r="AA127" i="2"/>
  <c r="AA171" i="2" s="1"/>
  <c r="AA215" i="2" s="1"/>
  <c r="AA271" i="2"/>
  <c r="AA128" i="2"/>
  <c r="AA172" i="2" s="1"/>
  <c r="AA216" i="2" s="1"/>
  <c r="AA251" i="2" s="1"/>
  <c r="AA275" i="2" s="1"/>
  <c r="AA129" i="2"/>
  <c r="AA179" i="2" s="1"/>
  <c r="AA223" i="2" s="1"/>
  <c r="AA131" i="2"/>
  <c r="AC109" i="2"/>
  <c r="AC111" i="2"/>
  <c r="AA125" i="2"/>
  <c r="AA124" i="2"/>
  <c r="AD55" i="2"/>
  <c r="AD52" i="2"/>
  <c r="AD106" i="2" s="1"/>
  <c r="AD56" i="2"/>
  <c r="AE39" i="2"/>
  <c r="AE42" i="2"/>
  <c r="AE43" i="2"/>
  <c r="AE40" i="2"/>
  <c r="AD57" i="2"/>
  <c r="AC149" i="2" l="1"/>
  <c r="AC193" i="2" s="1"/>
  <c r="AC185" i="2"/>
  <c r="AC229" i="2" s="1"/>
  <c r="AA174" i="2"/>
  <c r="AA218" i="2" s="1"/>
  <c r="AA249" i="2" s="1"/>
  <c r="AA273" i="2" s="1"/>
  <c r="AA173" i="2"/>
  <c r="AA217" i="2" s="1"/>
  <c r="AA182" i="2"/>
  <c r="AA226" i="2" s="1"/>
  <c r="AC187" i="2"/>
  <c r="AC231" i="2" s="1"/>
  <c r="AC156" i="2"/>
  <c r="AC200" i="2" s="1"/>
  <c r="AC248" i="2" s="1"/>
  <c r="AC272" i="2" s="1"/>
  <c r="AD166" i="2"/>
  <c r="AD210" i="2" s="1"/>
  <c r="AD247" i="2" s="1"/>
  <c r="AA155" i="2"/>
  <c r="AA199" i="2" s="1"/>
  <c r="AA282" i="2"/>
  <c r="AC114" i="2"/>
  <c r="AA126" i="2"/>
  <c r="AB112" i="2"/>
  <c r="AA283" i="2"/>
  <c r="AD58" i="2"/>
  <c r="AE41" i="2"/>
  <c r="AE44" i="2"/>
  <c r="AD120" i="2"/>
  <c r="AE47" i="2"/>
  <c r="AE48" i="2"/>
  <c r="AC183" i="2" l="1"/>
  <c r="AC227" i="2" s="1"/>
  <c r="AC184" i="2"/>
  <c r="AC228" i="2" s="1"/>
  <c r="AA161" i="2"/>
  <c r="AA205" i="2" s="1"/>
  <c r="AA180" i="2"/>
  <c r="AA224" i="2" s="1"/>
  <c r="AA151" i="2"/>
  <c r="AA195" i="2" s="1"/>
  <c r="AB113" i="2"/>
  <c r="AB121" i="2" s="1"/>
  <c r="AB164" i="2"/>
  <c r="AB208" i="2" s="1"/>
  <c r="AB159" i="2"/>
  <c r="AB203" i="2" s="1"/>
  <c r="AB253" i="2" s="1"/>
  <c r="AB277" i="2" s="1"/>
  <c r="AB154" i="2"/>
  <c r="AB198" i="2" s="1"/>
  <c r="AA281" i="2"/>
  <c r="AA284" i="2"/>
  <c r="AC280" i="2"/>
  <c r="AF35" i="2"/>
  <c r="AF37" i="2"/>
  <c r="AB117" i="2"/>
  <c r="AB118" i="2"/>
  <c r="AE49" i="2"/>
  <c r="AD107" i="2"/>
  <c r="AE50" i="2"/>
  <c r="AF45" i="2"/>
  <c r="AE53" i="2"/>
  <c r="AE51" i="2"/>
  <c r="AE54" i="2"/>
  <c r="AA286" i="2" l="1"/>
  <c r="AB123" i="2"/>
  <c r="AB130" i="2" s="1"/>
  <c r="AB157" i="2"/>
  <c r="AB201" i="2" s="1"/>
  <c r="AB285" i="2"/>
  <c r="AB168" i="2"/>
  <c r="AB212" i="2" s="1"/>
  <c r="AD186" i="2"/>
  <c r="AD230" i="2" s="1"/>
  <c r="AD160" i="2"/>
  <c r="AD204" i="2" s="1"/>
  <c r="AA278" i="2"/>
  <c r="AF42" i="2"/>
  <c r="AD119" i="2"/>
  <c r="AB115" i="2"/>
  <c r="AB116" i="2"/>
  <c r="AD111" i="2"/>
  <c r="AD109" i="2"/>
  <c r="AE55" i="2"/>
  <c r="AE52" i="2"/>
  <c r="AE106" i="2" s="1"/>
  <c r="AE56" i="2"/>
  <c r="AF39" i="2"/>
  <c r="AF40" i="2"/>
  <c r="AF43" i="2"/>
  <c r="AE57" i="2"/>
  <c r="AB167" i="2" l="1"/>
  <c r="AB211" i="2" s="1"/>
  <c r="AB252" i="2" s="1"/>
  <c r="AB276" i="2" s="1"/>
  <c r="AB163" i="2"/>
  <c r="AB207" i="2" s="1"/>
  <c r="AB169" i="2"/>
  <c r="AB213" i="2" s="1"/>
  <c r="AB153" i="2"/>
  <c r="AB197" i="2" s="1"/>
  <c r="AB162" i="2"/>
  <c r="AB206" i="2" s="1"/>
  <c r="AD187" i="2"/>
  <c r="AD231" i="2" s="1"/>
  <c r="AD156" i="2"/>
  <c r="AD200" i="2" s="1"/>
  <c r="AD248" i="2" s="1"/>
  <c r="AD272" i="2" s="1"/>
  <c r="AE166" i="2"/>
  <c r="AE210" i="2" s="1"/>
  <c r="AE247" i="2" s="1"/>
  <c r="AB152" i="2"/>
  <c r="AB196" i="2" s="1"/>
  <c r="AB170" i="2"/>
  <c r="AB214" i="2" s="1"/>
  <c r="AD149" i="2"/>
  <c r="AD193" i="2" s="1"/>
  <c r="AD185" i="2"/>
  <c r="AD229" i="2" s="1"/>
  <c r="AB150" i="2"/>
  <c r="AB194" i="2" s="1"/>
  <c r="AB250" i="2" s="1"/>
  <c r="AB274" i="2" s="1"/>
  <c r="AB176" i="2"/>
  <c r="AB220" i="2" s="1"/>
  <c r="AD114" i="2"/>
  <c r="AB122" i="2"/>
  <c r="AC112" i="2"/>
  <c r="AE58" i="2"/>
  <c r="AB165" i="2" l="1"/>
  <c r="AB209" i="2" s="1"/>
  <c r="AB188" i="2"/>
  <c r="AB232" i="2" s="1"/>
  <c r="AB190" i="2"/>
  <c r="AB234" i="2" s="1"/>
  <c r="AB177" i="2"/>
  <c r="AB221" i="2" s="1"/>
  <c r="AB175" i="2"/>
  <c r="AB219" i="2" s="1"/>
  <c r="AB181" i="2"/>
  <c r="AB225" i="2" s="1"/>
  <c r="AB158" i="2"/>
  <c r="AB202" i="2" s="1"/>
  <c r="AB178" i="2"/>
  <c r="AB222" i="2" s="1"/>
  <c r="AB189" i="2"/>
  <c r="AB233" i="2" s="1"/>
  <c r="AC113" i="2"/>
  <c r="AC121" i="2" s="1"/>
  <c r="AC164" i="2"/>
  <c r="AC208" i="2" s="1"/>
  <c r="AC154" i="2"/>
  <c r="AC198" i="2" s="1"/>
  <c r="AC159" i="2"/>
  <c r="AC203" i="2" s="1"/>
  <c r="AC253" i="2" s="1"/>
  <c r="AC277" i="2" s="1"/>
  <c r="AD183" i="2"/>
  <c r="AD227" i="2" s="1"/>
  <c r="AD184" i="2"/>
  <c r="AD228" i="2" s="1"/>
  <c r="AB282" i="2"/>
  <c r="AB284" i="2"/>
  <c r="AB127" i="2"/>
  <c r="AB171" i="2" s="1"/>
  <c r="AB215" i="2" s="1"/>
  <c r="AB271" i="2"/>
  <c r="AB128" i="2"/>
  <c r="AB129" i="2"/>
  <c r="AB179" i="2" s="1"/>
  <c r="AB223" i="2" s="1"/>
  <c r="AB131" i="2"/>
  <c r="AB174" i="2" s="1"/>
  <c r="AB218" i="2" s="1"/>
  <c r="AB249" i="2" s="1"/>
  <c r="AB273" i="2" s="1"/>
  <c r="AC117" i="2"/>
  <c r="AC118" i="2"/>
  <c r="AB125" i="2"/>
  <c r="AB124" i="2"/>
  <c r="AF44" i="2"/>
  <c r="AF41" i="2"/>
  <c r="AE120" i="2"/>
  <c r="AC285" i="2" l="1"/>
  <c r="AC123" i="2"/>
  <c r="AC130" i="2" s="1"/>
  <c r="AB155" i="2"/>
  <c r="AB199" i="2" s="1"/>
  <c r="AB173" i="2"/>
  <c r="AB217" i="2" s="1"/>
  <c r="AB182" i="2"/>
  <c r="AB226" i="2" s="1"/>
  <c r="AB172" i="2"/>
  <c r="AB216" i="2" s="1"/>
  <c r="AB251" i="2" s="1"/>
  <c r="AB275" i="2" s="1"/>
  <c r="AC168" i="2"/>
  <c r="AC212" i="2" s="1"/>
  <c r="AC157" i="2"/>
  <c r="AC201" i="2" s="1"/>
  <c r="AC115" i="2"/>
  <c r="AB281" i="2"/>
  <c r="AC116" i="2"/>
  <c r="AB126" i="2"/>
  <c r="AF47" i="2"/>
  <c r="AF48" i="2"/>
  <c r="AC169" i="2" l="1"/>
  <c r="AC213" i="2" s="1"/>
  <c r="AC162" i="2"/>
  <c r="AC206" i="2" s="1"/>
  <c r="AC163" i="2"/>
  <c r="AC207" i="2" s="1"/>
  <c r="AC167" i="2"/>
  <c r="AC211" i="2" s="1"/>
  <c r="AC252" i="2" s="1"/>
  <c r="AC276" i="2" s="1"/>
  <c r="AC153" i="2"/>
  <c r="AC197" i="2" s="1"/>
  <c r="AB161" i="2"/>
  <c r="AB205" i="2" s="1"/>
  <c r="AB180" i="2"/>
  <c r="AB224" i="2" s="1"/>
  <c r="AB151" i="2"/>
  <c r="AB195" i="2" s="1"/>
  <c r="AC152" i="2"/>
  <c r="AC196" i="2" s="1"/>
  <c r="AC170" i="2"/>
  <c r="AC214" i="2" s="1"/>
  <c r="AC150" i="2"/>
  <c r="AC194" i="2" s="1"/>
  <c r="AC250" i="2" s="1"/>
  <c r="AC274" i="2" s="1"/>
  <c r="AC176" i="2"/>
  <c r="AC220" i="2" s="1"/>
  <c r="AB283" i="2"/>
  <c r="AB286" i="2" s="1"/>
  <c r="AD280" i="2"/>
  <c r="AB278" i="2"/>
  <c r="AC122" i="2"/>
  <c r="AC178" i="2" s="1"/>
  <c r="AC222" i="2" s="1"/>
  <c r="AF49" i="2"/>
  <c r="AE107" i="2"/>
  <c r="AF50" i="2"/>
  <c r="AF53" i="2"/>
  <c r="AF51" i="2"/>
  <c r="AF54" i="2"/>
  <c r="AC189" i="2" l="1"/>
  <c r="AC233" i="2" s="1"/>
  <c r="AE186" i="2"/>
  <c r="AE230" i="2" s="1"/>
  <c r="AE160" i="2"/>
  <c r="AE204" i="2" s="1"/>
  <c r="AC282" i="2"/>
  <c r="AC188" i="2"/>
  <c r="AC232" i="2" s="1"/>
  <c r="AC165" i="2"/>
  <c r="AC209" i="2" s="1"/>
  <c r="AC190" i="2"/>
  <c r="AC234" i="2" s="1"/>
  <c r="AC177" i="2"/>
  <c r="AC221" i="2" s="1"/>
  <c r="AC175" i="2"/>
  <c r="AC219" i="2" s="1"/>
  <c r="AC181" i="2"/>
  <c r="AC225" i="2" s="1"/>
  <c r="AC158" i="2"/>
  <c r="AC202" i="2" s="1"/>
  <c r="AE119" i="2"/>
  <c r="AC127" i="2"/>
  <c r="AC171" i="2" s="1"/>
  <c r="AC215" i="2" s="1"/>
  <c r="AC271" i="2"/>
  <c r="AC128" i="2"/>
  <c r="AC131" i="2"/>
  <c r="AC129" i="2"/>
  <c r="AC179" i="2" s="1"/>
  <c r="AC223" i="2" s="1"/>
  <c r="AE111" i="2"/>
  <c r="AE109" i="2"/>
  <c r="AC124" i="2"/>
  <c r="AC125" i="2"/>
  <c r="AD112" i="2"/>
  <c r="AC284" i="2"/>
  <c r="AF52" i="2"/>
  <c r="AF106" i="2" s="1"/>
  <c r="AF55" i="2"/>
  <c r="AF56" i="2"/>
  <c r="AF57" i="2"/>
  <c r="AE149" i="2" l="1"/>
  <c r="AE193" i="2" s="1"/>
  <c r="AE185" i="2"/>
  <c r="AE229" i="2" s="1"/>
  <c r="AC174" i="2"/>
  <c r="AC218" i="2" s="1"/>
  <c r="AC249" i="2" s="1"/>
  <c r="AC273" i="2" s="1"/>
  <c r="AE187" i="2"/>
  <c r="AE231" i="2" s="1"/>
  <c r="AE156" i="2"/>
  <c r="AE200" i="2" s="1"/>
  <c r="AE248" i="2" s="1"/>
  <c r="AE272" i="2" s="1"/>
  <c r="AC155" i="2"/>
  <c r="AC199" i="2" s="1"/>
  <c r="AC173" i="2"/>
  <c r="AC217" i="2" s="1"/>
  <c r="AC182" i="2"/>
  <c r="AC226" i="2" s="1"/>
  <c r="AC172" i="2"/>
  <c r="AC216" i="2" s="1"/>
  <c r="AC251" i="2" s="1"/>
  <c r="AC275" i="2" s="1"/>
  <c r="AF166" i="2"/>
  <c r="AF210" i="2" s="1"/>
  <c r="AF247" i="2" s="1"/>
  <c r="AD113" i="2"/>
  <c r="AD164" i="2"/>
  <c r="AD208" i="2" s="1"/>
  <c r="AD159" i="2"/>
  <c r="AD203" i="2" s="1"/>
  <c r="AD253" i="2" s="1"/>
  <c r="AD277" i="2" s="1"/>
  <c r="AD154" i="2"/>
  <c r="AD198" i="2" s="1"/>
  <c r="AE114" i="2"/>
  <c r="AD118" i="2"/>
  <c r="AD117" i="2"/>
  <c r="AC126" i="2"/>
  <c r="AF58" i="2"/>
  <c r="AF120" i="2"/>
  <c r="AC283" i="2" l="1"/>
  <c r="AD168" i="2"/>
  <c r="AD212" i="2" s="1"/>
  <c r="AE183" i="2"/>
  <c r="AE227" i="2" s="1"/>
  <c r="AE184" i="2"/>
  <c r="AE228" i="2" s="1"/>
  <c r="AC281" i="2"/>
  <c r="AD285" i="2"/>
  <c r="AC161" i="2"/>
  <c r="AC205" i="2" s="1"/>
  <c r="AC180" i="2"/>
  <c r="AC224" i="2" s="1"/>
  <c r="AC151" i="2"/>
  <c r="AC195" i="2" s="1"/>
  <c r="AD115" i="2"/>
  <c r="AD157" i="2"/>
  <c r="AD201" i="2" s="1"/>
  <c r="AE280" i="2"/>
  <c r="AD121" i="2"/>
  <c r="AF107" i="2"/>
  <c r="AC286" i="2" l="1"/>
  <c r="AF160" i="2"/>
  <c r="AF204" i="2" s="1"/>
  <c r="AF186" i="2"/>
  <c r="AF230" i="2" s="1"/>
  <c r="AD123" i="2"/>
  <c r="AD152" i="2" s="1"/>
  <c r="AD196" i="2" s="1"/>
  <c r="AC278" i="2"/>
  <c r="AF119" i="2"/>
  <c r="AD116" i="2"/>
  <c r="AF109" i="2"/>
  <c r="AF111" i="2"/>
  <c r="AD122" i="2"/>
  <c r="AD170" i="2" l="1"/>
  <c r="AD214" i="2" s="1"/>
  <c r="AD271" i="2"/>
  <c r="AD188" i="2"/>
  <c r="AD232" i="2" s="1"/>
  <c r="AD165" i="2"/>
  <c r="AD209" i="2" s="1"/>
  <c r="AD177" i="2"/>
  <c r="AD221" i="2" s="1"/>
  <c r="AD190" i="2"/>
  <c r="AD234" i="2" s="1"/>
  <c r="AD175" i="2"/>
  <c r="AD219" i="2" s="1"/>
  <c r="AD181" i="2"/>
  <c r="AD225" i="2" s="1"/>
  <c r="AF187" i="2"/>
  <c r="AF231" i="2" s="1"/>
  <c r="AF156" i="2"/>
  <c r="AF200" i="2" s="1"/>
  <c r="AF248" i="2" s="1"/>
  <c r="AF272" i="2" s="1"/>
  <c r="AF149" i="2"/>
  <c r="AF193" i="2" s="1"/>
  <c r="AF185" i="2"/>
  <c r="AF229" i="2" s="1"/>
  <c r="AD158" i="2"/>
  <c r="AD202" i="2" s="1"/>
  <c r="AD153" i="2"/>
  <c r="AD197" i="2" s="1"/>
  <c r="AD150" i="2"/>
  <c r="AD194" i="2" s="1"/>
  <c r="AD250" i="2" s="1"/>
  <c r="AD274" i="2" s="1"/>
  <c r="AD189" i="2"/>
  <c r="AD233" i="2" s="1"/>
  <c r="AD176" i="2"/>
  <c r="AD220" i="2" s="1"/>
  <c r="AD163" i="2"/>
  <c r="AD207" i="2" s="1"/>
  <c r="AD162" i="2"/>
  <c r="AD206" i="2" s="1"/>
  <c r="AD167" i="2"/>
  <c r="AD211" i="2" s="1"/>
  <c r="AD252" i="2" s="1"/>
  <c r="AD276" i="2" s="1"/>
  <c r="AD169" i="2"/>
  <c r="AD213" i="2" s="1"/>
  <c r="AD130" i="2"/>
  <c r="AD178" i="2" s="1"/>
  <c r="AD222" i="2" s="1"/>
  <c r="AD127" i="2"/>
  <c r="AD171" i="2" s="1"/>
  <c r="AD215" i="2" s="1"/>
  <c r="AD128" i="2"/>
  <c r="AD172" i="2" s="1"/>
  <c r="AD216" i="2" s="1"/>
  <c r="AD251" i="2" s="1"/>
  <c r="AD275" i="2" s="1"/>
  <c r="AD129" i="2"/>
  <c r="AD179" i="2" s="1"/>
  <c r="AD223" i="2" s="1"/>
  <c r="AD131" i="2"/>
  <c r="AD174" i="2" s="1"/>
  <c r="AD218" i="2" s="1"/>
  <c r="AD249" i="2" s="1"/>
  <c r="AD273" i="2" s="1"/>
  <c r="AD173" i="2" l="1"/>
  <c r="AD217" i="2" s="1"/>
  <c r="AD182" i="2"/>
  <c r="AD226" i="2" s="1"/>
  <c r="AD282" i="2"/>
  <c r="AF114" i="2"/>
  <c r="AD281" i="2"/>
  <c r="AD124" i="2"/>
  <c r="AD125" i="2"/>
  <c r="AD155" i="2" l="1"/>
  <c r="AD199" i="2" s="1"/>
  <c r="AF184" i="2"/>
  <c r="AF228" i="2" s="1"/>
  <c r="AF183" i="2"/>
  <c r="AF227" i="2" s="1"/>
  <c r="AF280" i="2"/>
  <c r="AD126" i="2"/>
  <c r="AE112" i="2"/>
  <c r="AE113" i="2" l="1"/>
  <c r="AE121" i="2" s="1"/>
  <c r="AE164" i="2"/>
  <c r="AE208" i="2" s="1"/>
  <c r="AE154" i="2"/>
  <c r="AE198" i="2" s="1"/>
  <c r="AE159" i="2"/>
  <c r="AE203" i="2" s="1"/>
  <c r="AE253" i="2" s="1"/>
  <c r="AE277" i="2" s="1"/>
  <c r="AD161" i="2"/>
  <c r="AD205" i="2" s="1"/>
  <c r="AD180" i="2"/>
  <c r="AD224" i="2" s="1"/>
  <c r="AD151" i="2"/>
  <c r="AD195" i="2" s="1"/>
  <c r="AD284" i="2"/>
  <c r="AD283" i="2"/>
  <c r="AE117" i="2"/>
  <c r="AE118" i="2"/>
  <c r="AD286" i="2" l="1"/>
  <c r="AE285" i="2"/>
  <c r="AE168" i="2"/>
  <c r="AE212" i="2" s="1"/>
  <c r="AE123" i="2"/>
  <c r="AE163" i="2" s="1"/>
  <c r="AE207" i="2" s="1"/>
  <c r="AE157" i="2"/>
  <c r="AE201" i="2" s="1"/>
  <c r="AD278" i="2"/>
  <c r="AE115" i="2"/>
  <c r="AE116" i="2"/>
  <c r="AE122" i="2"/>
  <c r="AE158" i="2" s="1"/>
  <c r="AE202" i="2" s="1"/>
  <c r="AE130" i="2" l="1"/>
  <c r="AE178" i="2" s="1"/>
  <c r="AE222" i="2" s="1"/>
  <c r="AE162" i="2"/>
  <c r="AE206" i="2" s="1"/>
  <c r="AE169" i="2"/>
  <c r="AE213" i="2" s="1"/>
  <c r="AE152" i="2"/>
  <c r="AE196" i="2" s="1"/>
  <c r="AE170" i="2"/>
  <c r="AE214" i="2" s="1"/>
  <c r="AE150" i="2"/>
  <c r="AE194" i="2" s="1"/>
  <c r="AE250" i="2" s="1"/>
  <c r="AE274" i="2" s="1"/>
  <c r="AE189" i="2"/>
  <c r="AE233" i="2" s="1"/>
  <c r="AE176" i="2"/>
  <c r="AE220" i="2" s="1"/>
  <c r="AE165" i="2"/>
  <c r="AE209" i="2" s="1"/>
  <c r="AE188" i="2"/>
  <c r="AE232" i="2" s="1"/>
  <c r="AE177" i="2"/>
  <c r="AE221" i="2" s="1"/>
  <c r="AE190" i="2"/>
  <c r="AE234" i="2" s="1"/>
  <c r="AE175" i="2"/>
  <c r="AE219" i="2" s="1"/>
  <c r="AE181" i="2"/>
  <c r="AE225" i="2" s="1"/>
  <c r="AE153" i="2"/>
  <c r="AE197" i="2" s="1"/>
  <c r="AE167" i="2"/>
  <c r="AE211" i="2" s="1"/>
  <c r="AE252" i="2" s="1"/>
  <c r="AE276" i="2" s="1"/>
  <c r="AE127" i="2"/>
  <c r="AE171" i="2" s="1"/>
  <c r="AE215" i="2" s="1"/>
  <c r="AE271" i="2"/>
  <c r="AE128" i="2"/>
  <c r="AE129" i="2"/>
  <c r="AE179" i="2" s="1"/>
  <c r="AE223" i="2" s="1"/>
  <c r="AE131" i="2"/>
  <c r="AE174" i="2" s="1"/>
  <c r="AE218" i="2" s="1"/>
  <c r="AE249" i="2" s="1"/>
  <c r="AE273" i="2" s="1"/>
  <c r="AE173" i="2" l="1"/>
  <c r="AE217" i="2" s="1"/>
  <c r="AE182" i="2"/>
  <c r="AE226" i="2" s="1"/>
  <c r="AE172" i="2"/>
  <c r="AE216" i="2" s="1"/>
  <c r="AE251" i="2" s="1"/>
  <c r="AE275" i="2" s="1"/>
  <c r="AE124" i="2"/>
  <c r="AE125" i="2"/>
  <c r="AE281" i="2"/>
  <c r="AE155" i="2" l="1"/>
  <c r="AE199" i="2" s="1"/>
  <c r="AE126" i="2"/>
  <c r="AE284" i="2"/>
  <c r="AF112" i="2"/>
  <c r="AE283" i="2"/>
  <c r="AF113" i="2" l="1"/>
  <c r="AF121" i="2" s="1"/>
  <c r="AF164" i="2"/>
  <c r="AF208" i="2" s="1"/>
  <c r="AF154" i="2"/>
  <c r="AF198" i="2" s="1"/>
  <c r="AF159" i="2"/>
  <c r="AF203" i="2" s="1"/>
  <c r="AF253" i="2" s="1"/>
  <c r="AF277" i="2" s="1"/>
  <c r="AE161" i="2"/>
  <c r="AE205" i="2" s="1"/>
  <c r="AE180" i="2"/>
  <c r="AE224" i="2" s="1"/>
  <c r="AE151" i="2"/>
  <c r="AE195" i="2" s="1"/>
  <c r="AE282" i="2"/>
  <c r="AE286" i="2" s="1"/>
  <c r="AF118" i="2"/>
  <c r="AF117" i="2"/>
  <c r="AF123" i="2" l="1"/>
  <c r="AF163" i="2" s="1"/>
  <c r="AF207" i="2" s="1"/>
  <c r="AF168" i="2"/>
  <c r="AF212" i="2" s="1"/>
  <c r="AF285" i="2"/>
  <c r="AF157" i="2"/>
  <c r="AF201" i="2" s="1"/>
  <c r="AE278" i="2"/>
  <c r="AF115" i="2"/>
  <c r="AF116" i="2"/>
  <c r="AF122" i="2"/>
  <c r="AF158" i="2" s="1"/>
  <c r="AF202" i="2" s="1"/>
  <c r="AF153" i="2" l="1"/>
  <c r="AF197" i="2" s="1"/>
  <c r="AF130" i="2"/>
  <c r="AF178" i="2" s="1"/>
  <c r="AF222" i="2" s="1"/>
  <c r="AF162" i="2"/>
  <c r="AF206" i="2" s="1"/>
  <c r="AF169" i="2"/>
  <c r="AF213" i="2" s="1"/>
  <c r="AF167" i="2"/>
  <c r="AF211" i="2" s="1"/>
  <c r="AF252" i="2" s="1"/>
  <c r="AF276" i="2" s="1"/>
  <c r="AF152" i="2"/>
  <c r="AF196" i="2" s="1"/>
  <c r="AF170" i="2"/>
  <c r="AF214" i="2" s="1"/>
  <c r="AF271" i="2"/>
  <c r="AF165" i="2"/>
  <c r="AF209" i="2" s="1"/>
  <c r="AF188" i="2"/>
  <c r="AF232" i="2" s="1"/>
  <c r="AF190" i="2"/>
  <c r="AF234" i="2" s="1"/>
  <c r="AF177" i="2"/>
  <c r="AF221" i="2" s="1"/>
  <c r="AF175" i="2"/>
  <c r="AF219" i="2" s="1"/>
  <c r="AF181" i="2"/>
  <c r="AF225" i="2" s="1"/>
  <c r="AF189" i="2"/>
  <c r="AF233" i="2" s="1"/>
  <c r="AF150" i="2"/>
  <c r="AF194" i="2" s="1"/>
  <c r="AF250" i="2" s="1"/>
  <c r="AF274" i="2" s="1"/>
  <c r="AF176" i="2"/>
  <c r="AF220" i="2" s="1"/>
  <c r="AF127" i="2"/>
  <c r="AF171" i="2" s="1"/>
  <c r="AF215" i="2" s="1"/>
  <c r="AF131" i="2"/>
  <c r="AF174" i="2" s="1"/>
  <c r="AF218" i="2" s="1"/>
  <c r="AF249" i="2" s="1"/>
  <c r="AF273" i="2" s="1"/>
  <c r="AF128" i="2"/>
  <c r="AF172" i="2" s="1"/>
  <c r="AF216" i="2" s="1"/>
  <c r="AF251" i="2" s="1"/>
  <c r="AF275" i="2" s="1"/>
  <c r="AF129" i="2"/>
  <c r="AF179" i="2" s="1"/>
  <c r="AF223" i="2" s="1"/>
  <c r="AF173" i="2" l="1"/>
  <c r="AF217" i="2" s="1"/>
  <c r="AF182" i="2"/>
  <c r="AF226" i="2" s="1"/>
  <c r="AF281" i="2"/>
  <c r="AF124" i="2"/>
  <c r="AF125" i="2"/>
  <c r="AF155" i="2" l="1"/>
  <c r="AF199" i="2" s="1"/>
  <c r="AF126" i="2"/>
  <c r="AF284" i="2"/>
  <c r="AF283" i="2"/>
  <c r="AF161" i="2" l="1"/>
  <c r="AF205" i="2" s="1"/>
  <c r="AF180" i="2"/>
  <c r="AF224" i="2" s="1"/>
  <c r="AF151" i="2"/>
  <c r="AF195" i="2" s="1"/>
  <c r="AF282" i="2"/>
  <c r="AF286" i="2" s="1"/>
  <c r="AF27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tc={34799B54-E476-4637-8EB4-0A5F4FC3BB57}</author>
    <author>tc={0FDF260F-B7D8-4AEA-AF23-E91AFDB184C0}</author>
    <author>tc={11B281BE-16D7-437C-8C35-69F3AFE41E06}</author>
    <author>tc={CDDD860B-D080-4D56-B9A6-C1C8E06F23A8}</author>
    <author>tc={C5CEEA94-7AF3-4F54-81B6-7903B19EA6E9}</author>
  </authors>
  <commentList>
    <comment ref="D10" authorId="0" shapeId="0" xr:uid="{34799B54-E476-4637-8EB4-0A5F4FC3BB57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Rationale for Price Elasticity needs to be provided.</t>
      </text>
    </comment>
    <comment ref="E35" authorId="1" shapeId="0" xr:uid="{0FDF260F-B7D8-4AEA-AF23-E91AFDB184C0}">
      <text>
        <t>[Threaded comment]
Your version of Excel allows you to read this threaded comment; however, any edits to it will get removed if the file is opened in a newer version of Excel. Learn more: https://go.microsoft.com/fwlink/?linkid=870924
Comment:
    Carbon Price Change * Carbon Intensity - Carbon Intensity Change* Carbon Reduction (Scope1/2) - Carbon Intensity Change* Carbon Reduction (Scope 3).</t>
      </text>
    </comment>
    <comment ref="F35" authorId="2" shapeId="0" xr:uid="{11B281BE-16D7-437C-8C35-69F3AFE41E0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 Carbon Price is the previous year.</t>
      </text>
    </comment>
    <comment ref="F36" authorId="3" shapeId="0" xr:uid="{CDDD860B-D080-4D56-B9A6-C1C8E06F23A8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 Carbon Price is the 2022 Carbon Price (Cell - D31)</t>
      </text>
    </comment>
    <comment ref="E37" authorId="4" shapeId="0" xr:uid="{C5CEEA94-7AF3-4F54-81B6-7903B19EA6E9}">
      <text>
        <t>[Threaded comment]
Your version of Excel allows you to read this threaded comment; however, any edits to it will get removed if the file is opened in a newer version of Excel. Learn more: https://go.microsoft.com/fwlink/?linkid=870924
Comment:
    Carbon Price Change* Carbon Intensity (Scope3)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<sst xmlns="http://schemas.openxmlformats.org/spreadsheetml/2006/main" count="3300" uniqueCount="293">
  <si>
    <t>Scenario assumptions</t>
  </si>
  <si>
    <t>Scenario Type</t>
  </si>
  <si>
    <t>Sr. No</t>
  </si>
  <si>
    <t>Company/Client Name</t>
  </si>
  <si>
    <t>Tables Sheet Name</t>
  </si>
  <si>
    <t>Input Sheet</t>
  </si>
  <si>
    <t>Selected Company/Client Sheet Name</t>
  </si>
  <si>
    <t>Input Sheet name</t>
  </si>
  <si>
    <t>Base</t>
  </si>
  <si>
    <t>Equally Weighted</t>
  </si>
  <si>
    <t>Coal India</t>
  </si>
  <si>
    <t>Steel</t>
  </si>
  <si>
    <t>Below 2Â°C</t>
  </si>
  <si>
    <t>Markov 100%</t>
  </si>
  <si>
    <t>NLC CIL</t>
  </si>
  <si>
    <t xml:space="preserve">Current Policies </t>
  </si>
  <si>
    <t>What-if 100%</t>
  </si>
  <si>
    <t>Bharat Petroleum</t>
  </si>
  <si>
    <t>Mining</t>
  </si>
  <si>
    <t>Delayed transition</t>
  </si>
  <si>
    <t>HPCL</t>
  </si>
  <si>
    <t>Petroleum</t>
  </si>
  <si>
    <t>Divergent Net Zero</t>
  </si>
  <si>
    <t>Ultratech Cement ltd</t>
  </si>
  <si>
    <t xml:space="preserve">Nationally Determined Contributions (NDCs) </t>
  </si>
  <si>
    <t>Net Zero 2050</t>
  </si>
  <si>
    <t>Deloitte Climate Risk Stress Testing Carbon Elasticity Model Tool</t>
  </si>
  <si>
    <t>Setup New Company Profile</t>
  </si>
  <si>
    <t>Select Company Name</t>
  </si>
  <si>
    <t>JSW</t>
  </si>
  <si>
    <t>Sector</t>
  </si>
  <si>
    <t>PD Data generated by CEM</t>
  </si>
  <si>
    <t>PD</t>
  </si>
  <si>
    <t>Below 2°C</t>
  </si>
  <si>
    <t>Current Policies</t>
  </si>
  <si>
    <t>Nationally Determined Contributions (NDCs)</t>
  </si>
  <si>
    <t>Select Scenerio Type</t>
  </si>
  <si>
    <t>Data</t>
  </si>
  <si>
    <t>Revenue</t>
  </si>
  <si>
    <t>EBIDTA</t>
  </si>
  <si>
    <t>EBIT</t>
  </si>
  <si>
    <t>Interest Expenses</t>
  </si>
  <si>
    <t>Total Debt</t>
  </si>
  <si>
    <t>Book Capitalization</t>
  </si>
  <si>
    <t>Tangible Assets</t>
  </si>
  <si>
    <t>CF</t>
  </si>
  <si>
    <t>Dividend</t>
  </si>
  <si>
    <t>CF-Dividend</t>
  </si>
  <si>
    <t>Scenario Analysis</t>
  </si>
  <si>
    <t>NGFS Scenario</t>
  </si>
  <si>
    <t>Carbon Elasticity Model</t>
  </si>
  <si>
    <t>Static Parameters</t>
  </si>
  <si>
    <t>Price Elasticity (ε)</t>
  </si>
  <si>
    <t>Market Cost Elasticity (η)</t>
  </si>
  <si>
    <r>
      <t>Firm Cost Elasticity (η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)</t>
    </r>
  </si>
  <si>
    <t>Firm Profit</t>
  </si>
  <si>
    <t>Weight - Markov (with no market recovery for the Net Zero 2050 scenario)</t>
  </si>
  <si>
    <t>Weight - What-if (with full market recovery for the Net Zero 2050 scenario)</t>
  </si>
  <si>
    <t>(Delta CP*CI(Scope 1/2))/MP	-	(CR(Scope 1/2)*Delta CI (Scope 1/2))/MP	-	(CR(Scope 3)*Delta CI (Scope 3))/MP</t>
  </si>
  <si>
    <r>
      <t xml:space="preserve">1 / (1 - </t>
    </r>
    <r>
      <rPr>
        <sz val="11"/>
        <rFont val="Calibri"/>
        <family val="2"/>
      </rPr>
      <t>ε · (η - 1)</t>
    </r>
    <r>
      <rPr>
        <sz val="11"/>
        <rFont val="Calibri"/>
        <family val="2"/>
        <scheme val="minor"/>
      </rPr>
      <t>)</t>
    </r>
  </si>
  <si>
    <r>
      <t xml:space="preserve">ε / (1 - </t>
    </r>
    <r>
      <rPr>
        <sz val="11"/>
        <rFont val="Calibri"/>
        <family val="2"/>
      </rPr>
      <t>ε · (η - 1)</t>
    </r>
    <r>
      <rPr>
        <sz val="11"/>
        <rFont val="Calibri"/>
        <family val="2"/>
        <scheme val="minor"/>
      </rPr>
      <t>)</t>
    </r>
  </si>
  <si>
    <r>
      <t xml:space="preserve">ε · (η - 1) / (1 - </t>
    </r>
    <r>
      <rPr>
        <sz val="11"/>
        <rFont val="Calibri"/>
        <family val="2"/>
      </rPr>
      <t>ε · (η - 1)</t>
    </r>
    <r>
      <rPr>
        <sz val="11"/>
        <rFont val="Calibri"/>
        <family val="2"/>
        <scheme val="minor"/>
      </rPr>
      <t>)</t>
    </r>
  </si>
  <si>
    <r>
      <t>1 / (η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- 1)</t>
    </r>
  </si>
  <si>
    <t>Input Parameters</t>
  </si>
  <si>
    <t>Market Carbon Intensity (Scope 1/2)</t>
  </si>
  <si>
    <t>Market Carbon Intensity (Scope 3)</t>
  </si>
  <si>
    <t>Firm Carbon Intensity (Scope 1/2)</t>
  </si>
  <si>
    <t>Firm Carbon Intensity (Scope 3)</t>
  </si>
  <si>
    <t>Market Carbon Reduction (Scope 1/2)</t>
  </si>
  <si>
    <t>Market Carbon Reduction (Scope 3)</t>
  </si>
  <si>
    <t>Firm Carbon Reduction (Scope 1/2)</t>
  </si>
  <si>
    <t>Firm Carbon Reduction (Scope 3)</t>
  </si>
  <si>
    <t>Scenario Carbon Price</t>
  </si>
  <si>
    <t>Scenario Carbon Price (Market)</t>
  </si>
  <si>
    <t>Algorithm</t>
  </si>
  <si>
    <t>Market Cost Add-on</t>
  </si>
  <si>
    <t>Incremental - Markov</t>
  </si>
  <si>
    <t>Incremental - What-if</t>
  </si>
  <si>
    <t>Market Price Add-on</t>
  </si>
  <si>
    <t>Market Price</t>
  </si>
  <si>
    <t>Absolute</t>
  </si>
  <si>
    <t>Market Quantity</t>
  </si>
  <si>
    <t>Firm Cost Add-on</t>
  </si>
  <si>
    <t>Firm Quantity</t>
  </si>
  <si>
    <t>Firm Revenue</t>
  </si>
  <si>
    <t>Firm Cost</t>
  </si>
  <si>
    <t>Recasted P&amp;L and B/S Metrics</t>
  </si>
  <si>
    <t>Tax Rate</t>
  </si>
  <si>
    <t>Fixed Value</t>
  </si>
  <si>
    <t>Funding Rate</t>
  </si>
  <si>
    <t>Implied</t>
  </si>
  <si>
    <t>α_D</t>
  </si>
  <si>
    <t>α_D&amp;A</t>
  </si>
  <si>
    <t>α_NetIncome</t>
  </si>
  <si>
    <t>α_RCF</t>
  </si>
  <si>
    <t>α_FCF</t>
  </si>
  <si>
    <t>α_FFO</t>
  </si>
  <si>
    <t>α_CFO</t>
  </si>
  <si>
    <t>α_Cash</t>
  </si>
  <si>
    <t>α_MarketSec</t>
  </si>
  <si>
    <t>α_NetDebt</t>
  </si>
  <si>
    <r>
      <t>Weight - Assets (</t>
    </r>
    <r>
      <rPr>
        <sz val="11"/>
        <rFont val="Calibri"/>
        <family val="2"/>
      </rPr>
      <t>ω)</t>
    </r>
  </si>
  <si>
    <t>Weight - Debt</t>
  </si>
  <si>
    <t>P&amp;L / CF / BS ($ millions)</t>
  </si>
  <si>
    <t>P&amp;L – Revenues</t>
  </si>
  <si>
    <t>P&amp;L – EBITDA</t>
  </si>
  <si>
    <t>P&amp;L – Depreciations</t>
  </si>
  <si>
    <t>P&amp;L – EBITA</t>
  </si>
  <si>
    <t>P&amp;L – Depreciations &amp; Amortizations</t>
  </si>
  <si>
    <t>P&amp;L – EBIT</t>
  </si>
  <si>
    <t>P&amp;L – Interest Expenses</t>
  </si>
  <si>
    <t>P&amp;L – Net Income</t>
  </si>
  <si>
    <t>P&amp;L – Operating Income</t>
  </si>
  <si>
    <t>CF – Retained Cash Flow</t>
  </si>
  <si>
    <t>CF – Free Cash Flow</t>
  </si>
  <si>
    <t>CF – Funds from Operations</t>
  </si>
  <si>
    <t>CF – Cash Flow from Operations</t>
  </si>
  <si>
    <t>CF – Dividends</t>
  </si>
  <si>
    <t>CF – Capital Expenditure</t>
  </si>
  <si>
    <t>BS – Equity</t>
  </si>
  <si>
    <t>BS – Total Assets</t>
  </si>
  <si>
    <t>BS – Total Debt</t>
  </si>
  <si>
    <t>BS – Cash</t>
  </si>
  <si>
    <t>BS – Marketable Securities</t>
  </si>
  <si>
    <t>BS – Net Debt</t>
  </si>
  <si>
    <t>BS – Preferred Stock</t>
  </si>
  <si>
    <t>BS – Book Capitalization</t>
  </si>
  <si>
    <t>BS – Capitalized Interest</t>
  </si>
  <si>
    <t>BS – Secured Debt</t>
  </si>
  <si>
    <t>BS – Tangible Assets</t>
  </si>
  <si>
    <t>Ratios</t>
  </si>
  <si>
    <t>EBITA / Revenues</t>
  </si>
  <si>
    <t>Total Debt / EBITDA</t>
  </si>
  <si>
    <t>Retained Cash Flow / Net Debt</t>
  </si>
  <si>
    <t>Retained Cash Flow / Total Debt</t>
  </si>
  <si>
    <t>Free Cash Flow / Total Debt</t>
  </si>
  <si>
    <t>EBITA / Interest Expenses</t>
  </si>
  <si>
    <t>(Cash + Marketable Securities) / Total Debt</t>
  </si>
  <si>
    <t>EBIT / Revenues</t>
  </si>
  <si>
    <t>(Funds from Operations + Interest Expenses) / Interest Expenses</t>
  </si>
  <si>
    <t>Equity / Total Assets</t>
  </si>
  <si>
    <t>EBIT / Interest Expenses</t>
  </si>
  <si>
    <t>EBITDA / Revenues</t>
  </si>
  <si>
    <t>Net Debt / EBITDA</t>
  </si>
  <si>
    <t>Funds from Operations / Total Debt</t>
  </si>
  <si>
    <t>Cash Flow from Operations / Total Debt</t>
  </si>
  <si>
    <t>EBITDA / Interest Expenses</t>
  </si>
  <si>
    <t>Total Assets</t>
  </si>
  <si>
    <t>Revenues</t>
  </si>
  <si>
    <t>(Cash Flow from Operations - Dividends) / Total Debt</t>
  </si>
  <si>
    <t>(Cash Flow from Operations + Interest Expenses) / Interest Expenses</t>
  </si>
  <si>
    <t>(Funds from Operations - Capital Expenditures) / Dividends</t>
  </si>
  <si>
    <t>(Retained Cash Flow - Capital Expenditures) / Total Debt</t>
  </si>
  <si>
    <t>(Total Debt + Preferred Stocks) / Total Assets</t>
  </si>
  <si>
    <t>Total Debt / Book Capitalization</t>
  </si>
  <si>
    <t>EBIT / Book Capitalization</t>
  </si>
  <si>
    <t>EBIT / Tangible Assets</t>
  </si>
  <si>
    <t>EBIT / Total Assets</t>
  </si>
  <si>
    <t>Revenues / Total Debt</t>
  </si>
  <si>
    <t>EBITA / Total Assets</t>
  </si>
  <si>
    <t>Secured Debt / Total Assets</t>
  </si>
  <si>
    <t>EBITDA / (Interest Expenses + Capitalized Interest + Dividends)</t>
  </si>
  <si>
    <t>Funds from Operations / Net Debt</t>
  </si>
  <si>
    <t>Operating Income / Total Assets</t>
  </si>
  <si>
    <t>Operating Income / Book Capitalization</t>
  </si>
  <si>
    <t>Operating Income / Revenues</t>
  </si>
  <si>
    <t>Operating Income</t>
  </si>
  <si>
    <t>EBITA</t>
  </si>
  <si>
    <t>EBITDA</t>
  </si>
  <si>
    <t>Total Assets (Mn EUR)</t>
  </si>
  <si>
    <t>Total Debt / Total Assets</t>
  </si>
  <si>
    <t>EBITDA  /  Total Assets</t>
  </si>
  <si>
    <t>Normalized Ratios</t>
  </si>
  <si>
    <t>NA</t>
  </si>
  <si>
    <r>
      <rPr>
        <b/>
        <sz val="16"/>
        <color rgb="FF000000"/>
        <rFont val="Calibri"/>
        <family val="2"/>
      </rPr>
      <t>Rating Model:   PD = PD</t>
    </r>
    <r>
      <rPr>
        <b/>
        <vertAlign val="subscript"/>
        <sz val="16"/>
        <color rgb="FF000000"/>
        <rFont val="Calibri"/>
        <family val="2"/>
      </rPr>
      <t>0</t>
    </r>
    <r>
      <rPr>
        <b/>
        <sz val="16"/>
        <color rgb="FF000000"/>
        <rFont val="Calibri"/>
        <family val="2"/>
      </rPr>
      <t xml:space="preserve"> · exp(ΔScore)   ΔScore = ∑</t>
    </r>
    <r>
      <rPr>
        <b/>
        <vertAlign val="subscript"/>
        <sz val="16"/>
        <color rgb="FF000000"/>
        <rFont val="Calibri"/>
        <family val="2"/>
      </rPr>
      <t>i</t>
    </r>
    <r>
      <rPr>
        <b/>
        <sz val="16"/>
        <color rgb="FF000000"/>
        <rFont val="Calibri"/>
        <family val="2"/>
      </rPr>
      <t xml:space="preserve"> β</t>
    </r>
    <r>
      <rPr>
        <b/>
        <vertAlign val="subscript"/>
        <sz val="16"/>
        <color rgb="FF000000"/>
        <rFont val="Calibri"/>
        <family val="2"/>
      </rPr>
      <t>i</t>
    </r>
    <r>
      <rPr>
        <b/>
        <sz val="16"/>
        <color rgb="FF000000"/>
        <rFont val="Calibri"/>
        <family val="2"/>
      </rPr>
      <t xml:space="preserve"> · ΔNormRatio</t>
    </r>
    <r>
      <rPr>
        <b/>
        <vertAlign val="subscript"/>
        <sz val="16"/>
        <color rgb="FF000000"/>
        <rFont val="Calibri"/>
        <family val="2"/>
      </rPr>
      <t>i</t>
    </r>
  </si>
  <si>
    <t>Updated Masterscale</t>
  </si>
  <si>
    <t>AAA</t>
  </si>
  <si>
    <t>AA+</t>
  </si>
  <si>
    <t>AA</t>
  </si>
  <si>
    <t>AA-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</si>
  <si>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</si>
  <si>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</si>
  <si>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</si>
  <si>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</si>
  <si>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</si>
  <si>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</si>
  <si>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</si>
  <si>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</si>
  <si>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</si>
  <si>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</si>
  <si>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</si>
  <si>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</si>
  <si>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CCC+</t>
  </si>
  <si>
    <t>CCC</t>
  </si>
  <si>
    <t>CCC-</t>
  </si>
  <si>
    <t>CC</t>
  </si>
  <si>
    <t>C</t>
  </si>
  <si>
    <t>Initial Rating</t>
  </si>
  <si>
    <t>Rating</t>
  </si>
  <si>
    <t>Selected Ratios</t>
  </si>
  <si>
    <t>β</t>
  </si>
  <si>
    <r>
      <rPr>
        <b/>
        <sz val="11"/>
        <rFont val="Calibri"/>
        <family val="2"/>
      </rPr>
      <t>Δ</t>
    </r>
    <r>
      <rPr>
        <b/>
        <sz val="11"/>
        <rFont val="Calibri"/>
        <family val="2"/>
        <scheme val="minor"/>
      </rPr>
      <t>Score &amp; PD</t>
    </r>
  </si>
  <si>
    <t>(-)</t>
  </si>
  <si>
    <t>(+)</t>
  </si>
  <si>
    <t>End of File</t>
  </si>
  <si>
    <r>
      <t>•</t>
    </r>
    <r>
      <rPr>
        <sz val="14"/>
        <color rgb="FF525355"/>
        <rFont val="Arial"/>
        <family val="2"/>
      </rPr>
      <t>We have implemented a hybrid version between a Markov approach (with no market recovery for the Net Zero 2050 scenario) and a what-if analysis (with full market recovery for the Net Zero 2050 scenario). In the Markov approach, each year t represents a new market equilibrium for the evolution in t+1, while in the what-if analysis only the base year t = 0 represents a market equilibrium.</t>
    </r>
  </si>
  <si>
    <t>Consolidated</t>
  </si>
  <si>
    <t>In Cr (INR)</t>
  </si>
  <si>
    <t>In Million (INR)</t>
  </si>
  <si>
    <t>In USD Millions (1 USD = 83.21 INR)</t>
  </si>
  <si>
    <t>Source</t>
  </si>
  <si>
    <t>Exchange Rate</t>
  </si>
  <si>
    <t>Tax Expense/ PBT</t>
  </si>
  <si>
    <t>Operating EBITDA</t>
  </si>
  <si>
    <t>Ammortisation not given as separate expense. Assumed to be 0 (EBIDTA -Dep and Ammortisation)</t>
  </si>
  <si>
    <t>We were getting EBITA&lt;EBIT, thus we have considered the same value for both.</t>
  </si>
  <si>
    <t>Taken from page 245</t>
  </si>
  <si>
    <t>CF Investing, Dividend Paid</t>
  </si>
  <si>
    <t xml:space="preserve">CF Investing </t>
  </si>
  <si>
    <t>Annual Report 2022-23</t>
  </si>
  <si>
    <t>Derivative assets + Other financial assets</t>
  </si>
  <si>
    <t>PAT</t>
  </si>
  <si>
    <t>Total Revenue</t>
  </si>
  <si>
    <t>PAT/ Total Revenue</t>
  </si>
  <si>
    <t>GHG Emissions</t>
  </si>
  <si>
    <t xml:space="preserve">Firm Intensity (Scope 1/2) </t>
  </si>
  <si>
    <t xml:space="preserve">Firm Intensity (Scope 3) </t>
  </si>
  <si>
    <t xml:space="preserve">Market Intensity (Scope 1&amp;2) </t>
  </si>
  <si>
    <t>Scope 1</t>
  </si>
  <si>
    <t>Scope 2</t>
  </si>
  <si>
    <t>Scope 3</t>
  </si>
  <si>
    <t>Variable</t>
  </si>
  <si>
    <t>Model</t>
  </si>
  <si>
    <t>Scenario</t>
  </si>
  <si>
    <t>Region_Scenario</t>
  </si>
  <si>
    <t>Price|Carbon</t>
  </si>
  <si>
    <t>REMIND-MAgPIE 3.0-4.4 IntegratedPhysicalDamages (median)</t>
  </si>
  <si>
    <t>IND</t>
  </si>
  <si>
    <t>Fragmented World</t>
  </si>
  <si>
    <t>Fitch Issuer Default  Rating - X Month-Year</t>
  </si>
  <si>
    <t>Sector Model- Moody's</t>
  </si>
  <si>
    <t>Factors</t>
  </si>
  <si>
    <t>Weights</t>
  </si>
  <si>
    <t>Scaled Weights</t>
  </si>
  <si>
    <t>Business profile</t>
  </si>
  <si>
    <t>EBIT Margin</t>
  </si>
  <si>
    <t>EBIT/Tangible Assets</t>
  </si>
  <si>
    <t>Debt/EBITDA</t>
  </si>
  <si>
    <t>Debt/Book Capitalization</t>
  </si>
  <si>
    <t>(CFO-Dividends)/Debt</t>
  </si>
  <si>
    <t>EBIT/Interest Expense</t>
  </si>
  <si>
    <t>Financial Policy</t>
  </si>
  <si>
    <t>Total</t>
  </si>
  <si>
    <t>Scaling Factor</t>
  </si>
  <si>
    <t>1 Euro to Dollar</t>
  </si>
  <si>
    <t>Sector Carbon Emission - India</t>
  </si>
  <si>
    <t>KGCO2E/ euro</t>
  </si>
  <si>
    <t>KGCO2E/USD</t>
  </si>
  <si>
    <t>TCO2E/USD</t>
  </si>
  <si>
    <t>TCO2E/USD Million</t>
  </si>
  <si>
    <t>Distance-to-Default Parameters (Mn $)</t>
  </si>
  <si>
    <t>Elasticity Static Parameters</t>
  </si>
  <si>
    <t>Elasticity Dynamic Parameters</t>
  </si>
  <si>
    <t>Carbon Reduction ($/tCO2)</t>
  </si>
  <si>
    <t>Carbon Price ($/tCO2)</t>
  </si>
  <si>
    <t>Price Elasticity</t>
  </si>
  <si>
    <t xml:space="preserve">Market Carbon Intensity (Scope 1/2) </t>
  </si>
  <si>
    <t>Market Cost Elasticity</t>
  </si>
  <si>
    <t>Firm Cost Elasticity</t>
  </si>
  <si>
    <t>Net Income</t>
  </si>
  <si>
    <t>Retained Cash Flow</t>
  </si>
  <si>
    <t>Free Cash Flow</t>
  </si>
  <si>
    <t>Funds from Operations</t>
  </si>
  <si>
    <t>Firm</t>
  </si>
  <si>
    <t>Cash Flow from Operations</t>
  </si>
  <si>
    <t>Equity</t>
  </si>
  <si>
    <t>Weight Markov</t>
  </si>
  <si>
    <t>Cash</t>
  </si>
  <si>
    <t>Marketable Securities</t>
  </si>
  <si>
    <t>Considered equivalent to Current Policies</t>
  </si>
  <si>
    <t>Net Debt</t>
  </si>
  <si>
    <t>Tangible Asset</t>
  </si>
  <si>
    <t>Dividends</t>
  </si>
  <si>
    <t>Capital Expenditure</t>
  </si>
  <si>
    <t>Preferred Stock</t>
  </si>
  <si>
    <t>Capitalized interest</t>
  </si>
  <si>
    <t>Secured Debt</t>
  </si>
  <si>
    <t>Depreciations</t>
  </si>
  <si>
    <t>Depreciations &amp; Amortizations</t>
  </si>
  <si>
    <t xml:space="preserve">5,33,467.55 </t>
  </si>
  <si>
    <t>1,60,803.98</t>
  </si>
  <si>
    <t>4,66,192.35</t>
  </si>
  <si>
    <t>1,54,485.03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</si>
</sst>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%"/>
    <numFmt numFmtId="165" formatCode="0.000%"/>
    <numFmt numFmtId="166" formatCode="0.000"/>
    <numFmt numFmtId="167" formatCode="0.0000"/>
    <numFmt numFmtId="168" formatCode="_(* #,##0_);_(* \(#,##0\);_(* &quot;-&quot;??_);_(@_)"/>
    <numFmt numFmtId="169" formatCode="0.000000%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</font>
    <font>
      <sz val="1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4"/>
      <color theme="1"/>
      <name val="Arial"/>
      <family val="2"/>
    </font>
    <font>
      <sz val="14"/>
      <color rgb="FF525355"/>
      <name val="Arial"/>
      <family val="2"/>
    </font>
    <font>
      <sz val="14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194">
    <xf numFmtId="0" fontId="0" fillId="0" borderId="0" xfId="0"/>
    <xf numFmtId="0" fontId="0" fillId="3" borderId="0" xfId="0" applyFill="1" applyAlignment="1">
      <alignment vertical="top"/>
    </xf>
    <xf numFmtId="0" fontId="3" fillId="3" borderId="0" xfId="0" applyFont="1" applyFill="1" applyAlignment="1">
      <alignment vertical="top"/>
    </xf>
    <xf numFmtId="4" fontId="0" fillId="3" borderId="1" xfId="0" applyNumberFormat="1" applyFill="1" applyBorder="1" applyAlignment="1">
      <alignment vertical="top"/>
    </xf>
    <xf numFmtId="10" fontId="0" fillId="3" borderId="1" xfId="0" applyNumberFormat="1" applyFill="1" applyBorder="1" applyAlignment="1">
      <alignment vertical="top"/>
    </xf>
    <xf numFmtId="9" fontId="0" fillId="3" borderId="5" xfId="0" applyNumberFormat="1" applyFill="1" applyBorder="1" applyAlignment="1">
      <alignment vertical="top"/>
    </xf>
    <xf numFmtId="0" fontId="0" fillId="3" borderId="7" xfId="0" applyFill="1" applyBorder="1" applyAlignment="1">
      <alignment vertical="top"/>
    </xf>
    <xf numFmtId="0" fontId="0" fillId="3" borderId="5" xfId="0" applyFill="1" applyBorder="1" applyAlignment="1">
      <alignment vertical="top"/>
    </xf>
    <xf numFmtId="4" fontId="0" fillId="3" borderId="0" xfId="0" applyNumberFormat="1" applyFill="1" applyAlignment="1">
      <alignment vertical="top"/>
    </xf>
    <xf numFmtId="3" fontId="0" fillId="3" borderId="1" xfId="0" applyNumberFormat="1" applyFill="1" applyBorder="1" applyAlignment="1">
      <alignment vertical="top"/>
    </xf>
    <xf numFmtId="10" fontId="0" fillId="3" borderId="5" xfId="0" applyNumberFormat="1" applyFill="1" applyBorder="1" applyAlignment="1">
      <alignment vertical="top"/>
    </xf>
    <xf numFmtId="164" fontId="0" fillId="3" borderId="1" xfId="0" applyNumberFormat="1" applyFill="1" applyBorder="1" applyAlignment="1">
      <alignment vertical="top"/>
    </xf>
    <xf numFmtId="165" fontId="0" fillId="3" borderId="1" xfId="0" applyNumberFormat="1" applyFill="1" applyBorder="1" applyAlignment="1">
      <alignment vertical="top"/>
    </xf>
    <xf numFmtId="0" fontId="0" fillId="3" borderId="0" xfId="0" applyFill="1" applyAlignment="1">
      <alignment horizontal="center" vertical="top"/>
    </xf>
    <xf numFmtId="165" fontId="0" fillId="3" borderId="0" xfId="0" applyNumberFormat="1" applyFill="1" applyAlignment="1">
      <alignment vertical="top"/>
    </xf>
    <xf numFmtId="2" fontId="0" fillId="3" borderId="0" xfId="0" applyNumberFormat="1" applyFill="1" applyAlignment="1">
      <alignment vertical="top"/>
    </xf>
    <xf numFmtId="0" fontId="5" fillId="3" borderId="0" xfId="0" applyFont="1" applyFill="1" applyAlignment="1">
      <alignment vertical="top"/>
    </xf>
    <xf numFmtId="0" fontId="7" fillId="3" borderId="0" xfId="0" applyFont="1" applyFill="1" applyAlignment="1">
      <alignment vertical="top"/>
    </xf>
    <xf numFmtId="0" fontId="4" fillId="3" borderId="1" xfId="0" applyFont="1" applyFill="1" applyBorder="1" applyAlignment="1">
      <alignment vertical="top"/>
    </xf>
    <xf numFmtId="0" fontId="4" fillId="3" borderId="0" xfId="0" applyFont="1" applyFill="1" applyAlignment="1">
      <alignment vertical="top"/>
    </xf>
    <xf numFmtId="0" fontId="4" fillId="3" borderId="2" xfId="0" applyFont="1" applyFill="1" applyBorder="1" applyAlignment="1">
      <alignment vertical="top"/>
    </xf>
    <xf numFmtId="0" fontId="4" fillId="3" borderId="3" xfId="0" applyFont="1" applyFill="1" applyBorder="1" applyAlignment="1">
      <alignment vertical="top"/>
    </xf>
    <xf numFmtId="0" fontId="4" fillId="3" borderId="6" xfId="0" applyFont="1" applyFill="1" applyBorder="1" applyAlignment="1">
      <alignment vertical="top"/>
    </xf>
    <xf numFmtId="3" fontId="4" fillId="3" borderId="1" xfId="0" applyNumberFormat="1" applyFont="1" applyFill="1" applyBorder="1" applyAlignment="1">
      <alignment vertical="top"/>
    </xf>
    <xf numFmtId="3" fontId="4" fillId="0" borderId="1" xfId="0" applyNumberFormat="1" applyFont="1" applyBorder="1" applyAlignment="1">
      <alignment vertical="top"/>
    </xf>
    <xf numFmtId="0" fontId="4" fillId="0" borderId="0" xfId="0" applyFont="1" applyAlignment="1">
      <alignment vertical="top"/>
    </xf>
    <xf numFmtId="166" fontId="0" fillId="3" borderId="1" xfId="0" applyNumberFormat="1" applyFill="1" applyBorder="1" applyAlignment="1">
      <alignment vertical="top"/>
    </xf>
    <xf numFmtId="166" fontId="0" fillId="3" borderId="0" xfId="0" applyNumberFormat="1" applyFill="1" applyAlignment="1">
      <alignment vertical="top"/>
    </xf>
    <xf numFmtId="164" fontId="0" fillId="3" borderId="0" xfId="0" applyNumberFormat="1" applyFill="1" applyAlignment="1">
      <alignment vertical="top"/>
    </xf>
    <xf numFmtId="165" fontId="0" fillId="3" borderId="1" xfId="0" applyNumberFormat="1" applyFill="1" applyBorder="1" applyAlignment="1">
      <alignment vertical="center"/>
    </xf>
    <xf numFmtId="0" fontId="0" fillId="3" borderId="0" xfId="0" applyFill="1" applyAlignment="1">
      <alignment vertical="center"/>
    </xf>
    <xf numFmtId="0" fontId="10" fillId="3" borderId="0" xfId="0" applyFont="1" applyFill="1" applyAlignment="1">
      <alignment horizontal="center" vertical="top"/>
    </xf>
    <xf numFmtId="9" fontId="0" fillId="3" borderId="1" xfId="0" applyNumberFormat="1" applyFill="1" applyBorder="1" applyAlignment="1">
      <alignment vertical="top"/>
    </xf>
    <xf numFmtId="0" fontId="12" fillId="3" borderId="0" xfId="0" applyFont="1" applyFill="1" applyAlignment="1">
      <alignment vertical="top"/>
    </xf>
    <xf numFmtId="0" fontId="3" fillId="4" borderId="0" xfId="0" applyFont="1" applyFill="1" applyAlignment="1">
      <alignment vertical="top"/>
    </xf>
    <xf numFmtId="0" fontId="0" fillId="0" borderId="1" xfId="0" applyBorder="1"/>
    <xf numFmtId="3" fontId="0" fillId="0" borderId="1" xfId="0" applyNumberFormat="1" applyBorder="1"/>
    <xf numFmtId="0" fontId="1" fillId="0" borderId="1" xfId="0" applyFont="1" applyBorder="1"/>
    <xf numFmtId="0" fontId="1" fillId="6" borderId="1" xfId="0" applyFont="1" applyFill="1" applyBorder="1"/>
    <xf numFmtId="0" fontId="16" fillId="3" borderId="0" xfId="0" applyFont="1" applyFill="1" applyAlignment="1">
      <alignment vertical="top"/>
    </xf>
    <xf numFmtId="10" fontId="0" fillId="0" borderId="1" xfId="0" applyNumberFormat="1" applyBorder="1" applyAlignment="1">
      <alignment vertical="top"/>
    </xf>
    <xf numFmtId="9" fontId="4" fillId="3" borderId="1" xfId="0" applyNumberFormat="1" applyFont="1" applyFill="1" applyBorder="1" applyAlignment="1">
      <alignment vertical="top"/>
    </xf>
    <xf numFmtId="0" fontId="17" fillId="3" borderId="0" xfId="0" applyFont="1" applyFill="1" applyAlignment="1">
      <alignment vertical="top"/>
    </xf>
    <xf numFmtId="10" fontId="0" fillId="0" borderId="5" xfId="0" applyNumberFormat="1" applyBorder="1" applyAlignment="1">
      <alignment vertical="top"/>
    </xf>
    <xf numFmtId="9" fontId="0" fillId="0" borderId="5" xfId="0" applyNumberFormat="1" applyBorder="1" applyAlignment="1">
      <alignment vertical="top"/>
    </xf>
    <xf numFmtId="2" fontId="0" fillId="3" borderId="1" xfId="0" applyNumberFormat="1" applyFill="1" applyBorder="1" applyAlignment="1">
      <alignment vertical="top"/>
    </xf>
    <xf numFmtId="10" fontId="0" fillId="3" borderId="0" xfId="0" applyNumberFormat="1" applyFill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4" xfId="0" applyFont="1" applyBorder="1" applyAlignment="1">
      <alignment vertical="top"/>
    </xf>
    <xf numFmtId="0" fontId="0" fillId="0" borderId="1" xfId="0" applyBorder="1" applyAlignment="1">
      <alignment vertical="top"/>
    </xf>
    <xf numFmtId="2" fontId="4" fillId="3" borderId="1" xfId="0" applyNumberFormat="1" applyFont="1" applyFill="1" applyBorder="1" applyAlignment="1">
      <alignment vertical="top"/>
    </xf>
    <xf numFmtId="0" fontId="0" fillId="10" borderId="15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9" fillId="0" borderId="0" xfId="0" applyFont="1"/>
    <xf numFmtId="0" fontId="1" fillId="2" borderId="1" xfId="0" applyFont="1" applyFill="1" applyBorder="1"/>
    <xf numFmtId="0" fontId="1" fillId="0" borderId="1" xfId="0" applyFont="1" applyBorder="1" applyAlignment="1">
      <alignment wrapText="1"/>
    </xf>
    <xf numFmtId="0" fontId="1" fillId="6" borderId="1" xfId="0" applyFont="1" applyFill="1" applyBorder="1" applyAlignment="1">
      <alignment horizontal="left" wrapText="1"/>
    </xf>
    <xf numFmtId="165" fontId="0" fillId="0" borderId="1" xfId="1" applyNumberFormat="1" applyFont="1" applyBorder="1"/>
    <xf numFmtId="0" fontId="1" fillId="0" borderId="1" xfId="0" applyFont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13" borderId="0" xfId="0" applyFont="1" applyFill="1"/>
    <xf numFmtId="0" fontId="1" fillId="7" borderId="1" xfId="0" applyFont="1" applyFill="1" applyBorder="1"/>
    <xf numFmtId="0" fontId="1" fillId="7" borderId="1" xfId="0" applyFont="1" applyFill="1" applyBorder="1" applyAlignment="1">
      <alignment vertical="top"/>
    </xf>
    <xf numFmtId="0" fontId="1" fillId="0" borderId="0" xfId="0" applyFont="1"/>
    <xf numFmtId="0" fontId="5" fillId="4" borderId="1" xfId="0" applyFont="1" applyFill="1" applyBorder="1" applyAlignment="1">
      <alignment vertical="top"/>
    </xf>
    <xf numFmtId="2" fontId="0" fillId="0" borderId="1" xfId="0" applyNumberFormat="1" applyBorder="1" applyAlignment="1">
      <alignment horizontal="right"/>
    </xf>
    <xf numFmtId="0" fontId="4" fillId="4" borderId="1" xfId="0" applyFont="1" applyFill="1" applyBorder="1" applyAlignment="1">
      <alignment vertical="top"/>
    </xf>
    <xf numFmtId="9" fontId="0" fillId="0" borderId="1" xfId="1" applyFont="1" applyFill="1" applyBorder="1" applyAlignment="1">
      <alignment horizontal="right"/>
    </xf>
    <xf numFmtId="9" fontId="0" fillId="0" borderId="1" xfId="1" applyFont="1" applyBorder="1" applyAlignment="1">
      <alignment horizontal="right"/>
    </xf>
    <xf numFmtId="0" fontId="0" fillId="0" borderId="1" xfId="0" applyBorder="1" applyAlignment="1">
      <alignment horizontal="right"/>
    </xf>
    <xf numFmtId="168" fontId="0" fillId="0" borderId="0" xfId="2" applyNumberFormat="1" applyFont="1"/>
    <xf numFmtId="168" fontId="0" fillId="0" borderId="1" xfId="2" applyNumberFormat="1" applyFont="1" applyBorder="1"/>
    <xf numFmtId="4" fontId="0" fillId="0" borderId="1" xfId="0" applyNumberFormat="1" applyBorder="1"/>
    <xf numFmtId="168" fontId="0" fillId="0" borderId="4" xfId="2" applyNumberFormat="1" applyFont="1" applyBorder="1" applyAlignment="1">
      <alignment horizontal="right"/>
    </xf>
    <xf numFmtId="2" fontId="0" fillId="0" borderId="1" xfId="0" applyNumberFormat="1" applyBorder="1"/>
    <xf numFmtId="168" fontId="0" fillId="0" borderId="4" xfId="2" applyNumberFormat="1" applyFont="1" applyFill="1" applyBorder="1" applyAlignment="1">
      <alignment horizontal="right"/>
    </xf>
    <xf numFmtId="3" fontId="0" fillId="0" borderId="1" xfId="0" applyNumberFormat="1" applyBorder="1" applyAlignment="1">
      <alignment wrapText="1"/>
    </xf>
    <xf numFmtId="3" fontId="0" fillId="0" borderId="0" xfId="0" applyNumberFormat="1"/>
    <xf numFmtId="0" fontId="0" fillId="0" borderId="1" xfId="0" applyBorder="1" applyAlignment="1">
      <alignment wrapText="1"/>
    </xf>
    <xf numFmtId="0" fontId="0" fillId="4" borderId="1" xfId="0" applyFill="1" applyBorder="1" applyAlignment="1">
      <alignment vertical="top"/>
    </xf>
    <xf numFmtId="2" fontId="0" fillId="0" borderId="0" xfId="0" applyNumberFormat="1"/>
    <xf numFmtId="0" fontId="1" fillId="3" borderId="1" xfId="0" applyFont="1" applyFill="1" applyBorder="1"/>
    <xf numFmtId="2" fontId="1" fillId="0" borderId="1" xfId="1" applyNumberFormat="1" applyFont="1" applyBorder="1"/>
    <xf numFmtId="2" fontId="0" fillId="0" borderId="1" xfId="1" applyNumberFormat="1" applyFont="1" applyBorder="1"/>
    <xf numFmtId="2" fontId="1" fillId="0" borderId="4" xfId="0" applyNumberFormat="1" applyFon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 vertical="center"/>
    </xf>
    <xf numFmtId="0" fontId="5" fillId="7" borderId="0" xfId="0" applyFont="1" applyFill="1"/>
    <xf numFmtId="0" fontId="1" fillId="5" borderId="1" xfId="0" applyFont="1" applyFill="1" applyBorder="1" applyAlignment="1">
      <alignment horizontal="center"/>
    </xf>
    <xf numFmtId="9" fontId="0" fillId="0" borderId="1" xfId="0" applyNumberFormat="1" applyBorder="1" applyAlignment="1">
      <alignment horizontal="left"/>
    </xf>
    <xf numFmtId="9" fontId="0" fillId="0" borderId="0" xfId="1" applyFont="1" applyAlignment="1">
      <alignment horizontal="left"/>
    </xf>
    <xf numFmtId="0" fontId="0" fillId="0" borderId="8" xfId="0" applyBorder="1"/>
    <xf numFmtId="0" fontId="0" fillId="0" borderId="9" xfId="0" applyBorder="1"/>
    <xf numFmtId="0" fontId="0" fillId="8" borderId="1" xfId="0" applyFill="1" applyBorder="1"/>
    <xf numFmtId="0" fontId="0" fillId="0" borderId="12" xfId="0" applyBorder="1"/>
    <xf numFmtId="0" fontId="0" fillId="0" borderId="13" xfId="0" applyBorder="1"/>
    <xf numFmtId="164" fontId="0" fillId="0" borderId="1" xfId="0" applyNumberFormat="1" applyBorder="1" applyAlignment="1">
      <alignment horizontal="left"/>
    </xf>
    <xf numFmtId="0" fontId="0" fillId="0" borderId="10" xfId="0" applyBorder="1"/>
    <xf numFmtId="9" fontId="1" fillId="0" borderId="1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0" fontId="1" fillId="0" borderId="0" xfId="1" applyNumberFormat="1" applyFont="1"/>
    <xf numFmtId="10" fontId="0" fillId="0" borderId="0" xfId="1" applyNumberFormat="1" applyFont="1" applyAlignment="1">
      <alignment horizontal="left"/>
    </xf>
    <xf numFmtId="0" fontId="18" fillId="0" borderId="0" xfId="3"/>
    <xf numFmtId="0" fontId="0" fillId="0" borderId="11" xfId="0" applyBorder="1"/>
    <xf numFmtId="0" fontId="0" fillId="0" borderId="14" xfId="0" applyBorder="1"/>
    <xf numFmtId="0" fontId="0" fillId="0" borderId="7" xfId="0" applyBorder="1"/>
    <xf numFmtId="0" fontId="1" fillId="3" borderId="0" xfId="0" applyFont="1" applyFill="1"/>
    <xf numFmtId="3" fontId="1" fillId="3" borderId="0" xfId="0" applyNumberFormat="1" applyFont="1" applyFill="1"/>
    <xf numFmtId="0" fontId="0" fillId="3" borderId="0" xfId="0" applyFill="1"/>
    <xf numFmtId="3" fontId="0" fillId="3" borderId="0" xfId="0" applyNumberFormat="1" applyFill="1"/>
    <xf numFmtId="0" fontId="0" fillId="3" borderId="1" xfId="0" applyFill="1" applyBorder="1"/>
    <xf numFmtId="1" fontId="0" fillId="3" borderId="1" xfId="0" applyNumberFormat="1" applyFill="1" applyBorder="1"/>
    <xf numFmtId="4" fontId="4" fillId="7" borderId="1" xfId="0" applyNumberFormat="1" applyFont="1" applyFill="1" applyBorder="1"/>
    <xf numFmtId="2" fontId="1" fillId="0" borderId="5" xfId="1" applyNumberFormat="1" applyFont="1" applyBorder="1"/>
    <xf numFmtId="4" fontId="0" fillId="3" borderId="1" xfId="0" applyNumberFormat="1" applyFill="1" applyBorder="1"/>
    <xf numFmtId="3" fontId="0" fillId="3" borderId="1" xfId="0" applyNumberFormat="1" applyFill="1" applyBorder="1"/>
    <xf numFmtId="4" fontId="0" fillId="3" borderId="5" xfId="0" applyNumberFormat="1" applyFill="1" applyBorder="1"/>
    <xf numFmtId="2" fontId="0" fillId="3" borderId="1" xfId="0" applyNumberFormat="1" applyFill="1" applyBorder="1"/>
    <xf numFmtId="2" fontId="0" fillId="3" borderId="5" xfId="0" applyNumberFormat="1" applyFill="1" applyBorder="1"/>
    <xf numFmtId="0" fontId="0" fillId="3" borderId="3" xfId="0" applyFill="1" applyBorder="1"/>
    <xf numFmtId="4" fontId="0" fillId="3" borderId="0" xfId="0" applyNumberFormat="1" applyFill="1"/>
    <xf numFmtId="0" fontId="2" fillId="3" borderId="1" xfId="0" applyFont="1" applyFill="1" applyBorder="1"/>
    <xf numFmtId="4" fontId="2" fillId="3" borderId="1" xfId="0" applyNumberFormat="1" applyFont="1" applyFill="1" applyBorder="1"/>
    <xf numFmtId="0" fontId="0" fillId="7" borderId="1" xfId="0" applyFill="1" applyBorder="1"/>
    <xf numFmtId="10" fontId="0" fillId="3" borderId="1" xfId="0" applyNumberFormat="1" applyFill="1" applyBorder="1"/>
    <xf numFmtId="166" fontId="0" fillId="0" borderId="1" xfId="0" applyNumberFormat="1" applyBorder="1" applyAlignment="1">
      <alignment horizontal="right" vertical="center"/>
    </xf>
    <xf numFmtId="0" fontId="5" fillId="3" borderId="0" xfId="0" applyFont="1" applyFill="1"/>
    <xf numFmtId="3" fontId="4" fillId="3" borderId="0" xfId="0" applyNumberFormat="1" applyFont="1" applyFill="1"/>
    <xf numFmtId="0" fontId="4" fillId="3" borderId="1" xfId="0" applyFont="1" applyFill="1" applyBorder="1"/>
    <xf numFmtId="3" fontId="4" fillId="3" borderId="1" xfId="0" applyNumberFormat="1" applyFont="1" applyFill="1" applyBorder="1"/>
    <xf numFmtId="0" fontId="4" fillId="3" borderId="0" xfId="0" applyFont="1" applyFill="1"/>
    <xf numFmtId="43" fontId="0" fillId="0" borderId="0" xfId="2" applyFont="1" applyBorder="1"/>
    <xf numFmtId="43" fontId="0" fillId="0" borderId="0" xfId="0" applyNumberFormat="1"/>
    <xf numFmtId="168" fontId="0" fillId="0" borderId="0" xfId="0" applyNumberFormat="1"/>
    <xf numFmtId="10" fontId="0" fillId="0" borderId="0" xfId="1" applyNumberFormat="1" applyFont="1" applyFill="1"/>
    <xf numFmtId="10" fontId="0" fillId="0" borderId="0" xfId="0" applyNumberFormat="1"/>
    <xf numFmtId="10" fontId="0" fillId="0" borderId="0" xfId="1" applyNumberFormat="1" applyFont="1" applyBorder="1"/>
    <xf numFmtId="1" fontId="0" fillId="0" borderId="0" xfId="0" applyNumberFormat="1"/>
    <xf numFmtId="3" fontId="1" fillId="0" borderId="0" xfId="0" applyNumberFormat="1" applyFont="1"/>
    <xf numFmtId="10" fontId="1" fillId="3" borderId="0" xfId="1" applyNumberFormat="1" applyFont="1" applyFill="1"/>
    <xf numFmtId="2" fontId="4" fillId="7" borderId="1" xfId="0" applyNumberFormat="1" applyFont="1" applyFill="1" applyBorder="1"/>
    <xf numFmtId="10" fontId="0" fillId="3" borderId="0" xfId="1" applyNumberFormat="1" applyFont="1" applyFill="1"/>
    <xf numFmtId="167" fontId="0" fillId="0" borderId="1" xfId="0" applyNumberFormat="1" applyBorder="1" applyAlignment="1">
      <alignment horizontal="right" vertical="center"/>
    </xf>
    <xf numFmtId="0" fontId="23" fillId="3" borderId="0" xfId="0" applyFont="1" applyFill="1" applyAlignment="1">
      <alignment vertical="top"/>
    </xf>
    <xf numFmtId="0" fontId="5" fillId="0" borderId="1" xfId="0" applyFont="1" applyBorder="1" applyAlignment="1">
      <alignment vertical="top"/>
    </xf>
    <xf numFmtId="166" fontId="4" fillId="0" borderId="4" xfId="0" applyNumberFormat="1" applyFont="1" applyBorder="1" applyAlignment="1">
      <alignment vertical="top"/>
    </xf>
    <xf numFmtId="164" fontId="4" fillId="0" borderId="4" xfId="0" applyNumberFormat="1" applyFont="1" applyBorder="1" applyAlignment="1">
      <alignment vertical="top"/>
    </xf>
    <xf numFmtId="0" fontId="5" fillId="0" borderId="0" xfId="0" applyFont="1" applyAlignment="1">
      <alignment vertical="top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vertical="top"/>
    </xf>
    <xf numFmtId="0" fontId="6" fillId="0" borderId="4" xfId="0" applyFont="1" applyBorder="1" applyAlignment="1">
      <alignment vertical="top"/>
    </xf>
    <xf numFmtId="0" fontId="0" fillId="0" borderId="5" xfId="0" applyBorder="1" applyAlignment="1">
      <alignment vertical="top"/>
    </xf>
    <xf numFmtId="166" fontId="2" fillId="0" borderId="5" xfId="0" applyNumberFormat="1" applyFont="1" applyBorder="1" applyAlignment="1">
      <alignment vertical="top"/>
    </xf>
    <xf numFmtId="164" fontId="0" fillId="0" borderId="5" xfId="0" applyNumberFormat="1" applyBorder="1" applyAlignment="1">
      <alignment vertical="top"/>
    </xf>
    <xf numFmtId="0" fontId="13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4" fillId="0" borderId="4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vertical="center"/>
    </xf>
    <xf numFmtId="0" fontId="4" fillId="0" borderId="0" xfId="0" applyFont="1" applyAlignment="1">
      <alignment vertical="center"/>
    </xf>
    <xf numFmtId="165" fontId="0" fillId="0" borderId="0" xfId="0" applyNumberFormat="1" applyAlignment="1">
      <alignment vertical="center"/>
    </xf>
    <xf numFmtId="0" fontId="5" fillId="0" borderId="4" xfId="0" applyFont="1" applyBorder="1" applyAlignment="1">
      <alignment vertical="top"/>
    </xf>
    <xf numFmtId="0" fontId="5" fillId="3" borderId="1" xfId="0" applyFont="1" applyFill="1" applyBorder="1"/>
    <xf numFmtId="169" fontId="0" fillId="3" borderId="1" xfId="0" applyNumberFormat="1" applyFill="1" applyBorder="1" applyAlignment="1">
      <alignment vertical="top"/>
    </xf>
    <xf numFmtId="10" fontId="0" fillId="3" borderId="1" xfId="1" applyNumberFormat="1" applyFont="1" applyFill="1" applyBorder="1" applyAlignment="1">
      <alignment vertical="top"/>
    </xf>
    <xf numFmtId="165" fontId="0" fillId="0" borderId="0" xfId="1" applyNumberFormat="1" applyFont="1" applyAlignment="1">
      <alignment horizontal="left"/>
    </xf>
    <xf numFmtId="0" fontId="0" fillId="14" borderId="1" xfId="0" applyFill="1" applyBorder="1"/>
    <xf numFmtId="0" fontId="19" fillId="7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5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0" fontId="19" fillId="12" borderId="5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4" xfId="0" applyFont="1" applyBorder="1" applyAlignment="1">
      <alignment vertical="top"/>
    </xf>
    <xf numFmtId="0" fontId="4" fillId="0" borderId="5" xfId="0" applyFont="1" applyBorder="1" applyAlignment="1">
      <alignment vertical="top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1" fillId="0" borderId="0" xfId="0" applyFont="1" applyAlignment="1">
      <alignment horizontal="center" vertical="center" wrapText="1" readingOrder="1"/>
    </xf>
    <xf numFmtId="0" fontId="1" fillId="9" borderId="1" xfId="0" applyFont="1" applyFill="1" applyBorder="1" applyAlignment="1">
      <alignment horizontal="center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Below 2°C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'CEM Tool'!$A$96</c:f>
              <c:strCache>
                <c:ptCount val="1"/>
                <c:pt idx="0">
                  <c:v>PD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'CEM Tool'!$B$96:$AD$96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Tool'!$B$97:$AD$97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4.073662206714691E-3</c:v>
                </c:pt>
                <c:pt idx="2">
                  <c:v>4.4503519120501281E-3</c:v>
                </c:pt>
                <c:pt idx="3">
                  <c:v>4.8328031598185639E-3</c:v>
                </c:pt>
                <c:pt idx="4">
                  <c:v>5.0074967598352678E-3</c:v>
                </c:pt>
                <c:pt idx="5">
                  <c:v>5.1575896770218238E-3</c:v>
                </c:pt>
                <c:pt idx="6">
                  <c:v>5.2901288155798943E-3</c:v>
                </c:pt>
                <c:pt idx="7">
                  <c:v>5.407453423491553E-3</c:v>
                </c:pt>
                <c:pt idx="8">
                  <c:v>5.5103440263453551E-3</c:v>
                </c:pt>
                <c:pt idx="9">
                  <c:v>5.5126703435265396E-3</c:v>
                </c:pt>
                <c:pt idx="10">
                  <c:v>5.5003168646422769E-3</c:v>
                </c:pt>
                <c:pt idx="11">
                  <c:v>5.4778247386790095E-3</c:v>
                </c:pt>
                <c:pt idx="12">
                  <c:v>5.4471120522625134E-3</c:v>
                </c:pt>
                <c:pt idx="13">
                  <c:v>5.4092144430576477E-3</c:v>
                </c:pt>
                <c:pt idx="14">
                  <c:v>5.2872984187301054E-3</c:v>
                </c:pt>
                <c:pt idx="15">
                  <c:v>5.1640332379154956E-3</c:v>
                </c:pt>
                <c:pt idx="16">
                  <c:v>5.0442707298100449E-3</c:v>
                </c:pt>
                <c:pt idx="17">
                  <c:v>4.9297719110818318E-3</c:v>
                </c:pt>
                <c:pt idx="18">
                  <c:v>4.8211828782138942E-3</c:v>
                </c:pt>
                <c:pt idx="19">
                  <c:v>4.6664276567513121E-3</c:v>
                </c:pt>
                <c:pt idx="20">
                  <c:v>4.5232737769648774E-3</c:v>
                </c:pt>
                <c:pt idx="21">
                  <c:v>4.3951443388189045E-3</c:v>
                </c:pt>
                <c:pt idx="22">
                  <c:v>4.2826166251764648E-3</c:v>
                </c:pt>
                <c:pt idx="23">
                  <c:v>4.185227181417079E-3</c:v>
                </c:pt>
                <c:pt idx="24">
                  <c:v>4.0785443924964216E-3</c:v>
                </c:pt>
                <c:pt idx="25">
                  <c:v>3.9888005863824979E-3</c:v>
                </c:pt>
                <c:pt idx="26">
                  <c:v>3.9180160733808707E-3</c:v>
                </c:pt>
                <c:pt idx="27">
                  <c:v>3.8661232321169792E-3</c:v>
                </c:pt>
                <c:pt idx="28">
                  <c:v>3.8324653920181759E-3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8F-4A59-991F-B10C0CEDD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252656"/>
        <c:axId val="3362530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'CEM Tool'!$A$105</c15:sqref>
                        </c15:formulaRef>
                      </c:ext>
                    </c:extLst>
                    <c:strCache>
                      <c:ptCount val="1"/>
                      <c:pt idx="0">
                        <c:v>Markov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Tool'!$B$96:$AD$96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Tool'!$B$106:$AD$106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4.073662206714691E-3</c:v>
                      </c:pt>
                      <c:pt idx="2">
                        <c:v>4.5050699743520474E-3</c:v>
                      </c:pt>
                      <c:pt idx="3">
                        <c:v>5.0026177440907222E-3</c:v>
                      </c:pt>
                      <c:pt idx="4">
                        <c:v>5.3424218793053776E-3</c:v>
                      </c:pt>
                      <c:pt idx="5">
                        <c:v>5.7073571779029889E-3</c:v>
                      </c:pt>
                      <c:pt idx="6">
                        <c:v>6.1007466560040746E-3</c:v>
                      </c:pt>
                      <c:pt idx="7">
                        <c:v>6.524172258050135E-3</c:v>
                      </c:pt>
                      <c:pt idx="8">
                        <c:v>6.9794096010028723E-3</c:v>
                      </c:pt>
                      <c:pt idx="9">
                        <c:v>7.3489105623699615E-3</c:v>
                      </c:pt>
                      <c:pt idx="10">
                        <c:v>7.7363550799852965E-3</c:v>
                      </c:pt>
                      <c:pt idx="11">
                        <c:v>8.1441201970997423E-3</c:v>
                      </c:pt>
                      <c:pt idx="12">
                        <c:v>8.5731565268051969E-3</c:v>
                      </c:pt>
                      <c:pt idx="13">
                        <c:v>9.0244537803063143E-3</c:v>
                      </c:pt>
                      <c:pt idx="14">
                        <c:v>9.3532515458576108E-3</c:v>
                      </c:pt>
                      <c:pt idx="15">
                        <c:v>9.6900442723048697E-3</c:v>
                      </c:pt>
                      <c:pt idx="16">
                        <c:v>1.003738879868302E-2</c:v>
                      </c:pt>
                      <c:pt idx="17">
                        <c:v>1.0395577222410746E-2</c:v>
                      </c:pt>
                      <c:pt idx="18">
                        <c:v>1.0764883027313257E-2</c:v>
                      </c:pt>
                      <c:pt idx="19">
                        <c:v>1.1008633390845868E-2</c:v>
                      </c:pt>
                      <c:pt idx="20">
                        <c:v>1.1252798675874615E-2</c:v>
                      </c:pt>
                      <c:pt idx="21">
                        <c:v>1.1499847434863783E-2</c:v>
                      </c:pt>
                      <c:pt idx="22">
                        <c:v>1.1749773667242376E-2</c:v>
                      </c:pt>
                      <c:pt idx="23">
                        <c:v>1.2002542162206494E-2</c:v>
                      </c:pt>
                      <c:pt idx="24">
                        <c:v>1.2173189958801104E-2</c:v>
                      </c:pt>
                      <c:pt idx="25">
                        <c:v>1.2341075872328683E-2</c:v>
                      </c:pt>
                      <c:pt idx="26">
                        <c:v>1.2507797771776675E-2</c:v>
                      </c:pt>
                      <c:pt idx="27">
                        <c:v>1.2673276301396825E-2</c:v>
                      </c:pt>
                      <c:pt idx="28">
                        <c:v>1.2837413762571094E-2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F8F-4A59-991F-B10C0CEDD46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Tool'!$A$114</c15:sqref>
                        </c15:formulaRef>
                      </c:ext>
                    </c:extLst>
                    <c:strCache>
                      <c:ptCount val="1"/>
                      <c:pt idx="0">
                        <c:v>What-if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Tool'!$B$96:$AD$96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Tool'!$B$115:$AD$115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4.073662206714691E-3</c:v>
                      </c:pt>
                      <c:pt idx="2">
                        <c:v>4.396586402138118E-3</c:v>
                      </c:pt>
                      <c:pt idx="3">
                        <c:v>4.7287670039746861E-3</c:v>
                      </c:pt>
                      <c:pt idx="4">
                        <c:v>4.8621339833413687E-3</c:v>
                      </c:pt>
                      <c:pt idx="5">
                        <c:v>4.9777208378792605E-3</c:v>
                      </c:pt>
                      <c:pt idx="6">
                        <c:v>5.0828117292339861E-3</c:v>
                      </c:pt>
                      <c:pt idx="7">
                        <c:v>5.1764630586704557E-3</c:v>
                      </c:pt>
                      <c:pt idx="8">
                        <c:v>5.2577645781951383E-3</c:v>
                      </c:pt>
                      <c:pt idx="9">
                        <c:v>5.2451365591888541E-3</c:v>
                      </c:pt>
                      <c:pt idx="10">
                        <c:v>5.2211749285270195E-3</c:v>
                      </c:pt>
                      <c:pt idx="11">
                        <c:v>5.1910802999148957E-3</c:v>
                      </c:pt>
                      <c:pt idx="12">
                        <c:v>5.1550320566441463E-3</c:v>
                      </c:pt>
                      <c:pt idx="13">
                        <c:v>5.1131802117787405E-3</c:v>
                      </c:pt>
                      <c:pt idx="14">
                        <c:v>4.9938370184144116E-3</c:v>
                      </c:pt>
                      <c:pt idx="15">
                        <c:v>4.8760304774941839E-3</c:v>
                      </c:pt>
                      <c:pt idx="16">
                        <c:v>4.7652375604757624E-3</c:v>
                      </c:pt>
                      <c:pt idx="17">
                        <c:v>4.6611048498752354E-3</c:v>
                      </c:pt>
                      <c:pt idx="18">
                        <c:v>4.5632533134634546E-3</c:v>
                      </c:pt>
                      <c:pt idx="19">
                        <c:v>4.4231156914053349E-3</c:v>
                      </c:pt>
                      <c:pt idx="20">
                        <c:v>4.2961970244370633E-3</c:v>
                      </c:pt>
                      <c:pt idx="21">
                        <c:v>4.1865032814075451E-3</c:v>
                      </c:pt>
                      <c:pt idx="22">
                        <c:v>4.0925105315572415E-3</c:v>
                      </c:pt>
                      <c:pt idx="23">
                        <c:v>4.012827426554697E-3</c:v>
                      </c:pt>
                      <c:pt idx="24">
                        <c:v>3.9244217965448613E-3</c:v>
                      </c:pt>
                      <c:pt idx="25">
                        <c:v>3.8534055840936596E-3</c:v>
                      </c:pt>
                      <c:pt idx="26">
                        <c:v>3.8025033156823419E-3</c:v>
                      </c:pt>
                      <c:pt idx="27">
                        <c:v>3.7700335973887425E-3</c:v>
                      </c:pt>
                      <c:pt idx="28">
                        <c:v>3.754927141987914E-3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8F-4A59-991F-B10C0CEDD46B}"/>
                  </c:ext>
                </c:extLst>
              </c15:ser>
            </c15:filteredLineSeries>
          </c:ext>
        </c:extLst>
      </c:lineChart>
      <c:catAx>
        <c:axId val="3362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53072"/>
        <c:crosses val="autoZero"/>
        <c:auto val="0"/>
        <c:lblAlgn val="ctr"/>
        <c:lblOffset val="100"/>
        <c:noMultiLvlLbl val="0"/>
      </c:catAx>
      <c:valAx>
        <c:axId val="33625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5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Current Policies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'CEM Tool'!$A$96</c:f>
              <c:strCache>
                <c:ptCount val="1"/>
                <c:pt idx="0">
                  <c:v>PD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'CEM Tool'!$B$105:$AD$105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Tool'!$B$98:$AD$98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3.6586026726502922E-3</c:v>
                </c:pt>
                <c:pt idx="2">
                  <c:v>3.5881406889900231E-3</c:v>
                </c:pt>
                <c:pt idx="3">
                  <c:v>3.5184423204138397E-3</c:v>
                </c:pt>
                <c:pt idx="4">
                  <c:v>3.5093968748691595E-3</c:v>
                </c:pt>
                <c:pt idx="5">
                  <c:v>3.5027334161055819E-3</c:v>
                </c:pt>
                <c:pt idx="6">
                  <c:v>3.4976037119054553E-3</c:v>
                </c:pt>
                <c:pt idx="7">
                  <c:v>3.4937764238712589E-3</c:v>
                </c:pt>
                <c:pt idx="8">
                  <c:v>3.4911308839285465E-3</c:v>
                </c:pt>
                <c:pt idx="9">
                  <c:v>3.4913332170923451E-3</c:v>
                </c:pt>
                <c:pt idx="10">
                  <c:v>3.4925911900867235E-3</c:v>
                </c:pt>
                <c:pt idx="11">
                  <c:v>3.4948217976688623E-3</c:v>
                </c:pt>
                <c:pt idx="12">
                  <c:v>3.4979985571218404E-3</c:v>
                </c:pt>
                <c:pt idx="13">
                  <c:v>3.5021193269746649E-3</c:v>
                </c:pt>
                <c:pt idx="14">
                  <c:v>3.5082522988454674E-3</c:v>
                </c:pt>
                <c:pt idx="15">
                  <c:v>3.5153604734290762E-3</c:v>
                </c:pt>
                <c:pt idx="16">
                  <c:v>3.5234127438362834E-3</c:v>
                </c:pt>
                <c:pt idx="17">
                  <c:v>3.5324144158986577E-3</c:v>
                </c:pt>
                <c:pt idx="18">
                  <c:v>3.5423865371556431E-3</c:v>
                </c:pt>
                <c:pt idx="19">
                  <c:v>3.5541695137134041E-3</c:v>
                </c:pt>
                <c:pt idx="20">
                  <c:v>3.5669811290862533E-3</c:v>
                </c:pt>
                <c:pt idx="21">
                  <c:v>3.5807906543894202E-3</c:v>
                </c:pt>
                <c:pt idx="22">
                  <c:v>3.5956023160871693E-3</c:v>
                </c:pt>
                <c:pt idx="23">
                  <c:v>3.6114357641483168E-3</c:v>
                </c:pt>
                <c:pt idx="24">
                  <c:v>3.6283764044597279E-3</c:v>
                </c:pt>
                <c:pt idx="25">
                  <c:v>3.6463937942243525E-3</c:v>
                </c:pt>
                <c:pt idx="26">
                  <c:v>3.6655135780292738E-3</c:v>
                </c:pt>
                <c:pt idx="27">
                  <c:v>3.685766898388107E-3</c:v>
                </c:pt>
                <c:pt idx="28">
                  <c:v>3.7071877939998089E-3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D0-43E6-B0F6-5ECB306C3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010112"/>
        <c:axId val="7180176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'CEM Tool'!$A$105</c15:sqref>
                        </c15:formulaRef>
                      </c:ext>
                    </c:extLst>
                    <c:strCache>
                      <c:ptCount val="1"/>
                      <c:pt idx="0">
                        <c:v>Markov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Tool'!$B$105:$AD$105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Tool'!$B$107:$AD$107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3.6586026726502922E-3</c:v>
                      </c:pt>
                      <c:pt idx="2">
                        <c:v>3.6056018852063348E-3</c:v>
                      </c:pt>
                      <c:pt idx="3">
                        <c:v>3.5557833826792688E-3</c:v>
                      </c:pt>
                      <c:pt idx="4">
                        <c:v>3.5677869130994362E-3</c:v>
                      </c:pt>
                      <c:pt idx="5">
                        <c:v>3.5804510173707083E-3</c:v>
                      </c:pt>
                      <c:pt idx="6">
                        <c:v>3.5933235517417875E-3</c:v>
                      </c:pt>
                      <c:pt idx="7">
                        <c:v>3.6063954622250192E-3</c:v>
                      </c:pt>
                      <c:pt idx="8">
                        <c:v>3.6196626505293483E-3</c:v>
                      </c:pt>
                      <c:pt idx="9">
                        <c:v>3.6352595131612358E-3</c:v>
                      </c:pt>
                      <c:pt idx="10">
                        <c:v>3.6511256757196047E-3</c:v>
                      </c:pt>
                      <c:pt idx="11">
                        <c:v>3.6672404570892003E-3</c:v>
                      </c:pt>
                      <c:pt idx="12">
                        <c:v>3.6835988196422401E-3</c:v>
                      </c:pt>
                      <c:pt idx="13">
                        <c:v>3.7001961844314799E-3</c:v>
                      </c:pt>
                      <c:pt idx="14">
                        <c:v>3.7183925594708712E-3</c:v>
                      </c:pt>
                      <c:pt idx="15">
                        <c:v>3.7368686443834428E-3</c:v>
                      </c:pt>
                      <c:pt idx="16">
                        <c:v>3.7556097841115804E-3</c:v>
                      </c:pt>
                      <c:pt idx="17">
                        <c:v>3.7746114274914803E-3</c:v>
                      </c:pt>
                      <c:pt idx="18">
                        <c:v>3.7938694124558391E-3</c:v>
                      </c:pt>
                      <c:pt idx="19">
                        <c:v>3.8144227445564816E-3</c:v>
                      </c:pt>
                      <c:pt idx="20">
                        <c:v>3.8352595891264513E-3</c:v>
                      </c:pt>
                      <c:pt idx="21">
                        <c:v>3.8563682868945448E-3</c:v>
                      </c:pt>
                      <c:pt idx="22">
                        <c:v>3.8777450412230746E-3</c:v>
                      </c:pt>
                      <c:pt idx="23">
                        <c:v>3.8993863856107997E-3</c:v>
                      </c:pt>
                      <c:pt idx="24">
                        <c:v>3.9213602091243355E-3</c:v>
                      </c:pt>
                      <c:pt idx="25">
                        <c:v>3.9435926252498242E-3</c:v>
                      </c:pt>
                      <c:pt idx="26">
                        <c:v>3.9660801898729944E-3</c:v>
                      </c:pt>
                      <c:pt idx="27">
                        <c:v>3.9888201849790647E-3</c:v>
                      </c:pt>
                      <c:pt idx="28">
                        <c:v>4.0118100810865092E-3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BD0-43E6-B0F6-5ECB306C317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Tool'!$A$114</c15:sqref>
                        </c15:formulaRef>
                      </c:ext>
                    </c:extLst>
                    <c:strCache>
                      <c:ptCount val="1"/>
                      <c:pt idx="0">
                        <c:v>What-if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Tool'!$B$105:$AD$105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Tool'!$B$116:$AD$116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3.6586026726502922E-3</c:v>
                      </c:pt>
                      <c:pt idx="2">
                        <c:v>3.5710605748040226E-3</c:v>
                      </c:pt>
                      <c:pt idx="3">
                        <c:v>3.4981712343391458E-3</c:v>
                      </c:pt>
                      <c:pt idx="4">
                        <c:v>3.4897817284607921E-3</c:v>
                      </c:pt>
                      <c:pt idx="5">
                        <c:v>3.4851328919181597E-3</c:v>
                      </c:pt>
                      <c:pt idx="6">
                        <c:v>3.4815917604925813E-3</c:v>
                      </c:pt>
                      <c:pt idx="7">
                        <c:v>3.479112290909608E-3</c:v>
                      </c:pt>
                      <c:pt idx="8">
                        <c:v>3.4776763471741803E-3</c:v>
                      </c:pt>
                      <c:pt idx="9">
                        <c:v>3.4789604005755793E-3</c:v>
                      </c:pt>
                      <c:pt idx="10">
                        <c:v>3.4812120886892912E-3</c:v>
                      </c:pt>
                      <c:pt idx="11">
                        <c:v>3.4843471272722505E-3</c:v>
                      </c:pt>
                      <c:pt idx="12">
                        <c:v>3.4883824527109013E-3</c:v>
                      </c:pt>
                      <c:pt idx="13">
                        <c:v>3.4933405479023109E-3</c:v>
                      </c:pt>
                      <c:pt idx="14">
                        <c:v>3.5002897890186761E-3</c:v>
                      </c:pt>
                      <c:pt idx="15">
                        <c:v>3.5081864325225121E-3</c:v>
                      </c:pt>
                      <c:pt idx="16">
                        <c:v>3.5169879796169493E-3</c:v>
                      </c:pt>
                      <c:pt idx="17">
                        <c:v>3.5267294741738184E-3</c:v>
                      </c:pt>
                      <c:pt idx="18">
                        <c:v>3.5374486468859882E-3</c:v>
                      </c:pt>
                      <c:pt idx="19">
                        <c:v>3.5499914919043681E-3</c:v>
                      </c:pt>
                      <c:pt idx="20">
                        <c:v>3.5635468806307774E-3</c:v>
                      </c:pt>
                      <c:pt idx="21">
                        <c:v>3.5780653056369871E-3</c:v>
                      </c:pt>
                      <c:pt idx="22">
                        <c:v>3.5935815715817643E-3</c:v>
                      </c:pt>
                      <c:pt idx="23">
                        <c:v>3.6101316945199068E-3</c:v>
                      </c:pt>
                      <c:pt idx="24">
                        <c:v>3.6278098882809333E-3</c:v>
                      </c:pt>
                      <c:pt idx="25">
                        <c:v>3.6465848061079981E-3</c:v>
                      </c:pt>
                      <c:pt idx="26">
                        <c:v>3.666482416115128E-3</c:v>
                      </c:pt>
                      <c:pt idx="27">
                        <c:v>3.687539382779324E-3</c:v>
                      </c:pt>
                      <c:pt idx="28">
                        <c:v>3.7097929376312408E-3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BD0-43E6-B0F6-5ECB306C3173}"/>
                  </c:ext>
                </c:extLst>
              </c15:ser>
            </c15:filteredLineSeries>
          </c:ext>
        </c:extLst>
      </c:lineChart>
      <c:catAx>
        <c:axId val="71801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017600"/>
        <c:crosses val="autoZero"/>
        <c:auto val="1"/>
        <c:lblAlgn val="ctr"/>
        <c:lblOffset val="100"/>
        <c:noMultiLvlLbl val="0"/>
      </c:catAx>
      <c:valAx>
        <c:axId val="71801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01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Delayed transition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'CEM Tool'!$A$96</c:f>
              <c:strCache>
                <c:ptCount val="1"/>
                <c:pt idx="0">
                  <c:v>PD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'CEM Tool'!$B$114:$AD$114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Tool'!$B$99:$AD$99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3.6586026726502922E-3</c:v>
                </c:pt>
                <c:pt idx="2">
                  <c:v>3.5881406889900231E-3</c:v>
                </c:pt>
                <c:pt idx="3">
                  <c:v>3.5184423204138397E-3</c:v>
                </c:pt>
                <c:pt idx="4">
                  <c:v>3.5093968748691595E-3</c:v>
                </c:pt>
                <c:pt idx="5">
                  <c:v>3.5027334161055819E-3</c:v>
                </c:pt>
                <c:pt idx="6">
                  <c:v>3.4976037119054553E-3</c:v>
                </c:pt>
                <c:pt idx="7">
                  <c:v>3.4937764238712589E-3</c:v>
                </c:pt>
                <c:pt idx="8">
                  <c:v>3.4911308839285465E-3</c:v>
                </c:pt>
                <c:pt idx="9">
                  <c:v>5.5127150874003019E-3</c:v>
                </c:pt>
                <c:pt idx="10">
                  <c:v>9.2355122248384044E-3</c:v>
                </c:pt>
                <c:pt idx="11">
                  <c:v>1.512558423500307E-2</c:v>
                </c:pt>
                <c:pt idx="12">
                  <c:v>2.3801132356290101E-2</c:v>
                </c:pt>
                <c:pt idx="13">
                  <c:v>3.5763039338674862E-2</c:v>
                </c:pt>
                <c:pt idx="14">
                  <c:v>4.1989804924780424E-2</c:v>
                </c:pt>
                <c:pt idx="15">
                  <c:v>4.6802952366669835E-2</c:v>
                </c:pt>
                <c:pt idx="16">
                  <c:v>5.0289952351339956E-2</c:v>
                </c:pt>
                <c:pt idx="17">
                  <c:v>5.2326812591129833E-2</c:v>
                </c:pt>
                <c:pt idx="18">
                  <c:v>5.2840558760022735E-2</c:v>
                </c:pt>
                <c:pt idx="19">
                  <c:v>5.0629837476148701E-2</c:v>
                </c:pt>
                <c:pt idx="20">
                  <c:v>4.7180344935266627E-2</c:v>
                </c:pt>
                <c:pt idx="21">
                  <c:v>4.2889976460897393E-2</c:v>
                </c:pt>
                <c:pt idx="22">
                  <c:v>3.8080039888628091E-2</c:v>
                </c:pt>
                <c:pt idx="23">
                  <c:v>3.3041211078823012E-2</c:v>
                </c:pt>
                <c:pt idx="24">
                  <c:v>2.7671649271862185E-2</c:v>
                </c:pt>
                <c:pt idx="25">
                  <c:v>2.2681468751342363E-2</c:v>
                </c:pt>
                <c:pt idx="26">
                  <c:v>1.8239246439070024E-2</c:v>
                </c:pt>
                <c:pt idx="27">
                  <c:v>1.4403688958294284E-2</c:v>
                </c:pt>
                <c:pt idx="28">
                  <c:v>1.1176391191695148E-2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42-475A-8FEB-BA338CFE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46991"/>
        <c:axId val="1168047407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'CEM Tool'!$A$105</c15:sqref>
                        </c15:formulaRef>
                      </c:ext>
                    </c:extLst>
                    <c:strCache>
                      <c:ptCount val="1"/>
                      <c:pt idx="0">
                        <c:v>Markov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Tool'!$B$114:$AD$114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Tool'!$B$108:$AD$108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3.6586026726502922E-3</c:v>
                      </c:pt>
                      <c:pt idx="2">
                        <c:v>3.6056018852063348E-3</c:v>
                      </c:pt>
                      <c:pt idx="3">
                        <c:v>3.5557833826792688E-3</c:v>
                      </c:pt>
                      <c:pt idx="4">
                        <c:v>3.5677869130994362E-3</c:v>
                      </c:pt>
                      <c:pt idx="5">
                        <c:v>3.5804510173707083E-3</c:v>
                      </c:pt>
                      <c:pt idx="6">
                        <c:v>3.5933235517417875E-3</c:v>
                      </c:pt>
                      <c:pt idx="7">
                        <c:v>3.6063954622250192E-3</c:v>
                      </c:pt>
                      <c:pt idx="8">
                        <c:v>3.6196626505293483E-3</c:v>
                      </c:pt>
                      <c:pt idx="9">
                        <c:v>5.8459451992161644E-3</c:v>
                      </c:pt>
                      <c:pt idx="10">
                        <c:v>1.0030959053802187E-2</c:v>
                      </c:pt>
                      <c:pt idx="11">
                        <c:v>1.7442200488217145E-2</c:v>
                      </c:pt>
                      <c:pt idx="12">
                        <c:v>3.0589227786947469E-2</c:v>
                      </c:pt>
                      <c:pt idx="13">
                        <c:v>5.415752214446104E-2</c:v>
                      </c:pt>
                      <c:pt idx="14">
                        <c:v>7.9060891111441101E-2</c:v>
                      </c:pt>
                      <c:pt idx="15">
                        <c:v>0.11508688728001851</c:v>
                      </c:pt>
                      <c:pt idx="16">
                        <c:v>0.16856356909620634</c:v>
                      </c:pt>
                      <c:pt idx="17">
                        <c:v>0.248652670277515</c:v>
                      </c:pt>
                      <c:pt idx="18">
                        <c:v>0.3697474691477261</c:v>
                      </c:pt>
                      <c:pt idx="19">
                        <c:v>0.54017627295224646</c:v>
                      </c:pt>
                      <c:pt idx="20">
                        <c:v>0.79435060190181728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F42-475A-8FEB-BA338CFE186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Tool'!$A$114</c15:sqref>
                        </c15:formulaRef>
                      </c:ext>
                    </c:extLst>
                    <c:strCache>
                      <c:ptCount val="1"/>
                      <c:pt idx="0">
                        <c:v>What-if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Tool'!$B$114:$AD$114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Tool'!$B$117:$AD$117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3.6586026726502922E-3</c:v>
                      </c:pt>
                      <c:pt idx="2">
                        <c:v>3.5710605748040226E-3</c:v>
                      </c:pt>
                      <c:pt idx="3">
                        <c:v>3.4981712343391458E-3</c:v>
                      </c:pt>
                      <c:pt idx="4">
                        <c:v>3.4897817284607921E-3</c:v>
                      </c:pt>
                      <c:pt idx="5">
                        <c:v>3.4851328919181597E-3</c:v>
                      </c:pt>
                      <c:pt idx="6">
                        <c:v>3.4815917604925813E-3</c:v>
                      </c:pt>
                      <c:pt idx="7">
                        <c:v>3.479112290909608E-3</c:v>
                      </c:pt>
                      <c:pt idx="8">
                        <c:v>3.4776763471741803E-3</c:v>
                      </c:pt>
                      <c:pt idx="9">
                        <c:v>5.4846225112922167E-3</c:v>
                      </c:pt>
                      <c:pt idx="10">
                        <c:v>9.0433564990664746E-3</c:v>
                      </c:pt>
                      <c:pt idx="11">
                        <c:v>1.4271191976119596E-2</c:v>
                      </c:pt>
                      <c:pt idx="12">
                        <c:v>2.1409183222623453E-2</c:v>
                      </c:pt>
                      <c:pt idx="13">
                        <c:v>3.050431099546114E-2</c:v>
                      </c:pt>
                      <c:pt idx="14">
                        <c:v>3.4026293791162981E-2</c:v>
                      </c:pt>
                      <c:pt idx="15">
                        <c:v>3.6214621503506038E-2</c:v>
                      </c:pt>
                      <c:pt idx="16">
                        <c:v>3.7489295116546327E-2</c:v>
                      </c:pt>
                      <c:pt idx="17">
                        <c:v>3.7764219320753523E-2</c:v>
                      </c:pt>
                      <c:pt idx="18">
                        <c:v>3.7016095064739331E-2</c:v>
                      </c:pt>
                      <c:pt idx="19">
                        <c:v>3.4504930341893648E-2</c:v>
                      </c:pt>
                      <c:pt idx="20">
                        <c:v>3.134402194323508E-2</c:v>
                      </c:pt>
                      <c:pt idx="21">
                        <c:v>2.7840221435155375E-2</c:v>
                      </c:pt>
                      <c:pt idx="22">
                        <c:v>2.4182223084133467E-2</c:v>
                      </c:pt>
                      <c:pt idx="23">
                        <c:v>2.0541982294843567E-2</c:v>
                      </c:pt>
                      <c:pt idx="24">
                        <c:v>1.6855146946013325E-2</c:v>
                      </c:pt>
                      <c:pt idx="25">
                        <c:v>1.3555514847880271E-2</c:v>
                      </c:pt>
                      <c:pt idx="26">
                        <c:v>1.0718284661904054E-2</c:v>
                      </c:pt>
                      <c:pt idx="27">
                        <c:v>8.335745440163073E-3</c:v>
                      </c:pt>
                      <c:pt idx="28">
                        <c:v>6.3848369975023191E-3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F42-475A-8FEB-BA338CFE1867}"/>
                  </c:ext>
                </c:extLst>
              </c15:ser>
            </c15:filteredLineSeries>
          </c:ext>
        </c:extLst>
      </c:lineChart>
      <c:catAx>
        <c:axId val="116804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8047407"/>
        <c:crosses val="autoZero"/>
        <c:auto val="1"/>
        <c:lblAlgn val="ctr"/>
        <c:lblOffset val="100"/>
        <c:noMultiLvlLbl val="0"/>
      </c:catAx>
      <c:valAx>
        <c:axId val="116804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8046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Divergent Net Zero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'CEM Tool'!$A$96</c:f>
              <c:strCache>
                <c:ptCount val="1"/>
                <c:pt idx="0">
                  <c:v>PD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'CEM Tool'!$B$105:$AD$105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Tool'!$B$100:$AD$100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1.1126752007503822E-2</c:v>
                </c:pt>
                <c:pt idx="2">
                  <c:v>3.3503349359623048E-2</c:v>
                </c:pt>
                <c:pt idx="3">
                  <c:v>9.5492194471267014E-2</c:v>
                </c:pt>
                <c:pt idx="4">
                  <c:v>0.1294977925313085</c:v>
                </c:pt>
                <c:pt idx="5">
                  <c:v>0.15966436699358755</c:v>
                </c:pt>
                <c:pt idx="6">
                  <c:v>0.18866922988944348</c:v>
                </c:pt>
                <c:pt idx="7">
                  <c:v>0.21590624390312624</c:v>
                </c:pt>
                <c:pt idx="8">
                  <c:v>0.24047324673101658</c:v>
                </c:pt>
                <c:pt idx="9">
                  <c:v>0.22685288930614869</c:v>
                </c:pt>
                <c:pt idx="10">
                  <c:v>0.20827365010039595</c:v>
                </c:pt>
                <c:pt idx="11">
                  <c:v>0.18880843772368205</c:v>
                </c:pt>
                <c:pt idx="12">
                  <c:v>0.16949817079841017</c:v>
                </c:pt>
                <c:pt idx="13">
                  <c:v>0.15089797889707762</c:v>
                </c:pt>
                <c:pt idx="14">
                  <c:v>0.11851386644921102</c:v>
                </c:pt>
                <c:pt idx="15">
                  <c:v>9.2461489192714102E-2</c:v>
                </c:pt>
                <c:pt idx="16">
                  <c:v>7.2522897308887183E-2</c:v>
                </c:pt>
                <c:pt idx="17">
                  <c:v>5.7328387819459543E-2</c:v>
                </c:pt>
                <c:pt idx="18">
                  <c:v>4.5712987328942752E-2</c:v>
                </c:pt>
                <c:pt idx="19">
                  <c:v>3.4854999810041934E-2</c:v>
                </c:pt>
                <c:pt idx="20">
                  <c:v>2.6862443124405305E-2</c:v>
                </c:pt>
                <c:pt idx="21">
                  <c:v>2.1040909377978666E-2</c:v>
                </c:pt>
                <c:pt idx="22">
                  <c:v>1.6773561167880782E-2</c:v>
                </c:pt>
                <c:pt idx="23">
                  <c:v>1.3614237287098714E-2</c:v>
                </c:pt>
                <c:pt idx="24">
                  <c:v>1.0690110708657911E-2</c:v>
                </c:pt>
                <c:pt idx="25">
                  <c:v>8.5849659730640199E-3</c:v>
                </c:pt>
                <c:pt idx="26">
                  <c:v>7.1112152096156431E-3</c:v>
                </c:pt>
                <c:pt idx="27">
                  <c:v>6.0959769448166289E-3</c:v>
                </c:pt>
                <c:pt idx="28">
                  <c:v>5.4140505031768284E-3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9-4607-82FE-B61837DDC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623808"/>
        <c:axId val="6716358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'CEM Tool'!$A$105</c15:sqref>
                        </c15:formulaRef>
                      </c:ext>
                    </c:extLst>
                    <c:strCache>
                      <c:ptCount val="1"/>
                      <c:pt idx="0">
                        <c:v>Markov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Tool'!$B$105:$AD$105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Tool'!$B$109:$AD$109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1.1126752007503822E-2</c:v>
                      </c:pt>
                      <c:pt idx="2">
                        <c:v>3.6666113531997752E-2</c:v>
                      </c:pt>
                      <c:pt idx="3">
                        <c:v>0.12681540391056009</c:v>
                      </c:pt>
                      <c:pt idx="4">
                        <c:v>0.22795179138241631</c:v>
                      </c:pt>
                      <c:pt idx="5">
                        <c:v>0.40109175654744617</c:v>
                      </c:pt>
                      <c:pt idx="6">
                        <c:v>0.71892945343896353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349-4607-82FE-B61837DDC44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Tool'!$A$114</c15:sqref>
                        </c15:formulaRef>
                      </c:ext>
                    </c:extLst>
                    <c:strCache>
                      <c:ptCount val="1"/>
                      <c:pt idx="0">
                        <c:v>What-if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Tool'!$B$105:$AD$105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Tool'!$B$118:$AD$118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1.1126752007503822E-2</c:v>
                      </c:pt>
                      <c:pt idx="2">
                        <c:v>3.0610367726959211E-2</c:v>
                      </c:pt>
                      <c:pt idx="3">
                        <c:v>7.9045545867933262E-2</c:v>
                      </c:pt>
                      <c:pt idx="4">
                        <c:v>9.8915289195213266E-2</c:v>
                      </c:pt>
                      <c:pt idx="5">
                        <c:v>0.11417663896777647</c:v>
                      </c:pt>
                      <c:pt idx="6">
                        <c:v>0.1288322045246412</c:v>
                      </c:pt>
                      <c:pt idx="7">
                        <c:v>0.14231943064789077</c:v>
                      </c:pt>
                      <c:pt idx="8">
                        <c:v>0.15389175469894212</c:v>
                      </c:pt>
                      <c:pt idx="9">
                        <c:v>0.14233496479785168</c:v>
                      </c:pt>
                      <c:pt idx="10">
                        <c:v>0.12872185214629506</c:v>
                      </c:pt>
                      <c:pt idx="11">
                        <c:v>0.11555491092958108</c:v>
                      </c:pt>
                      <c:pt idx="12">
                        <c:v>0.10302168329640458</c:v>
                      </c:pt>
                      <c:pt idx="13">
                        <c:v>9.1217438791005995E-2</c:v>
                      </c:pt>
                      <c:pt idx="14">
                        <c:v>7.1660716037891897E-2</c:v>
                      </c:pt>
                      <c:pt idx="15">
                        <c:v>5.6105403419127321E-2</c:v>
                      </c:pt>
                      <c:pt idx="16">
                        <c:v>4.4367409203519247E-2</c:v>
                      </c:pt>
                      <c:pt idx="17">
                        <c:v>3.5432569614891045E-2</c:v>
                      </c:pt>
                      <c:pt idx="18">
                        <c:v>2.856306202481879E-2</c:v>
                      </c:pt>
                      <c:pt idx="19">
                        <c:v>2.2052453848811816E-2</c:v>
                      </c:pt>
                      <c:pt idx="20">
                        <c:v>1.7243294469627315E-2</c:v>
                      </c:pt>
                      <c:pt idx="21">
                        <c:v>1.374730575103039E-2</c:v>
                      </c:pt>
                      <c:pt idx="22">
                        <c:v>1.1169723207861052E-2</c:v>
                      </c:pt>
                      <c:pt idx="23">
                        <c:v>9.2443202427879376E-3</c:v>
                      </c:pt>
                      <c:pt idx="24">
                        <c:v>7.4115516672400919E-3</c:v>
                      </c:pt>
                      <c:pt idx="25">
                        <c:v>6.110446948638543E-3</c:v>
                      </c:pt>
                      <c:pt idx="26">
                        <c:v>5.237722315620817E-3</c:v>
                      </c:pt>
                      <c:pt idx="27">
                        <c:v>4.6635821481778618E-3</c:v>
                      </c:pt>
                      <c:pt idx="28">
                        <c:v>4.3056891262659019E-3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349-4607-82FE-B61837DDC446}"/>
                  </c:ext>
                </c:extLst>
              </c15:ser>
            </c15:filteredLineSeries>
          </c:ext>
        </c:extLst>
      </c:lineChart>
      <c:catAx>
        <c:axId val="67162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35872"/>
        <c:crosses val="autoZero"/>
        <c:auto val="1"/>
        <c:lblAlgn val="ctr"/>
        <c:lblOffset val="100"/>
        <c:noMultiLvlLbl val="0"/>
      </c:catAx>
      <c:valAx>
        <c:axId val="6716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2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Nationally Determined Contributions (NDCs)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'CEM Tool'!$A$96</c:f>
              <c:strCache>
                <c:ptCount val="1"/>
                <c:pt idx="0">
                  <c:v>PD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'CEM Tool'!$B$105:$AD$105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Tool'!$B$101:$AD$101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4.320801141312715E-3</c:v>
                </c:pt>
                <c:pt idx="2">
                  <c:v>5.0365216835996617E-3</c:v>
                </c:pt>
                <c:pt idx="3">
                  <c:v>5.8305241455570006E-3</c:v>
                </c:pt>
                <c:pt idx="4">
                  <c:v>6.4217582656030314E-3</c:v>
                </c:pt>
                <c:pt idx="5">
                  <c:v>6.9999074931956888E-3</c:v>
                </c:pt>
                <c:pt idx="6">
                  <c:v>7.5636454919406531E-3</c:v>
                </c:pt>
                <c:pt idx="7">
                  <c:v>8.10630622781797E-3</c:v>
                </c:pt>
                <c:pt idx="8">
                  <c:v>8.619475817271181E-3</c:v>
                </c:pt>
                <c:pt idx="9">
                  <c:v>8.2009946513405194E-3</c:v>
                </c:pt>
                <c:pt idx="10">
                  <c:v>7.7536068975715749E-3</c:v>
                </c:pt>
                <c:pt idx="11">
                  <c:v>7.3238651296708337E-3</c:v>
                </c:pt>
                <c:pt idx="12">
                  <c:v>6.924990813308626E-3</c:v>
                </c:pt>
                <c:pt idx="13">
                  <c:v>6.5607744766849486E-3</c:v>
                </c:pt>
                <c:pt idx="14">
                  <c:v>6.2485490048891593E-3</c:v>
                </c:pt>
                <c:pt idx="15">
                  <c:v>5.9664806285482531E-3</c:v>
                </c:pt>
                <c:pt idx="16">
                  <c:v>5.7114068273089354E-3</c:v>
                </c:pt>
                <c:pt idx="17">
                  <c:v>5.4807925769488515E-3</c:v>
                </c:pt>
                <c:pt idx="18">
                  <c:v>5.2724248254595076E-3</c:v>
                </c:pt>
                <c:pt idx="19">
                  <c:v>5.0952359462989099E-3</c:v>
                </c:pt>
                <c:pt idx="20">
                  <c:v>4.9352851409942356E-3</c:v>
                </c:pt>
                <c:pt idx="21">
                  <c:v>4.7903404172537998E-3</c:v>
                </c:pt>
                <c:pt idx="22">
                  <c:v>4.6588929890267455E-3</c:v>
                </c:pt>
                <c:pt idx="23">
                  <c:v>4.5397747154202134E-3</c:v>
                </c:pt>
                <c:pt idx="24">
                  <c:v>4.4324181071183156E-3</c:v>
                </c:pt>
                <c:pt idx="25">
                  <c:v>4.3355287252955614E-3</c:v>
                </c:pt>
                <c:pt idx="26">
                  <c:v>4.2483144040960825E-3</c:v>
                </c:pt>
                <c:pt idx="27">
                  <c:v>4.1700934278850821E-3</c:v>
                </c:pt>
                <c:pt idx="28">
                  <c:v>4.1002607109474187E-3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8-4D19-A2D9-73564E1D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7514239"/>
        <c:axId val="1307514655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'CEM Tool'!$A$105</c15:sqref>
                        </c15:formulaRef>
                      </c:ext>
                    </c:extLst>
                    <c:strCache>
                      <c:ptCount val="1"/>
                      <c:pt idx="0">
                        <c:v>Markov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Tool'!$B$105:$AD$105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Tool'!$B$110:$AD$110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4.320801141312715E-3</c:v>
                      </c:pt>
                      <c:pt idx="2">
                        <c:v>5.1207439373725351E-3</c:v>
                      </c:pt>
                      <c:pt idx="3">
                        <c:v>6.1207416250998866E-3</c:v>
                      </c:pt>
                      <c:pt idx="4">
                        <c:v>7.0549212657077479E-3</c:v>
                      </c:pt>
                      <c:pt idx="5">
                        <c:v>8.1447569207019031E-3</c:v>
                      </c:pt>
                      <c:pt idx="6">
                        <c:v>9.4179573530188306E-3</c:v>
                      </c:pt>
                      <c:pt idx="7">
                        <c:v>1.0904393464339655E-2</c:v>
                      </c:pt>
                      <c:pt idx="8">
                        <c:v>1.2639572627212473E-2</c:v>
                      </c:pt>
                      <c:pt idx="9">
                        <c:v>1.3183840471862808E-2</c:v>
                      </c:pt>
                      <c:pt idx="10">
                        <c:v>1.3721775677688161E-2</c:v>
                      </c:pt>
                      <c:pt idx="11">
                        <c:v>1.4280812536661141E-2</c:v>
                      </c:pt>
                      <c:pt idx="12">
                        <c:v>1.4862071946840652E-2</c:v>
                      </c:pt>
                      <c:pt idx="13">
                        <c:v>1.5466409834881451E-2</c:v>
                      </c:pt>
                      <c:pt idx="14">
                        <c:v>1.6142930371998002E-2</c:v>
                      </c:pt>
                      <c:pt idx="15">
                        <c:v>1.6849680752124681E-2</c:v>
                      </c:pt>
                      <c:pt idx="16">
                        <c:v>1.7586845051268816E-2</c:v>
                      </c:pt>
                      <c:pt idx="17">
                        <c:v>1.8355694448594001E-2</c:v>
                      </c:pt>
                      <c:pt idx="18">
                        <c:v>1.9157567182501854E-2</c:v>
                      </c:pt>
                      <c:pt idx="19">
                        <c:v>2.0041058905646256E-2</c:v>
                      </c:pt>
                      <c:pt idx="20">
                        <c:v>2.096606934933453E-2</c:v>
                      </c:pt>
                      <c:pt idx="21">
                        <c:v>2.1933275776699943E-2</c:v>
                      </c:pt>
                      <c:pt idx="22">
                        <c:v>2.2944576988354275E-2</c:v>
                      </c:pt>
                      <c:pt idx="23">
                        <c:v>2.4001973321450047E-2</c:v>
                      </c:pt>
                      <c:pt idx="24">
                        <c:v>2.5110184898627902E-2</c:v>
                      </c:pt>
                      <c:pt idx="25">
                        <c:v>2.6269105170143241E-2</c:v>
                      </c:pt>
                      <c:pt idx="26">
                        <c:v>2.7480973230969985E-2</c:v>
                      </c:pt>
                      <c:pt idx="27">
                        <c:v>2.8748207034343564E-2</c:v>
                      </c:pt>
                      <c:pt idx="28">
                        <c:v>3.0073338389858355E-2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E08-4D19-A2D9-73564E1D888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Tool'!$A$114</c15:sqref>
                        </c15:formulaRef>
                      </c:ext>
                    </c:extLst>
                    <c:strCache>
                      <c:ptCount val="1"/>
                      <c:pt idx="0">
                        <c:v>What-if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Tool'!$B$105:$AD$105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Tool'!$B$119:$AD$119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4.320801141312715E-3</c:v>
                      </c:pt>
                      <c:pt idx="2">
                        <c:v>4.9540102363009233E-3</c:v>
                      </c:pt>
                      <c:pt idx="3">
                        <c:v>5.650965953387114E-3</c:v>
                      </c:pt>
                      <c:pt idx="4">
                        <c:v>6.1429484511121221E-3</c:v>
                      </c:pt>
                      <c:pt idx="5">
                        <c:v>6.6190124111415198E-3</c:v>
                      </c:pt>
                      <c:pt idx="6">
                        <c:v>7.0813523583165882E-3</c:v>
                      </c:pt>
                      <c:pt idx="7">
                        <c:v>7.5208186522855809E-3</c:v>
                      </c:pt>
                      <c:pt idx="8">
                        <c:v>7.9282664472437262E-3</c:v>
                      </c:pt>
                      <c:pt idx="9">
                        <c:v>7.4918883201450922E-3</c:v>
                      </c:pt>
                      <c:pt idx="10">
                        <c:v>7.0522532187672071E-3</c:v>
                      </c:pt>
                      <c:pt idx="11">
                        <c:v>6.6574917949373666E-3</c:v>
                      </c:pt>
                      <c:pt idx="12">
                        <c:v>6.3033923996703945E-3</c:v>
                      </c:pt>
                      <c:pt idx="13">
                        <c:v>5.985707524429399E-3</c:v>
                      </c:pt>
                      <c:pt idx="14">
                        <c:v>5.7165554200597525E-3</c:v>
                      </c:pt>
                      <c:pt idx="15">
                        <c:v>5.4743993621027597E-3</c:v>
                      </c:pt>
                      <c:pt idx="16">
                        <c:v>5.255581531134197E-3</c:v>
                      </c:pt>
                      <c:pt idx="17">
                        <c:v>5.058020308430413E-3</c:v>
                      </c:pt>
                      <c:pt idx="18">
                        <c:v>4.87987745972677E-3</c:v>
                      </c:pt>
                      <c:pt idx="19">
                        <c:v>4.7293584251376893E-3</c:v>
                      </c:pt>
                      <c:pt idx="20">
                        <c:v>4.5934968567879503E-3</c:v>
                      </c:pt>
                      <c:pt idx="21">
                        <c:v>4.4701611163859038E-3</c:v>
                      </c:pt>
                      <c:pt idx="22">
                        <c:v>4.3584382886560774E-3</c:v>
                      </c:pt>
                      <c:pt idx="23">
                        <c:v>4.2575053722995757E-3</c:v>
                      </c:pt>
                      <c:pt idx="24">
                        <c:v>4.1669694586750671E-3</c:v>
                      </c:pt>
                      <c:pt idx="25">
                        <c:v>4.0856871739881045E-3</c:v>
                      </c:pt>
                      <c:pt idx="26">
                        <c:v>4.0129597154376934E-3</c:v>
                      </c:pt>
                      <c:pt idx="27">
                        <c:v>3.948212698983186E-3</c:v>
                      </c:pt>
                      <c:pt idx="28">
                        <c:v>3.8909146960955866E-3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E08-4D19-A2D9-73564E1D8886}"/>
                  </c:ext>
                </c:extLst>
              </c15:ser>
            </c15:filteredLineSeries>
          </c:ext>
        </c:extLst>
      </c:lineChart>
      <c:catAx>
        <c:axId val="130751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514655"/>
        <c:crosses val="autoZero"/>
        <c:auto val="1"/>
        <c:lblAlgn val="ctr"/>
        <c:lblOffset val="100"/>
        <c:noMultiLvlLbl val="0"/>
      </c:catAx>
      <c:valAx>
        <c:axId val="130751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514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Net Zero 2050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'CEM Tool'!$A$96</c:f>
              <c:strCache>
                <c:ptCount val="1"/>
                <c:pt idx="0">
                  <c:v>PD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'CEM Tool'!$B$114:$AD$114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Tool'!$B$102:$AD$102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5.6963573748441331E-3</c:v>
                </c:pt>
                <c:pt idx="2">
                  <c:v>8.8622570867191146E-3</c:v>
                </c:pt>
                <c:pt idx="3">
                  <c:v>1.3463547973626675E-2</c:v>
                </c:pt>
                <c:pt idx="4">
                  <c:v>1.5048909185630158E-2</c:v>
                </c:pt>
                <c:pt idx="5">
                  <c:v>1.6309492556493606E-2</c:v>
                </c:pt>
                <c:pt idx="6">
                  <c:v>1.737926588013293E-2</c:v>
                </c:pt>
                <c:pt idx="7">
                  <c:v>1.8285843597070233E-2</c:v>
                </c:pt>
                <c:pt idx="8">
                  <c:v>1.9037113358317606E-2</c:v>
                </c:pt>
                <c:pt idx="9">
                  <c:v>2.3765526607170545E-2</c:v>
                </c:pt>
                <c:pt idx="10">
                  <c:v>2.9401704258940634E-2</c:v>
                </c:pt>
                <c:pt idx="11">
                  <c:v>3.5636936056910984E-2</c:v>
                </c:pt>
                <c:pt idx="12">
                  <c:v>4.2168645900714848E-2</c:v>
                </c:pt>
                <c:pt idx="13">
                  <c:v>4.8620852896342888E-2</c:v>
                </c:pt>
                <c:pt idx="14">
                  <c:v>5.1078424314047188E-2</c:v>
                </c:pt>
                <c:pt idx="15">
                  <c:v>5.2185954193421508E-2</c:v>
                </c:pt>
                <c:pt idx="16">
                  <c:v>5.2134062363155494E-2</c:v>
                </c:pt>
                <c:pt idx="17">
                  <c:v>5.1005858197730812E-2</c:v>
                </c:pt>
                <c:pt idx="18">
                  <c:v>4.8909695441801265E-2</c:v>
                </c:pt>
                <c:pt idx="19">
                  <c:v>4.4524547167187067E-2</c:v>
                </c:pt>
                <c:pt idx="20">
                  <c:v>3.9781064084357123E-2</c:v>
                </c:pt>
                <c:pt idx="21">
                  <c:v>3.5015595741303279E-2</c:v>
                </c:pt>
                <c:pt idx="22">
                  <c:v>3.0404056624167824E-2</c:v>
                </c:pt>
                <c:pt idx="23">
                  <c:v>2.6059468125673928E-2</c:v>
                </c:pt>
                <c:pt idx="24">
                  <c:v>2.1530417253574852E-2</c:v>
                </c:pt>
                <c:pt idx="25">
                  <c:v>1.7598936108211814E-2</c:v>
                </c:pt>
                <c:pt idx="26">
                  <c:v>1.4293518480946421E-2</c:v>
                </c:pt>
                <c:pt idx="27">
                  <c:v>1.15553710496541E-2</c:v>
                </c:pt>
                <c:pt idx="28">
                  <c:v>9.3069453335360101E-3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FB-4DA2-A233-B803D2884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504480"/>
        <c:axId val="67349699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'CEM Tool'!$A$105</c15:sqref>
                        </c15:formulaRef>
                      </c:ext>
                    </c:extLst>
                    <c:strCache>
                      <c:ptCount val="1"/>
                      <c:pt idx="0">
                        <c:v>Markov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Tool'!$B$114:$AD$114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Tool'!$B$111:$AD$111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5.6963573748441331E-3</c:v>
                      </c:pt>
                      <c:pt idx="2">
                        <c:v>9.1654617059473715E-3</c:v>
                      </c:pt>
                      <c:pt idx="3">
                        <c:v>1.49186299260579E-2</c:v>
                      </c:pt>
                      <c:pt idx="4">
                        <c:v>1.8435295420303626E-2</c:v>
                      </c:pt>
                      <c:pt idx="5">
                        <c:v>2.2659160733607246E-2</c:v>
                      </c:pt>
                      <c:pt idx="6">
                        <c:v>2.7877717612125912E-2</c:v>
                      </c:pt>
                      <c:pt idx="7">
                        <c:v>3.433685728745068E-2</c:v>
                      </c:pt>
                      <c:pt idx="8">
                        <c:v>4.2345060470539167E-2</c:v>
                      </c:pt>
                      <c:pt idx="9">
                        <c:v>6.3739302131798972E-2</c:v>
                      </c:pt>
                      <c:pt idx="10">
                        <c:v>9.7322473818774097E-2</c:v>
                      </c:pt>
                      <c:pt idx="11">
                        <c:v>0.1498132156695183</c:v>
                      </c:pt>
                      <c:pt idx="12">
                        <c:v>0.23275588204151978</c:v>
                      </c:pt>
                      <c:pt idx="13">
                        <c:v>0.36544193944165704</c:v>
                      </c:pt>
                      <c:pt idx="14">
                        <c:v>0.53922523500039898</c:v>
                      </c:pt>
                      <c:pt idx="15">
                        <c:v>0.79860753115453575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FFB-4DA2-A233-B803D2884D81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Tool'!$A$114</c15:sqref>
                        </c15:formulaRef>
                      </c:ext>
                    </c:extLst>
                    <c:strCache>
                      <c:ptCount val="1"/>
                      <c:pt idx="0">
                        <c:v>What-if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Tool'!$B$114:$AD$114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'CEM Tool'!$B$120:$AD$120</c15:sqref>
                        </c15:formulaRef>
                      </c:ext>
                    </c:extLst>
                    <c:numCache>
                      <c:formatCode>0.000%</c:formatCode>
                      <c:ptCount val="29"/>
                      <c:pt idx="0">
                        <c:v>3.7141701647138386E-3</c:v>
                      </c:pt>
                      <c:pt idx="1">
                        <c:v>5.6963573748441331E-3</c:v>
                      </c:pt>
                      <c:pt idx="2">
                        <c:v>8.5691504369166272E-3</c:v>
                      </c:pt>
                      <c:pt idx="3">
                        <c:v>1.2572264817352413E-2</c:v>
                      </c:pt>
                      <c:pt idx="4">
                        <c:v>1.3624980170190279E-2</c:v>
                      </c:pt>
                      <c:pt idx="5">
                        <c:v>1.4397820486432129E-2</c:v>
                      </c:pt>
                      <c:pt idx="6">
                        <c:v>1.5082396429594228E-2</c:v>
                      </c:pt>
                      <c:pt idx="7">
                        <c:v>1.5666954033895095E-2</c:v>
                      </c:pt>
                      <c:pt idx="8">
                        <c:v>1.6137600596430355E-2</c:v>
                      </c:pt>
                      <c:pt idx="9">
                        <c:v>1.9887375340536036E-2</c:v>
                      </c:pt>
                      <c:pt idx="10">
                        <c:v>2.4196285619077218E-2</c:v>
                      </c:pt>
                      <c:pt idx="11">
                        <c:v>2.8658758326896631E-2</c:v>
                      </c:pt>
                      <c:pt idx="12">
                        <c:v>3.3028707591912794E-2</c:v>
                      </c:pt>
                      <c:pt idx="13">
                        <c:v>3.7031373352680516E-2</c:v>
                      </c:pt>
                      <c:pt idx="14">
                        <c:v>3.7876322034592277E-2</c:v>
                      </c:pt>
                      <c:pt idx="15">
                        <c:v>3.7742240612029236E-2</c:v>
                      </c:pt>
                      <c:pt idx="16">
                        <c:v>3.688904966332536E-2</c:v>
                      </c:pt>
                      <c:pt idx="17">
                        <c:v>3.537227637705307E-2</c:v>
                      </c:pt>
                      <c:pt idx="18">
                        <c:v>3.3276406328299223E-2</c:v>
                      </c:pt>
                      <c:pt idx="19">
                        <c:v>2.976808676574565E-2</c:v>
                      </c:pt>
                      <c:pt idx="20">
                        <c:v>2.6183764523036758E-2</c:v>
                      </c:pt>
                      <c:pt idx="21">
                        <c:v>2.2746781888987537E-2</c:v>
                      </c:pt>
                      <c:pt idx="22">
                        <c:v>1.9518726041533027E-2</c:v>
                      </c:pt>
                      <c:pt idx="23">
                        <c:v>1.6542769804298914E-2</c:v>
                      </c:pt>
                      <c:pt idx="24">
                        <c:v>1.3527212746324485E-2</c:v>
                      </c:pt>
                      <c:pt idx="25">
                        <c:v>1.0970469702869433E-2</c:v>
                      </c:pt>
                      <c:pt idx="26">
                        <c:v>8.873587177319512E-3</c:v>
                      </c:pt>
                      <c:pt idx="27">
                        <c:v>7.1614391914526856E-3</c:v>
                      </c:pt>
                      <c:pt idx="28">
                        <c:v>5.772792491833832E-3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FFB-4DA2-A233-B803D2884D81}"/>
                  </c:ext>
                </c:extLst>
              </c15:ser>
            </c15:filteredLineSeries>
          </c:ext>
        </c:extLst>
      </c:lineChart>
      <c:catAx>
        <c:axId val="6735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496992"/>
        <c:crosses val="autoZero"/>
        <c:auto val="1"/>
        <c:lblAlgn val="ctr"/>
        <c:lblOffset val="100"/>
        <c:noMultiLvlLbl val="0"/>
      </c:catAx>
      <c:valAx>
        <c:axId val="67349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50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Tool'!$A$97</c:f>
              <c:strCache>
                <c:ptCount val="1"/>
                <c:pt idx="0">
                  <c:v>Below 2°C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'CEM Tool'!$B$97:$AD$97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4.073662206714691E-3</c:v>
                </c:pt>
                <c:pt idx="2">
                  <c:v>4.4503519120501281E-3</c:v>
                </c:pt>
                <c:pt idx="3">
                  <c:v>4.8328031598185639E-3</c:v>
                </c:pt>
                <c:pt idx="4">
                  <c:v>5.0074967598352678E-3</c:v>
                </c:pt>
                <c:pt idx="5">
                  <c:v>5.1575896770218238E-3</c:v>
                </c:pt>
                <c:pt idx="6">
                  <c:v>5.2901288155798943E-3</c:v>
                </c:pt>
                <c:pt idx="7">
                  <c:v>5.407453423491553E-3</c:v>
                </c:pt>
                <c:pt idx="8">
                  <c:v>5.5103440263453551E-3</c:v>
                </c:pt>
                <c:pt idx="9">
                  <c:v>5.5126703435265396E-3</c:v>
                </c:pt>
                <c:pt idx="10">
                  <c:v>5.5003168646422769E-3</c:v>
                </c:pt>
                <c:pt idx="11">
                  <c:v>5.4778247386790095E-3</c:v>
                </c:pt>
                <c:pt idx="12">
                  <c:v>5.4471120522625134E-3</c:v>
                </c:pt>
                <c:pt idx="13">
                  <c:v>5.4092144430576477E-3</c:v>
                </c:pt>
                <c:pt idx="14">
                  <c:v>5.2872984187301054E-3</c:v>
                </c:pt>
                <c:pt idx="15">
                  <c:v>5.1640332379154956E-3</c:v>
                </c:pt>
                <c:pt idx="16">
                  <c:v>5.0442707298100449E-3</c:v>
                </c:pt>
                <c:pt idx="17">
                  <c:v>4.9297719110818318E-3</c:v>
                </c:pt>
                <c:pt idx="18">
                  <c:v>4.8211828782138942E-3</c:v>
                </c:pt>
                <c:pt idx="19">
                  <c:v>4.6664276567513121E-3</c:v>
                </c:pt>
                <c:pt idx="20">
                  <c:v>4.5232737769648774E-3</c:v>
                </c:pt>
                <c:pt idx="21">
                  <c:v>4.3951443388189045E-3</c:v>
                </c:pt>
                <c:pt idx="22">
                  <c:v>4.2826166251764648E-3</c:v>
                </c:pt>
                <c:pt idx="23">
                  <c:v>4.185227181417079E-3</c:v>
                </c:pt>
                <c:pt idx="24">
                  <c:v>4.0785443924964216E-3</c:v>
                </c:pt>
                <c:pt idx="25">
                  <c:v>3.9888005863824979E-3</c:v>
                </c:pt>
                <c:pt idx="26">
                  <c:v>3.9180160733808707E-3</c:v>
                </c:pt>
                <c:pt idx="27">
                  <c:v>3.8661232321169792E-3</c:v>
                </c:pt>
                <c:pt idx="28">
                  <c:v>3.8324653920181759E-3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F4-4376-84E8-8247D1D79B41}"/>
            </c:ext>
          </c:extLst>
        </c:ser>
        <c:ser>
          <c:idx val="2"/>
          <c:order val="2"/>
          <c:tx>
            <c:strRef>
              <c:f>'CEM Tool'!$A$98</c:f>
              <c:strCache>
                <c:ptCount val="1"/>
                <c:pt idx="0">
                  <c:v>Current Policies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'CEM Tool'!$B$98:$AD$98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3.6586026726502922E-3</c:v>
                </c:pt>
                <c:pt idx="2">
                  <c:v>3.5881406889900231E-3</c:v>
                </c:pt>
                <c:pt idx="3">
                  <c:v>3.5184423204138397E-3</c:v>
                </c:pt>
                <c:pt idx="4">
                  <c:v>3.5093968748691595E-3</c:v>
                </c:pt>
                <c:pt idx="5">
                  <c:v>3.5027334161055819E-3</c:v>
                </c:pt>
                <c:pt idx="6">
                  <c:v>3.4976037119054553E-3</c:v>
                </c:pt>
                <c:pt idx="7">
                  <c:v>3.4937764238712589E-3</c:v>
                </c:pt>
                <c:pt idx="8">
                  <c:v>3.4911308839285465E-3</c:v>
                </c:pt>
                <c:pt idx="9">
                  <c:v>3.4913332170923451E-3</c:v>
                </c:pt>
                <c:pt idx="10">
                  <c:v>3.4925911900867235E-3</c:v>
                </c:pt>
                <c:pt idx="11">
                  <c:v>3.4948217976688623E-3</c:v>
                </c:pt>
                <c:pt idx="12">
                  <c:v>3.4979985571218404E-3</c:v>
                </c:pt>
                <c:pt idx="13">
                  <c:v>3.5021193269746649E-3</c:v>
                </c:pt>
                <c:pt idx="14">
                  <c:v>3.5082522988454674E-3</c:v>
                </c:pt>
                <c:pt idx="15">
                  <c:v>3.5153604734290762E-3</c:v>
                </c:pt>
                <c:pt idx="16">
                  <c:v>3.5234127438362834E-3</c:v>
                </c:pt>
                <c:pt idx="17">
                  <c:v>3.5324144158986577E-3</c:v>
                </c:pt>
                <c:pt idx="18">
                  <c:v>3.5423865371556431E-3</c:v>
                </c:pt>
                <c:pt idx="19">
                  <c:v>3.5541695137134041E-3</c:v>
                </c:pt>
                <c:pt idx="20">
                  <c:v>3.5669811290862533E-3</c:v>
                </c:pt>
                <c:pt idx="21">
                  <c:v>3.5807906543894202E-3</c:v>
                </c:pt>
                <c:pt idx="22">
                  <c:v>3.5956023160871693E-3</c:v>
                </c:pt>
                <c:pt idx="23">
                  <c:v>3.6114357641483168E-3</c:v>
                </c:pt>
                <c:pt idx="24">
                  <c:v>3.6283764044597279E-3</c:v>
                </c:pt>
                <c:pt idx="25">
                  <c:v>3.6463937942243525E-3</c:v>
                </c:pt>
                <c:pt idx="26">
                  <c:v>3.6655135780292738E-3</c:v>
                </c:pt>
                <c:pt idx="27">
                  <c:v>3.685766898388107E-3</c:v>
                </c:pt>
                <c:pt idx="28">
                  <c:v>3.7071877939998089E-3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F4-4376-84E8-8247D1D79B41}"/>
            </c:ext>
          </c:extLst>
        </c:ser>
        <c:ser>
          <c:idx val="3"/>
          <c:order val="3"/>
          <c:tx>
            <c:strRef>
              <c:f>'CEM Tool'!$A$99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'CEM Tool'!$B$99:$AD$99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3.6586026726502922E-3</c:v>
                </c:pt>
                <c:pt idx="2">
                  <c:v>3.5881406889900231E-3</c:v>
                </c:pt>
                <c:pt idx="3">
                  <c:v>3.5184423204138397E-3</c:v>
                </c:pt>
                <c:pt idx="4">
                  <c:v>3.5093968748691595E-3</c:v>
                </c:pt>
                <c:pt idx="5">
                  <c:v>3.5027334161055819E-3</c:v>
                </c:pt>
                <c:pt idx="6">
                  <c:v>3.4976037119054553E-3</c:v>
                </c:pt>
                <c:pt idx="7">
                  <c:v>3.4937764238712589E-3</c:v>
                </c:pt>
                <c:pt idx="8">
                  <c:v>3.4911308839285465E-3</c:v>
                </c:pt>
                <c:pt idx="9">
                  <c:v>5.5127150874003019E-3</c:v>
                </c:pt>
                <c:pt idx="10">
                  <c:v>9.2355122248384044E-3</c:v>
                </c:pt>
                <c:pt idx="11">
                  <c:v>1.512558423500307E-2</c:v>
                </c:pt>
                <c:pt idx="12">
                  <c:v>2.3801132356290101E-2</c:v>
                </c:pt>
                <c:pt idx="13">
                  <c:v>3.5763039338674862E-2</c:v>
                </c:pt>
                <c:pt idx="14">
                  <c:v>4.1989804924780424E-2</c:v>
                </c:pt>
                <c:pt idx="15">
                  <c:v>4.6802952366669835E-2</c:v>
                </c:pt>
                <c:pt idx="16">
                  <c:v>5.0289952351339956E-2</c:v>
                </c:pt>
                <c:pt idx="17">
                  <c:v>5.2326812591129833E-2</c:v>
                </c:pt>
                <c:pt idx="18">
                  <c:v>5.2840558760022735E-2</c:v>
                </c:pt>
                <c:pt idx="19">
                  <c:v>5.0629837476148701E-2</c:v>
                </c:pt>
                <c:pt idx="20">
                  <c:v>4.7180344935266627E-2</c:v>
                </c:pt>
                <c:pt idx="21">
                  <c:v>4.2889976460897393E-2</c:v>
                </c:pt>
                <c:pt idx="22">
                  <c:v>3.8080039888628091E-2</c:v>
                </c:pt>
                <c:pt idx="23">
                  <c:v>3.3041211078823012E-2</c:v>
                </c:pt>
                <c:pt idx="24">
                  <c:v>2.7671649271862185E-2</c:v>
                </c:pt>
                <c:pt idx="25">
                  <c:v>2.2681468751342363E-2</c:v>
                </c:pt>
                <c:pt idx="26">
                  <c:v>1.8239246439070024E-2</c:v>
                </c:pt>
                <c:pt idx="27">
                  <c:v>1.4403688958294284E-2</c:v>
                </c:pt>
                <c:pt idx="28">
                  <c:v>1.1176391191695148E-2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F4-4376-84E8-8247D1D79B41}"/>
            </c:ext>
          </c:extLst>
        </c:ser>
        <c:ser>
          <c:idx val="4"/>
          <c:order val="4"/>
          <c:tx>
            <c:strRef>
              <c:f>'CEM Tool'!$A$100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'CEM Tool'!$B$100:$AD$100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1.1126752007503822E-2</c:v>
                </c:pt>
                <c:pt idx="2">
                  <c:v>3.3503349359623048E-2</c:v>
                </c:pt>
                <c:pt idx="3">
                  <c:v>9.5492194471267014E-2</c:v>
                </c:pt>
                <c:pt idx="4">
                  <c:v>0.1294977925313085</c:v>
                </c:pt>
                <c:pt idx="5">
                  <c:v>0.15966436699358755</c:v>
                </c:pt>
                <c:pt idx="6">
                  <c:v>0.18866922988944348</c:v>
                </c:pt>
                <c:pt idx="7">
                  <c:v>0.21590624390312624</c:v>
                </c:pt>
                <c:pt idx="8">
                  <c:v>0.24047324673101658</c:v>
                </c:pt>
                <c:pt idx="9">
                  <c:v>0.22685288930614869</c:v>
                </c:pt>
                <c:pt idx="10">
                  <c:v>0.20827365010039595</c:v>
                </c:pt>
                <c:pt idx="11">
                  <c:v>0.18880843772368205</c:v>
                </c:pt>
                <c:pt idx="12">
                  <c:v>0.16949817079841017</c:v>
                </c:pt>
                <c:pt idx="13">
                  <c:v>0.15089797889707762</c:v>
                </c:pt>
                <c:pt idx="14">
                  <c:v>0.11851386644921102</c:v>
                </c:pt>
                <c:pt idx="15">
                  <c:v>9.2461489192714102E-2</c:v>
                </c:pt>
                <c:pt idx="16">
                  <c:v>7.2522897308887183E-2</c:v>
                </c:pt>
                <c:pt idx="17">
                  <c:v>5.7328387819459543E-2</c:v>
                </c:pt>
                <c:pt idx="18">
                  <c:v>4.5712987328942752E-2</c:v>
                </c:pt>
                <c:pt idx="19">
                  <c:v>3.4854999810041934E-2</c:v>
                </c:pt>
                <c:pt idx="20">
                  <c:v>2.6862443124405305E-2</c:v>
                </c:pt>
                <c:pt idx="21">
                  <c:v>2.1040909377978666E-2</c:v>
                </c:pt>
                <c:pt idx="22">
                  <c:v>1.6773561167880782E-2</c:v>
                </c:pt>
                <c:pt idx="23">
                  <c:v>1.3614237287098714E-2</c:v>
                </c:pt>
                <c:pt idx="24">
                  <c:v>1.0690110708657911E-2</c:v>
                </c:pt>
                <c:pt idx="25">
                  <c:v>8.5849659730640199E-3</c:v>
                </c:pt>
                <c:pt idx="26">
                  <c:v>7.1112152096156431E-3</c:v>
                </c:pt>
                <c:pt idx="27">
                  <c:v>6.0959769448166289E-3</c:v>
                </c:pt>
                <c:pt idx="28">
                  <c:v>5.4140505031768284E-3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F4-4376-84E8-8247D1D79B41}"/>
            </c:ext>
          </c:extLst>
        </c:ser>
        <c:ser>
          <c:idx val="5"/>
          <c:order val="5"/>
          <c:tx>
            <c:strRef>
              <c:f>'CEM Tool'!$A$101</c:f>
              <c:strCache>
                <c:ptCount val="1"/>
                <c:pt idx="0">
                  <c:v>Nationally Determined Contributions (NDCs)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'CEM Tool'!$B$101:$AD$101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4.320801141312715E-3</c:v>
                </c:pt>
                <c:pt idx="2">
                  <c:v>5.0365216835996617E-3</c:v>
                </c:pt>
                <c:pt idx="3">
                  <c:v>5.8305241455570006E-3</c:v>
                </c:pt>
                <c:pt idx="4">
                  <c:v>6.4217582656030314E-3</c:v>
                </c:pt>
                <c:pt idx="5">
                  <c:v>6.9999074931956888E-3</c:v>
                </c:pt>
                <c:pt idx="6">
                  <c:v>7.5636454919406531E-3</c:v>
                </c:pt>
                <c:pt idx="7">
                  <c:v>8.10630622781797E-3</c:v>
                </c:pt>
                <c:pt idx="8">
                  <c:v>8.619475817271181E-3</c:v>
                </c:pt>
                <c:pt idx="9">
                  <c:v>8.2009946513405194E-3</c:v>
                </c:pt>
                <c:pt idx="10">
                  <c:v>7.7536068975715749E-3</c:v>
                </c:pt>
                <c:pt idx="11">
                  <c:v>7.3238651296708337E-3</c:v>
                </c:pt>
                <c:pt idx="12">
                  <c:v>6.924990813308626E-3</c:v>
                </c:pt>
                <c:pt idx="13">
                  <c:v>6.5607744766849486E-3</c:v>
                </c:pt>
                <c:pt idx="14">
                  <c:v>6.2485490048891593E-3</c:v>
                </c:pt>
                <c:pt idx="15">
                  <c:v>5.9664806285482531E-3</c:v>
                </c:pt>
                <c:pt idx="16">
                  <c:v>5.7114068273089354E-3</c:v>
                </c:pt>
                <c:pt idx="17">
                  <c:v>5.4807925769488515E-3</c:v>
                </c:pt>
                <c:pt idx="18">
                  <c:v>5.2724248254595076E-3</c:v>
                </c:pt>
                <c:pt idx="19">
                  <c:v>5.0952359462989099E-3</c:v>
                </c:pt>
                <c:pt idx="20">
                  <c:v>4.9352851409942356E-3</c:v>
                </c:pt>
                <c:pt idx="21">
                  <c:v>4.7903404172537998E-3</c:v>
                </c:pt>
                <c:pt idx="22">
                  <c:v>4.6588929890267455E-3</c:v>
                </c:pt>
                <c:pt idx="23">
                  <c:v>4.5397747154202134E-3</c:v>
                </c:pt>
                <c:pt idx="24">
                  <c:v>4.4324181071183156E-3</c:v>
                </c:pt>
                <c:pt idx="25">
                  <c:v>4.3355287252955614E-3</c:v>
                </c:pt>
                <c:pt idx="26">
                  <c:v>4.2483144040960825E-3</c:v>
                </c:pt>
                <c:pt idx="27">
                  <c:v>4.1700934278850821E-3</c:v>
                </c:pt>
                <c:pt idx="28">
                  <c:v>4.1002607109474187E-3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F4-4376-84E8-8247D1D79B41}"/>
            </c:ext>
          </c:extLst>
        </c:ser>
        <c:ser>
          <c:idx val="6"/>
          <c:order val="6"/>
          <c:tx>
            <c:strRef>
              <c:f>'CEM Tool'!$A$102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'CEM Tool'!$B$102:$AD$102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5.6963573748441331E-3</c:v>
                </c:pt>
                <c:pt idx="2">
                  <c:v>8.8622570867191146E-3</c:v>
                </c:pt>
                <c:pt idx="3">
                  <c:v>1.3463547973626675E-2</c:v>
                </c:pt>
                <c:pt idx="4">
                  <c:v>1.5048909185630158E-2</c:v>
                </c:pt>
                <c:pt idx="5">
                  <c:v>1.6309492556493606E-2</c:v>
                </c:pt>
                <c:pt idx="6">
                  <c:v>1.737926588013293E-2</c:v>
                </c:pt>
                <c:pt idx="7">
                  <c:v>1.8285843597070233E-2</c:v>
                </c:pt>
                <c:pt idx="8">
                  <c:v>1.9037113358317606E-2</c:v>
                </c:pt>
                <c:pt idx="9">
                  <c:v>2.3765526607170545E-2</c:v>
                </c:pt>
                <c:pt idx="10">
                  <c:v>2.9401704258940634E-2</c:v>
                </c:pt>
                <c:pt idx="11">
                  <c:v>3.5636936056910984E-2</c:v>
                </c:pt>
                <c:pt idx="12">
                  <c:v>4.2168645900714848E-2</c:v>
                </c:pt>
                <c:pt idx="13">
                  <c:v>4.8620852896342888E-2</c:v>
                </c:pt>
                <c:pt idx="14">
                  <c:v>5.1078424314047188E-2</c:v>
                </c:pt>
                <c:pt idx="15">
                  <c:v>5.2185954193421508E-2</c:v>
                </c:pt>
                <c:pt idx="16">
                  <c:v>5.2134062363155494E-2</c:v>
                </c:pt>
                <c:pt idx="17">
                  <c:v>5.1005858197730812E-2</c:v>
                </c:pt>
                <c:pt idx="18">
                  <c:v>4.8909695441801265E-2</c:v>
                </c:pt>
                <c:pt idx="19">
                  <c:v>4.4524547167187067E-2</c:v>
                </c:pt>
                <c:pt idx="20">
                  <c:v>3.9781064084357123E-2</c:v>
                </c:pt>
                <c:pt idx="21">
                  <c:v>3.5015595741303279E-2</c:v>
                </c:pt>
                <c:pt idx="22">
                  <c:v>3.0404056624167824E-2</c:v>
                </c:pt>
                <c:pt idx="23">
                  <c:v>2.6059468125673928E-2</c:v>
                </c:pt>
                <c:pt idx="24">
                  <c:v>2.1530417253574852E-2</c:v>
                </c:pt>
                <c:pt idx="25">
                  <c:v>1.7598936108211814E-2</c:v>
                </c:pt>
                <c:pt idx="26">
                  <c:v>1.4293518480946421E-2</c:v>
                </c:pt>
                <c:pt idx="27">
                  <c:v>1.15553710496541E-2</c:v>
                </c:pt>
                <c:pt idx="28">
                  <c:v>9.3069453335360101E-3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F4-4376-84E8-8247D1D79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3532927"/>
        <c:axId val="158801779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Tool'!$A$96</c15:sqref>
                        </c15:formulaRef>
                      </c:ext>
                    </c:extLst>
                    <c:strCache>
                      <c:ptCount val="1"/>
                      <c:pt idx="0">
                        <c:v>PD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'CEM Tool'!$B$96:$AD$96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0F4-4376-84E8-8247D1D79B41}"/>
                  </c:ext>
                </c:extLst>
              </c15:ser>
            </c15:filteredLineSeries>
          </c:ext>
        </c:extLst>
      </c:lineChart>
      <c:catAx>
        <c:axId val="15935329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017791"/>
        <c:crosses val="autoZero"/>
        <c:auto val="1"/>
        <c:lblAlgn val="ctr"/>
        <c:lblOffset val="100"/>
        <c:noMultiLvlLbl val="0"/>
      </c:catAx>
      <c:valAx>
        <c:axId val="158801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53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Markov 100%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Tool'!$A$106</c:f>
              <c:strCache>
                <c:ptCount val="1"/>
                <c:pt idx="0">
                  <c:v>Below 2°C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'CEM Tool'!$B$106:$AD$106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4.073662206714691E-3</c:v>
                </c:pt>
                <c:pt idx="2">
                  <c:v>4.5050699743520474E-3</c:v>
                </c:pt>
                <c:pt idx="3">
                  <c:v>5.0026177440907222E-3</c:v>
                </c:pt>
                <c:pt idx="4">
                  <c:v>5.3424218793053776E-3</c:v>
                </c:pt>
                <c:pt idx="5">
                  <c:v>5.7073571779029889E-3</c:v>
                </c:pt>
                <c:pt idx="6">
                  <c:v>6.1007466560040746E-3</c:v>
                </c:pt>
                <c:pt idx="7">
                  <c:v>6.524172258050135E-3</c:v>
                </c:pt>
                <c:pt idx="8">
                  <c:v>6.9794096010028723E-3</c:v>
                </c:pt>
                <c:pt idx="9">
                  <c:v>7.3489105623699615E-3</c:v>
                </c:pt>
                <c:pt idx="10">
                  <c:v>7.7363550799852965E-3</c:v>
                </c:pt>
                <c:pt idx="11">
                  <c:v>8.1441201970997423E-3</c:v>
                </c:pt>
                <c:pt idx="12">
                  <c:v>8.5731565268051969E-3</c:v>
                </c:pt>
                <c:pt idx="13">
                  <c:v>9.0244537803063143E-3</c:v>
                </c:pt>
                <c:pt idx="14">
                  <c:v>9.3532515458576108E-3</c:v>
                </c:pt>
                <c:pt idx="15">
                  <c:v>9.6900442723048697E-3</c:v>
                </c:pt>
                <c:pt idx="16">
                  <c:v>1.003738879868302E-2</c:v>
                </c:pt>
                <c:pt idx="17">
                  <c:v>1.0395577222410746E-2</c:v>
                </c:pt>
                <c:pt idx="18">
                  <c:v>1.0764883027313257E-2</c:v>
                </c:pt>
                <c:pt idx="19">
                  <c:v>1.1008633390845868E-2</c:v>
                </c:pt>
                <c:pt idx="20">
                  <c:v>1.1252798675874615E-2</c:v>
                </c:pt>
                <c:pt idx="21">
                  <c:v>1.1499847434863783E-2</c:v>
                </c:pt>
                <c:pt idx="22">
                  <c:v>1.1749773667242376E-2</c:v>
                </c:pt>
                <c:pt idx="23">
                  <c:v>1.2002542162206494E-2</c:v>
                </c:pt>
                <c:pt idx="24">
                  <c:v>1.2173189958801104E-2</c:v>
                </c:pt>
                <c:pt idx="25">
                  <c:v>1.2341075872328683E-2</c:v>
                </c:pt>
                <c:pt idx="26">
                  <c:v>1.2507797771776675E-2</c:v>
                </c:pt>
                <c:pt idx="27">
                  <c:v>1.2673276301396825E-2</c:v>
                </c:pt>
                <c:pt idx="28">
                  <c:v>1.2837413762571094E-2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8-4FB0-A556-4AB2B8C92715}"/>
            </c:ext>
          </c:extLst>
        </c:ser>
        <c:ser>
          <c:idx val="2"/>
          <c:order val="2"/>
          <c:tx>
            <c:strRef>
              <c:f>'CEM Tool'!$A$107</c:f>
              <c:strCache>
                <c:ptCount val="1"/>
                <c:pt idx="0">
                  <c:v>Current Policies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'CEM Tool'!$B$107:$AD$107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3.6586026726502922E-3</c:v>
                </c:pt>
                <c:pt idx="2">
                  <c:v>3.6056018852063348E-3</c:v>
                </c:pt>
                <c:pt idx="3">
                  <c:v>3.5557833826792688E-3</c:v>
                </c:pt>
                <c:pt idx="4">
                  <c:v>3.5677869130994362E-3</c:v>
                </c:pt>
                <c:pt idx="5">
                  <c:v>3.5804510173707083E-3</c:v>
                </c:pt>
                <c:pt idx="6">
                  <c:v>3.5933235517417875E-3</c:v>
                </c:pt>
                <c:pt idx="7">
                  <c:v>3.6063954622250192E-3</c:v>
                </c:pt>
                <c:pt idx="8">
                  <c:v>3.6196626505293483E-3</c:v>
                </c:pt>
                <c:pt idx="9">
                  <c:v>3.6352595131612358E-3</c:v>
                </c:pt>
                <c:pt idx="10">
                  <c:v>3.6511256757196047E-3</c:v>
                </c:pt>
                <c:pt idx="11">
                  <c:v>3.6672404570892003E-3</c:v>
                </c:pt>
                <c:pt idx="12">
                  <c:v>3.6835988196422401E-3</c:v>
                </c:pt>
                <c:pt idx="13">
                  <c:v>3.7001961844314799E-3</c:v>
                </c:pt>
                <c:pt idx="14">
                  <c:v>3.7183925594708712E-3</c:v>
                </c:pt>
                <c:pt idx="15">
                  <c:v>3.7368686443834428E-3</c:v>
                </c:pt>
                <c:pt idx="16">
                  <c:v>3.7556097841115804E-3</c:v>
                </c:pt>
                <c:pt idx="17">
                  <c:v>3.7746114274914803E-3</c:v>
                </c:pt>
                <c:pt idx="18">
                  <c:v>3.7938694124558391E-3</c:v>
                </c:pt>
                <c:pt idx="19">
                  <c:v>3.8144227445564816E-3</c:v>
                </c:pt>
                <c:pt idx="20">
                  <c:v>3.8352595891264513E-3</c:v>
                </c:pt>
                <c:pt idx="21">
                  <c:v>3.8563682868945448E-3</c:v>
                </c:pt>
                <c:pt idx="22">
                  <c:v>3.8777450412230746E-3</c:v>
                </c:pt>
                <c:pt idx="23">
                  <c:v>3.8993863856107997E-3</c:v>
                </c:pt>
                <c:pt idx="24">
                  <c:v>3.9213602091243355E-3</c:v>
                </c:pt>
                <c:pt idx="25">
                  <c:v>3.9435926252498242E-3</c:v>
                </c:pt>
                <c:pt idx="26">
                  <c:v>3.9660801898729944E-3</c:v>
                </c:pt>
                <c:pt idx="27">
                  <c:v>3.9888201849790647E-3</c:v>
                </c:pt>
                <c:pt idx="28">
                  <c:v>4.0118100810865092E-3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8-4FB0-A556-4AB2B8C92715}"/>
            </c:ext>
          </c:extLst>
        </c:ser>
        <c:ser>
          <c:idx val="3"/>
          <c:order val="3"/>
          <c:tx>
            <c:strRef>
              <c:f>'CEM Tool'!$A$108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'CEM Tool'!$B$108:$AD$108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3.6586026726502922E-3</c:v>
                </c:pt>
                <c:pt idx="2">
                  <c:v>3.6056018852063348E-3</c:v>
                </c:pt>
                <c:pt idx="3">
                  <c:v>3.5557833826792688E-3</c:v>
                </c:pt>
                <c:pt idx="4">
                  <c:v>3.5677869130994362E-3</c:v>
                </c:pt>
                <c:pt idx="5">
                  <c:v>3.5804510173707083E-3</c:v>
                </c:pt>
                <c:pt idx="6">
                  <c:v>3.5933235517417875E-3</c:v>
                </c:pt>
                <c:pt idx="7">
                  <c:v>3.6063954622250192E-3</c:v>
                </c:pt>
                <c:pt idx="8">
                  <c:v>3.6196626505293483E-3</c:v>
                </c:pt>
                <c:pt idx="9">
                  <c:v>5.8459451992161644E-3</c:v>
                </c:pt>
                <c:pt idx="10">
                  <c:v>1.0030959053802187E-2</c:v>
                </c:pt>
                <c:pt idx="11">
                  <c:v>1.7442200488217145E-2</c:v>
                </c:pt>
                <c:pt idx="12">
                  <c:v>3.0589227786947469E-2</c:v>
                </c:pt>
                <c:pt idx="13">
                  <c:v>5.415752214446104E-2</c:v>
                </c:pt>
                <c:pt idx="14">
                  <c:v>7.9060891111441101E-2</c:v>
                </c:pt>
                <c:pt idx="15">
                  <c:v>0.11508688728001851</c:v>
                </c:pt>
                <c:pt idx="16">
                  <c:v>0.16856356909620634</c:v>
                </c:pt>
                <c:pt idx="17">
                  <c:v>0.248652670277515</c:v>
                </c:pt>
                <c:pt idx="18">
                  <c:v>0.3697474691477261</c:v>
                </c:pt>
                <c:pt idx="19">
                  <c:v>0.54017627295224646</c:v>
                </c:pt>
                <c:pt idx="20">
                  <c:v>0.79435060190181728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28-4FB0-A556-4AB2B8C92715}"/>
            </c:ext>
          </c:extLst>
        </c:ser>
        <c:ser>
          <c:idx val="4"/>
          <c:order val="4"/>
          <c:tx>
            <c:strRef>
              <c:f>'CEM Tool'!$A$109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'CEM Tool'!$B$109:$AD$109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1.1126752007503822E-2</c:v>
                </c:pt>
                <c:pt idx="2">
                  <c:v>3.6666113531997752E-2</c:v>
                </c:pt>
                <c:pt idx="3">
                  <c:v>0.12681540391056009</c:v>
                </c:pt>
                <c:pt idx="4">
                  <c:v>0.22795179138241631</c:v>
                </c:pt>
                <c:pt idx="5">
                  <c:v>0.40109175654744617</c:v>
                </c:pt>
                <c:pt idx="6">
                  <c:v>0.71892945343896353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28-4FB0-A556-4AB2B8C92715}"/>
            </c:ext>
          </c:extLst>
        </c:ser>
        <c:ser>
          <c:idx val="5"/>
          <c:order val="5"/>
          <c:tx>
            <c:strRef>
              <c:f>'CEM Tool'!$A$110</c:f>
              <c:strCache>
                <c:ptCount val="1"/>
                <c:pt idx="0">
                  <c:v>Nationally Determined Contributions (NDCs)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'CEM Tool'!$B$110:$AD$110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4.320801141312715E-3</c:v>
                </c:pt>
                <c:pt idx="2">
                  <c:v>5.1207439373725351E-3</c:v>
                </c:pt>
                <c:pt idx="3">
                  <c:v>6.1207416250998866E-3</c:v>
                </c:pt>
                <c:pt idx="4">
                  <c:v>7.0549212657077479E-3</c:v>
                </c:pt>
                <c:pt idx="5">
                  <c:v>8.1447569207019031E-3</c:v>
                </c:pt>
                <c:pt idx="6">
                  <c:v>9.4179573530188306E-3</c:v>
                </c:pt>
                <c:pt idx="7">
                  <c:v>1.0904393464339655E-2</c:v>
                </c:pt>
                <c:pt idx="8">
                  <c:v>1.2639572627212473E-2</c:v>
                </c:pt>
                <c:pt idx="9">
                  <c:v>1.3183840471862808E-2</c:v>
                </c:pt>
                <c:pt idx="10">
                  <c:v>1.3721775677688161E-2</c:v>
                </c:pt>
                <c:pt idx="11">
                  <c:v>1.4280812536661141E-2</c:v>
                </c:pt>
                <c:pt idx="12">
                  <c:v>1.4862071946840652E-2</c:v>
                </c:pt>
                <c:pt idx="13">
                  <c:v>1.5466409834881451E-2</c:v>
                </c:pt>
                <c:pt idx="14">
                  <c:v>1.6142930371998002E-2</c:v>
                </c:pt>
                <c:pt idx="15">
                  <c:v>1.6849680752124681E-2</c:v>
                </c:pt>
                <c:pt idx="16">
                  <c:v>1.7586845051268816E-2</c:v>
                </c:pt>
                <c:pt idx="17">
                  <c:v>1.8355694448594001E-2</c:v>
                </c:pt>
                <c:pt idx="18">
                  <c:v>1.9157567182501854E-2</c:v>
                </c:pt>
                <c:pt idx="19">
                  <c:v>2.0041058905646256E-2</c:v>
                </c:pt>
                <c:pt idx="20">
                  <c:v>2.096606934933453E-2</c:v>
                </c:pt>
                <c:pt idx="21">
                  <c:v>2.1933275776699943E-2</c:v>
                </c:pt>
                <c:pt idx="22">
                  <c:v>2.2944576988354275E-2</c:v>
                </c:pt>
                <c:pt idx="23">
                  <c:v>2.4001973321450047E-2</c:v>
                </c:pt>
                <c:pt idx="24">
                  <c:v>2.5110184898627902E-2</c:v>
                </c:pt>
                <c:pt idx="25">
                  <c:v>2.6269105170143241E-2</c:v>
                </c:pt>
                <c:pt idx="26">
                  <c:v>2.7480973230969985E-2</c:v>
                </c:pt>
                <c:pt idx="27">
                  <c:v>2.8748207034343564E-2</c:v>
                </c:pt>
                <c:pt idx="28">
                  <c:v>3.0073338389858355E-2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28-4FB0-A556-4AB2B8C92715}"/>
            </c:ext>
          </c:extLst>
        </c:ser>
        <c:ser>
          <c:idx val="6"/>
          <c:order val="6"/>
          <c:tx>
            <c:strRef>
              <c:f>'CEM Tool'!$A$111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'CEM Tool'!$B$111:$AD$111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5.6963573748441331E-3</c:v>
                </c:pt>
                <c:pt idx="2">
                  <c:v>9.1654617059473715E-3</c:v>
                </c:pt>
                <c:pt idx="3">
                  <c:v>1.49186299260579E-2</c:v>
                </c:pt>
                <c:pt idx="4">
                  <c:v>1.8435295420303626E-2</c:v>
                </c:pt>
                <c:pt idx="5">
                  <c:v>2.2659160733607246E-2</c:v>
                </c:pt>
                <c:pt idx="6">
                  <c:v>2.7877717612125912E-2</c:v>
                </c:pt>
                <c:pt idx="7">
                  <c:v>3.433685728745068E-2</c:v>
                </c:pt>
                <c:pt idx="8">
                  <c:v>4.2345060470539167E-2</c:v>
                </c:pt>
                <c:pt idx="9">
                  <c:v>6.3739302131798972E-2</c:v>
                </c:pt>
                <c:pt idx="10">
                  <c:v>9.7322473818774097E-2</c:v>
                </c:pt>
                <c:pt idx="11">
                  <c:v>0.1498132156695183</c:v>
                </c:pt>
                <c:pt idx="12">
                  <c:v>0.23275588204151978</c:v>
                </c:pt>
                <c:pt idx="13">
                  <c:v>0.36544193944165704</c:v>
                </c:pt>
                <c:pt idx="14">
                  <c:v>0.53922523500039898</c:v>
                </c:pt>
                <c:pt idx="15">
                  <c:v>0.79860753115453575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28-4FB0-A556-4AB2B8C92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4898191"/>
        <c:axId val="118942657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Tool'!$A$105</c15:sqref>
                        </c15:formulaRef>
                      </c:ext>
                    </c:extLst>
                    <c:strCache>
                      <c:ptCount val="1"/>
                      <c:pt idx="0">
                        <c:v>Markov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'CEM Tool'!$B$105:$AD$105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1228-4FB0-A556-4AB2B8C92715}"/>
                  </c:ext>
                </c:extLst>
              </c15:ser>
            </c15:filteredLineSeries>
          </c:ext>
        </c:extLst>
      </c:lineChart>
      <c:catAx>
        <c:axId val="16748981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426575"/>
        <c:crosses val="autoZero"/>
        <c:auto val="1"/>
        <c:lblAlgn val="ctr"/>
        <c:lblOffset val="100"/>
        <c:noMultiLvlLbl val="0"/>
      </c:catAx>
      <c:valAx>
        <c:axId val="118942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898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What-if 100%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Tool'!$A$115</c:f>
              <c:strCache>
                <c:ptCount val="1"/>
                <c:pt idx="0">
                  <c:v>Below 2°C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'CEM Tool'!$B$115:$AD$115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4.073662206714691E-3</c:v>
                </c:pt>
                <c:pt idx="2">
                  <c:v>4.396586402138118E-3</c:v>
                </c:pt>
                <c:pt idx="3">
                  <c:v>4.7287670039746861E-3</c:v>
                </c:pt>
                <c:pt idx="4">
                  <c:v>4.8621339833413687E-3</c:v>
                </c:pt>
                <c:pt idx="5">
                  <c:v>4.9777208378792605E-3</c:v>
                </c:pt>
                <c:pt idx="6">
                  <c:v>5.0828117292339861E-3</c:v>
                </c:pt>
                <c:pt idx="7">
                  <c:v>5.1764630586704557E-3</c:v>
                </c:pt>
                <c:pt idx="8">
                  <c:v>5.2577645781951383E-3</c:v>
                </c:pt>
                <c:pt idx="9">
                  <c:v>5.2451365591888541E-3</c:v>
                </c:pt>
                <c:pt idx="10">
                  <c:v>5.2211749285270195E-3</c:v>
                </c:pt>
                <c:pt idx="11">
                  <c:v>5.1910802999148957E-3</c:v>
                </c:pt>
                <c:pt idx="12">
                  <c:v>5.1550320566441463E-3</c:v>
                </c:pt>
                <c:pt idx="13">
                  <c:v>5.1131802117787405E-3</c:v>
                </c:pt>
                <c:pt idx="14">
                  <c:v>4.9938370184144116E-3</c:v>
                </c:pt>
                <c:pt idx="15">
                  <c:v>4.8760304774941839E-3</c:v>
                </c:pt>
                <c:pt idx="16">
                  <c:v>4.7652375604757624E-3</c:v>
                </c:pt>
                <c:pt idx="17">
                  <c:v>4.6611048498752354E-3</c:v>
                </c:pt>
                <c:pt idx="18">
                  <c:v>4.5632533134634546E-3</c:v>
                </c:pt>
                <c:pt idx="19">
                  <c:v>4.4231156914053349E-3</c:v>
                </c:pt>
                <c:pt idx="20">
                  <c:v>4.2961970244370633E-3</c:v>
                </c:pt>
                <c:pt idx="21">
                  <c:v>4.1865032814075451E-3</c:v>
                </c:pt>
                <c:pt idx="22">
                  <c:v>4.0925105315572415E-3</c:v>
                </c:pt>
                <c:pt idx="23">
                  <c:v>4.012827426554697E-3</c:v>
                </c:pt>
                <c:pt idx="24">
                  <c:v>3.9244217965448613E-3</c:v>
                </c:pt>
                <c:pt idx="25">
                  <c:v>3.8534055840936596E-3</c:v>
                </c:pt>
                <c:pt idx="26">
                  <c:v>3.8025033156823419E-3</c:v>
                </c:pt>
                <c:pt idx="27">
                  <c:v>3.7700335973887425E-3</c:v>
                </c:pt>
                <c:pt idx="28">
                  <c:v>3.754927141987914E-3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2A-4A8C-AA12-A5438A620348}"/>
            </c:ext>
          </c:extLst>
        </c:ser>
        <c:ser>
          <c:idx val="2"/>
          <c:order val="2"/>
          <c:tx>
            <c:strRef>
              <c:f>'CEM Tool'!$A$116</c:f>
              <c:strCache>
                <c:ptCount val="1"/>
                <c:pt idx="0">
                  <c:v>Current Policies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'CEM Tool'!$B$116:$AD$116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3.6586026726502922E-3</c:v>
                </c:pt>
                <c:pt idx="2">
                  <c:v>3.5710605748040226E-3</c:v>
                </c:pt>
                <c:pt idx="3">
                  <c:v>3.4981712343391458E-3</c:v>
                </c:pt>
                <c:pt idx="4">
                  <c:v>3.4897817284607921E-3</c:v>
                </c:pt>
                <c:pt idx="5">
                  <c:v>3.4851328919181597E-3</c:v>
                </c:pt>
                <c:pt idx="6">
                  <c:v>3.4815917604925813E-3</c:v>
                </c:pt>
                <c:pt idx="7">
                  <c:v>3.479112290909608E-3</c:v>
                </c:pt>
                <c:pt idx="8">
                  <c:v>3.4776763471741803E-3</c:v>
                </c:pt>
                <c:pt idx="9">
                  <c:v>3.4789604005755793E-3</c:v>
                </c:pt>
                <c:pt idx="10">
                  <c:v>3.4812120886892912E-3</c:v>
                </c:pt>
                <c:pt idx="11">
                  <c:v>3.4843471272722505E-3</c:v>
                </c:pt>
                <c:pt idx="12">
                  <c:v>3.4883824527109013E-3</c:v>
                </c:pt>
                <c:pt idx="13">
                  <c:v>3.4933405479023109E-3</c:v>
                </c:pt>
                <c:pt idx="14">
                  <c:v>3.5002897890186761E-3</c:v>
                </c:pt>
                <c:pt idx="15">
                  <c:v>3.5081864325225121E-3</c:v>
                </c:pt>
                <c:pt idx="16">
                  <c:v>3.5169879796169493E-3</c:v>
                </c:pt>
                <c:pt idx="17">
                  <c:v>3.5267294741738184E-3</c:v>
                </c:pt>
                <c:pt idx="18">
                  <c:v>3.5374486468859882E-3</c:v>
                </c:pt>
                <c:pt idx="19">
                  <c:v>3.5499914919043681E-3</c:v>
                </c:pt>
                <c:pt idx="20">
                  <c:v>3.5635468806307774E-3</c:v>
                </c:pt>
                <c:pt idx="21">
                  <c:v>3.5780653056369871E-3</c:v>
                </c:pt>
                <c:pt idx="22">
                  <c:v>3.5935815715817643E-3</c:v>
                </c:pt>
                <c:pt idx="23">
                  <c:v>3.6101316945199068E-3</c:v>
                </c:pt>
                <c:pt idx="24">
                  <c:v>3.6278098882809333E-3</c:v>
                </c:pt>
                <c:pt idx="25">
                  <c:v>3.6465848061079981E-3</c:v>
                </c:pt>
                <c:pt idx="26">
                  <c:v>3.666482416115128E-3</c:v>
                </c:pt>
                <c:pt idx="27">
                  <c:v>3.687539382779324E-3</c:v>
                </c:pt>
                <c:pt idx="28">
                  <c:v>3.7097929376312408E-3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2A-4A8C-AA12-A5438A620348}"/>
            </c:ext>
          </c:extLst>
        </c:ser>
        <c:ser>
          <c:idx val="3"/>
          <c:order val="3"/>
          <c:tx>
            <c:strRef>
              <c:f>'CEM Tool'!$A$117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'CEM Tool'!$B$117:$AD$117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3.6586026726502922E-3</c:v>
                </c:pt>
                <c:pt idx="2">
                  <c:v>3.5710605748040226E-3</c:v>
                </c:pt>
                <c:pt idx="3">
                  <c:v>3.4981712343391458E-3</c:v>
                </c:pt>
                <c:pt idx="4">
                  <c:v>3.4897817284607921E-3</c:v>
                </c:pt>
                <c:pt idx="5">
                  <c:v>3.4851328919181597E-3</c:v>
                </c:pt>
                <c:pt idx="6">
                  <c:v>3.4815917604925813E-3</c:v>
                </c:pt>
                <c:pt idx="7">
                  <c:v>3.479112290909608E-3</c:v>
                </c:pt>
                <c:pt idx="8">
                  <c:v>3.4776763471741803E-3</c:v>
                </c:pt>
                <c:pt idx="9">
                  <c:v>5.4846225112922167E-3</c:v>
                </c:pt>
                <c:pt idx="10">
                  <c:v>9.0433564990664746E-3</c:v>
                </c:pt>
                <c:pt idx="11">
                  <c:v>1.4271191976119596E-2</c:v>
                </c:pt>
                <c:pt idx="12">
                  <c:v>2.1409183222623453E-2</c:v>
                </c:pt>
                <c:pt idx="13">
                  <c:v>3.050431099546114E-2</c:v>
                </c:pt>
                <c:pt idx="14">
                  <c:v>3.4026293791162981E-2</c:v>
                </c:pt>
                <c:pt idx="15">
                  <c:v>3.6214621503506038E-2</c:v>
                </c:pt>
                <c:pt idx="16">
                  <c:v>3.7489295116546327E-2</c:v>
                </c:pt>
                <c:pt idx="17">
                  <c:v>3.7764219320753523E-2</c:v>
                </c:pt>
                <c:pt idx="18">
                  <c:v>3.7016095064739331E-2</c:v>
                </c:pt>
                <c:pt idx="19">
                  <c:v>3.4504930341893648E-2</c:v>
                </c:pt>
                <c:pt idx="20">
                  <c:v>3.134402194323508E-2</c:v>
                </c:pt>
                <c:pt idx="21">
                  <c:v>2.7840221435155375E-2</c:v>
                </c:pt>
                <c:pt idx="22">
                  <c:v>2.4182223084133467E-2</c:v>
                </c:pt>
                <c:pt idx="23">
                  <c:v>2.0541982294843567E-2</c:v>
                </c:pt>
                <c:pt idx="24">
                  <c:v>1.6855146946013325E-2</c:v>
                </c:pt>
                <c:pt idx="25">
                  <c:v>1.3555514847880271E-2</c:v>
                </c:pt>
                <c:pt idx="26">
                  <c:v>1.0718284661904054E-2</c:v>
                </c:pt>
                <c:pt idx="27">
                  <c:v>8.335745440163073E-3</c:v>
                </c:pt>
                <c:pt idx="28">
                  <c:v>6.3848369975023191E-3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2A-4A8C-AA12-A5438A620348}"/>
            </c:ext>
          </c:extLst>
        </c:ser>
        <c:ser>
          <c:idx val="4"/>
          <c:order val="4"/>
          <c:tx>
            <c:strRef>
              <c:f>'CEM Tool'!$A$118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'CEM Tool'!$B$118:$AD$118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1.1126752007503822E-2</c:v>
                </c:pt>
                <c:pt idx="2">
                  <c:v>3.0610367726959211E-2</c:v>
                </c:pt>
                <c:pt idx="3">
                  <c:v>7.9045545867933262E-2</c:v>
                </c:pt>
                <c:pt idx="4">
                  <c:v>9.8915289195213266E-2</c:v>
                </c:pt>
                <c:pt idx="5">
                  <c:v>0.11417663896777647</c:v>
                </c:pt>
                <c:pt idx="6">
                  <c:v>0.1288322045246412</c:v>
                </c:pt>
                <c:pt idx="7">
                  <c:v>0.14231943064789077</c:v>
                </c:pt>
                <c:pt idx="8">
                  <c:v>0.15389175469894212</c:v>
                </c:pt>
                <c:pt idx="9">
                  <c:v>0.14233496479785168</c:v>
                </c:pt>
                <c:pt idx="10">
                  <c:v>0.12872185214629506</c:v>
                </c:pt>
                <c:pt idx="11">
                  <c:v>0.11555491092958108</c:v>
                </c:pt>
                <c:pt idx="12">
                  <c:v>0.10302168329640458</c:v>
                </c:pt>
                <c:pt idx="13">
                  <c:v>9.1217438791005995E-2</c:v>
                </c:pt>
                <c:pt idx="14">
                  <c:v>7.1660716037891897E-2</c:v>
                </c:pt>
                <c:pt idx="15">
                  <c:v>5.6105403419127321E-2</c:v>
                </c:pt>
                <c:pt idx="16">
                  <c:v>4.4367409203519247E-2</c:v>
                </c:pt>
                <c:pt idx="17">
                  <c:v>3.5432569614891045E-2</c:v>
                </c:pt>
                <c:pt idx="18">
                  <c:v>2.856306202481879E-2</c:v>
                </c:pt>
                <c:pt idx="19">
                  <c:v>2.2052453848811816E-2</c:v>
                </c:pt>
                <c:pt idx="20">
                  <c:v>1.7243294469627315E-2</c:v>
                </c:pt>
                <c:pt idx="21">
                  <c:v>1.374730575103039E-2</c:v>
                </c:pt>
                <c:pt idx="22">
                  <c:v>1.1169723207861052E-2</c:v>
                </c:pt>
                <c:pt idx="23">
                  <c:v>9.2443202427879376E-3</c:v>
                </c:pt>
                <c:pt idx="24">
                  <c:v>7.4115516672400919E-3</c:v>
                </c:pt>
                <c:pt idx="25">
                  <c:v>6.110446948638543E-3</c:v>
                </c:pt>
                <c:pt idx="26">
                  <c:v>5.237722315620817E-3</c:v>
                </c:pt>
                <c:pt idx="27">
                  <c:v>4.6635821481778618E-3</c:v>
                </c:pt>
                <c:pt idx="28">
                  <c:v>4.3056891262659019E-3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2A-4A8C-AA12-A5438A620348}"/>
            </c:ext>
          </c:extLst>
        </c:ser>
        <c:ser>
          <c:idx val="5"/>
          <c:order val="5"/>
          <c:tx>
            <c:strRef>
              <c:f>'CEM Tool'!$A$119</c:f>
              <c:strCache>
                <c:ptCount val="1"/>
                <c:pt idx="0">
                  <c:v>Nationally Determined Contributions (NDCs)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'CEM Tool'!$B$119:$AD$119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4.320801141312715E-3</c:v>
                </c:pt>
                <c:pt idx="2">
                  <c:v>4.9540102363009233E-3</c:v>
                </c:pt>
                <c:pt idx="3">
                  <c:v>5.650965953387114E-3</c:v>
                </c:pt>
                <c:pt idx="4">
                  <c:v>6.1429484511121221E-3</c:v>
                </c:pt>
                <c:pt idx="5">
                  <c:v>6.6190124111415198E-3</c:v>
                </c:pt>
                <c:pt idx="6">
                  <c:v>7.0813523583165882E-3</c:v>
                </c:pt>
                <c:pt idx="7">
                  <c:v>7.5208186522855809E-3</c:v>
                </c:pt>
                <c:pt idx="8">
                  <c:v>7.9282664472437262E-3</c:v>
                </c:pt>
                <c:pt idx="9">
                  <c:v>7.4918883201450922E-3</c:v>
                </c:pt>
                <c:pt idx="10">
                  <c:v>7.0522532187672071E-3</c:v>
                </c:pt>
                <c:pt idx="11">
                  <c:v>6.6574917949373666E-3</c:v>
                </c:pt>
                <c:pt idx="12">
                  <c:v>6.3033923996703945E-3</c:v>
                </c:pt>
                <c:pt idx="13">
                  <c:v>5.985707524429399E-3</c:v>
                </c:pt>
                <c:pt idx="14">
                  <c:v>5.7165554200597525E-3</c:v>
                </c:pt>
                <c:pt idx="15">
                  <c:v>5.4743993621027597E-3</c:v>
                </c:pt>
                <c:pt idx="16">
                  <c:v>5.255581531134197E-3</c:v>
                </c:pt>
                <c:pt idx="17">
                  <c:v>5.058020308430413E-3</c:v>
                </c:pt>
                <c:pt idx="18">
                  <c:v>4.87987745972677E-3</c:v>
                </c:pt>
                <c:pt idx="19">
                  <c:v>4.7293584251376893E-3</c:v>
                </c:pt>
                <c:pt idx="20">
                  <c:v>4.5934968567879503E-3</c:v>
                </c:pt>
                <c:pt idx="21">
                  <c:v>4.4701611163859038E-3</c:v>
                </c:pt>
                <c:pt idx="22">
                  <c:v>4.3584382886560774E-3</c:v>
                </c:pt>
                <c:pt idx="23">
                  <c:v>4.2575053722995757E-3</c:v>
                </c:pt>
                <c:pt idx="24">
                  <c:v>4.1669694586750671E-3</c:v>
                </c:pt>
                <c:pt idx="25">
                  <c:v>4.0856871739881045E-3</c:v>
                </c:pt>
                <c:pt idx="26">
                  <c:v>4.0129597154376934E-3</c:v>
                </c:pt>
                <c:pt idx="27">
                  <c:v>3.948212698983186E-3</c:v>
                </c:pt>
                <c:pt idx="28">
                  <c:v>3.8909146960955866E-3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2A-4A8C-AA12-A5438A620348}"/>
            </c:ext>
          </c:extLst>
        </c:ser>
        <c:ser>
          <c:idx val="6"/>
          <c:order val="6"/>
          <c:tx>
            <c:strRef>
              <c:f>'CEM Tool'!$A$120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'CEM Tool'!$B$120:$AD$120</c:f>
              <c:numCache>
                <c:formatCode>0.000%</c:formatCode>
                <c:ptCount val="29"/>
                <c:pt idx="0">
                  <c:v>3.7141701647138386E-3</c:v>
                </c:pt>
                <c:pt idx="1">
                  <c:v>5.6963573748441331E-3</c:v>
                </c:pt>
                <c:pt idx="2">
                  <c:v>8.5691504369166272E-3</c:v>
                </c:pt>
                <c:pt idx="3">
                  <c:v>1.2572264817352413E-2</c:v>
                </c:pt>
                <c:pt idx="4">
                  <c:v>1.3624980170190279E-2</c:v>
                </c:pt>
                <c:pt idx="5">
                  <c:v>1.4397820486432129E-2</c:v>
                </c:pt>
                <c:pt idx="6">
                  <c:v>1.5082396429594228E-2</c:v>
                </c:pt>
                <c:pt idx="7">
                  <c:v>1.5666954033895095E-2</c:v>
                </c:pt>
                <c:pt idx="8">
                  <c:v>1.6137600596430355E-2</c:v>
                </c:pt>
                <c:pt idx="9">
                  <c:v>1.9887375340536036E-2</c:v>
                </c:pt>
                <c:pt idx="10">
                  <c:v>2.4196285619077218E-2</c:v>
                </c:pt>
                <c:pt idx="11">
                  <c:v>2.8658758326896631E-2</c:v>
                </c:pt>
                <c:pt idx="12">
                  <c:v>3.3028707591912794E-2</c:v>
                </c:pt>
                <c:pt idx="13">
                  <c:v>3.7031373352680516E-2</c:v>
                </c:pt>
                <c:pt idx="14">
                  <c:v>3.7876322034592277E-2</c:v>
                </c:pt>
                <c:pt idx="15">
                  <c:v>3.7742240612029236E-2</c:v>
                </c:pt>
                <c:pt idx="16">
                  <c:v>3.688904966332536E-2</c:v>
                </c:pt>
                <c:pt idx="17">
                  <c:v>3.537227637705307E-2</c:v>
                </c:pt>
                <c:pt idx="18">
                  <c:v>3.3276406328299223E-2</c:v>
                </c:pt>
                <c:pt idx="19">
                  <c:v>2.976808676574565E-2</c:v>
                </c:pt>
                <c:pt idx="20">
                  <c:v>2.6183764523036758E-2</c:v>
                </c:pt>
                <c:pt idx="21">
                  <c:v>2.2746781888987537E-2</c:v>
                </c:pt>
                <c:pt idx="22">
                  <c:v>1.9518726041533027E-2</c:v>
                </c:pt>
                <c:pt idx="23">
                  <c:v>1.6542769804298914E-2</c:v>
                </c:pt>
                <c:pt idx="24">
                  <c:v>1.3527212746324485E-2</c:v>
                </c:pt>
                <c:pt idx="25">
                  <c:v>1.0970469702869433E-2</c:v>
                </c:pt>
                <c:pt idx="26">
                  <c:v>8.873587177319512E-3</c:v>
                </c:pt>
                <c:pt idx="27">
                  <c:v>7.1614391914526856E-3</c:v>
                </c:pt>
                <c:pt idx="28">
                  <c:v>5.772792491833832E-3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2A-4A8C-AA12-A5438A620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7587167"/>
        <c:axId val="158802835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Tool'!$A$114</c15:sqref>
                        </c15:formulaRef>
                      </c:ext>
                    </c:extLst>
                    <c:strCache>
                      <c:ptCount val="1"/>
                      <c:pt idx="0">
                        <c:v>What-if 100%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'CEM Tool'!$B$114:$AD$114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1C2A-4A8C-AA12-A5438A620348}"/>
                  </c:ext>
                </c:extLst>
              </c15:ser>
            </c15:filteredLineSeries>
          </c:ext>
        </c:extLst>
      </c:lineChart>
      <c:catAx>
        <c:axId val="16775871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028351"/>
        <c:crosses val="autoZero"/>
        <c:auto val="1"/>
        <c:lblAlgn val="ctr"/>
        <c:lblOffset val="100"/>
        <c:noMultiLvlLbl val="0"/>
      </c:catAx>
      <c:valAx>
        <c:axId val="1588028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7587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Tool'!$A$191</c:f>
              <c:strCache>
                <c:ptCount val="1"/>
                <c:pt idx="0">
                  <c:v>Below 2Â°C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'CEM Tool'!$B$190:$AD$190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Tool'!$B$191:$AD$191</c:f>
              <c:numCache>
                <c:formatCode>#,##0</c:formatCode>
                <c:ptCount val="29"/>
                <c:pt idx="0">
                  <c:v>19944.71818291071</c:v>
                </c:pt>
                <c:pt idx="1">
                  <c:v>20456.084735805594</c:v>
                </c:pt>
                <c:pt idx="2">
                  <c:v>20930.270152626508</c:v>
                </c:pt>
                <c:pt idx="3">
                  <c:v>21369.616093655157</c:v>
                </c:pt>
                <c:pt idx="4">
                  <c:v>21487.715817608834</c:v>
                </c:pt>
                <c:pt idx="5">
                  <c:v>21578.782251855253</c:v>
                </c:pt>
                <c:pt idx="6">
                  <c:v>21651.635713879186</c:v>
                </c:pt>
                <c:pt idx="7">
                  <c:v>21710.690386862792</c:v>
                </c:pt>
                <c:pt idx="8">
                  <c:v>21758.155413142853</c:v>
                </c:pt>
                <c:pt idx="9">
                  <c:v>21802.24860126257</c:v>
                </c:pt>
                <c:pt idx="10">
                  <c:v>21836.152163279134</c:v>
                </c:pt>
                <c:pt idx="11">
                  <c:v>21859.91938677389</c:v>
                </c:pt>
                <c:pt idx="12">
                  <c:v>21873.578956894573</c:v>
                </c:pt>
                <c:pt idx="13">
                  <c:v>21877.14623711125</c:v>
                </c:pt>
                <c:pt idx="14">
                  <c:v>21874.110162980382</c:v>
                </c:pt>
                <c:pt idx="15">
                  <c:v>21860.804289067521</c:v>
                </c:pt>
                <c:pt idx="16">
                  <c:v>21837.096009645833</c:v>
                </c:pt>
                <c:pt idx="17">
                  <c:v>21802.921327380263</c:v>
                </c:pt>
                <c:pt idx="18">
                  <c:v>21758.249356600252</c:v>
                </c:pt>
                <c:pt idx="19">
                  <c:v>21708.803532156002</c:v>
                </c:pt>
                <c:pt idx="20">
                  <c:v>21648.474479526682</c:v>
                </c:pt>
                <c:pt idx="21">
                  <c:v>21576.870036590695</c:v>
                </c:pt>
                <c:pt idx="22">
                  <c:v>21493.796900500533</c:v>
                </c:pt>
                <c:pt idx="23">
                  <c:v>21399.159780047456</c:v>
                </c:pt>
                <c:pt idx="24">
                  <c:v>21297.079618259726</c:v>
                </c:pt>
                <c:pt idx="25">
                  <c:v>21182.88647164862</c:v>
                </c:pt>
                <c:pt idx="26">
                  <c:v>21055.97786593722</c:v>
                </c:pt>
                <c:pt idx="27">
                  <c:v>20916.055873165406</c:v>
                </c:pt>
                <c:pt idx="28">
                  <c:v>20762.973290565456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E-4BE6-960A-A7DA6A804EFB}"/>
            </c:ext>
          </c:extLst>
        </c:ser>
        <c:ser>
          <c:idx val="2"/>
          <c:order val="2"/>
          <c:tx>
            <c:strRef>
              <c:f>'CEM Tool'!$A$192</c:f>
              <c:strCache>
                <c:ptCount val="1"/>
                <c:pt idx="0">
                  <c:v>Current Policies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'CEM Tool'!$B$190:$AD$190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Tool'!$B$192:$AD$192</c:f>
              <c:numCache>
                <c:formatCode>#,##0</c:formatCode>
                <c:ptCount val="29"/>
                <c:pt idx="0">
                  <c:v>19944.71818291071</c:v>
                </c:pt>
                <c:pt idx="1">
                  <c:v>19914.137464774056</c:v>
                </c:pt>
                <c:pt idx="2">
                  <c:v>19872.783261856825</c:v>
                </c:pt>
                <c:pt idx="3">
                  <c:v>19827.976295504282</c:v>
                </c:pt>
                <c:pt idx="4">
                  <c:v>19825.432621063581</c:v>
                </c:pt>
                <c:pt idx="5">
                  <c:v>19824.087855792386</c:v>
                </c:pt>
                <c:pt idx="6">
                  <c:v>19823.589960733039</c:v>
                </c:pt>
                <c:pt idx="7">
                  <c:v>19823.762890406528</c:v>
                </c:pt>
                <c:pt idx="8">
                  <c:v>19824.518609041617</c:v>
                </c:pt>
                <c:pt idx="9">
                  <c:v>19827.412326967074</c:v>
                </c:pt>
                <c:pt idx="10">
                  <c:v>19830.783571546566</c:v>
                </c:pt>
                <c:pt idx="11">
                  <c:v>19834.56089876749</c:v>
                </c:pt>
                <c:pt idx="12">
                  <c:v>19838.70858032523</c:v>
                </c:pt>
                <c:pt idx="13">
                  <c:v>19843.208748880472</c:v>
                </c:pt>
                <c:pt idx="14">
                  <c:v>19849.075906635448</c:v>
                </c:pt>
                <c:pt idx="15">
                  <c:v>19855.248412770274</c:v>
                </c:pt>
                <c:pt idx="16">
                  <c:v>19861.672599979946</c:v>
                </c:pt>
                <c:pt idx="17">
                  <c:v>19868.321629874987</c:v>
                </c:pt>
                <c:pt idx="18">
                  <c:v>19875.182080853312</c:v>
                </c:pt>
                <c:pt idx="19">
                  <c:v>19882.981156495178</c:v>
                </c:pt>
                <c:pt idx="20">
                  <c:v>19890.945000859236</c:v>
                </c:pt>
                <c:pt idx="21">
                  <c:v>19899.016773264411</c:v>
                </c:pt>
                <c:pt idx="22">
                  <c:v>19907.168048236119</c:v>
                </c:pt>
                <c:pt idx="23">
                  <c:v>19915.384610443849</c:v>
                </c:pt>
                <c:pt idx="24">
                  <c:v>19923.808490925589</c:v>
                </c:pt>
                <c:pt idx="25">
                  <c:v>19932.271823394589</c:v>
                </c:pt>
                <c:pt idx="26">
                  <c:v>19940.750572882473</c:v>
                </c:pt>
                <c:pt idx="27">
                  <c:v>19949.232721129076</c:v>
                </c:pt>
                <c:pt idx="28">
                  <c:v>19957.712258599469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4E-4BE6-960A-A7DA6A804EFB}"/>
            </c:ext>
          </c:extLst>
        </c:ser>
        <c:ser>
          <c:idx val="3"/>
          <c:order val="3"/>
          <c:tx>
            <c:strRef>
              <c:f>'CEM Tool'!$A$193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'CEM Tool'!$B$190:$AD$190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Tool'!$B$193:$AD$193</c:f>
              <c:numCache>
                <c:formatCode>#,##0</c:formatCode>
                <c:ptCount val="29"/>
                <c:pt idx="0">
                  <c:v>19944.71818291071</c:v>
                </c:pt>
                <c:pt idx="1">
                  <c:v>19914.137464774056</c:v>
                </c:pt>
                <c:pt idx="2">
                  <c:v>19872.783261856825</c:v>
                </c:pt>
                <c:pt idx="3">
                  <c:v>19827.976295504282</c:v>
                </c:pt>
                <c:pt idx="4">
                  <c:v>19825.432621063581</c:v>
                </c:pt>
                <c:pt idx="5">
                  <c:v>19824.087855792386</c:v>
                </c:pt>
                <c:pt idx="6">
                  <c:v>19823.589960733039</c:v>
                </c:pt>
                <c:pt idx="7">
                  <c:v>19823.762890406528</c:v>
                </c:pt>
                <c:pt idx="8">
                  <c:v>19824.518609041617</c:v>
                </c:pt>
                <c:pt idx="9">
                  <c:v>21124.647796277481</c:v>
                </c:pt>
                <c:pt idx="10">
                  <c:v>22401.699728251373</c:v>
                </c:pt>
                <c:pt idx="11">
                  <c:v>23601.731228697983</c:v>
                </c:pt>
                <c:pt idx="12">
                  <c:v>24697.488920140346</c:v>
                </c:pt>
                <c:pt idx="13">
                  <c:v>25675.323072055704</c:v>
                </c:pt>
                <c:pt idx="14">
                  <c:v>26071.876000026055</c:v>
                </c:pt>
                <c:pt idx="15">
                  <c:v>26357.991412744625</c:v>
                </c:pt>
                <c:pt idx="16">
                  <c:v>26553.513106174116</c:v>
                </c:pt>
                <c:pt idx="17">
                  <c:v>26668.42841856266</c:v>
                </c:pt>
                <c:pt idx="18">
                  <c:v>26707.765353987161</c:v>
                </c:pt>
                <c:pt idx="19">
                  <c:v>26698.584118496168</c:v>
                </c:pt>
                <c:pt idx="20">
                  <c:v>26615.812235671689</c:v>
                </c:pt>
                <c:pt idx="21">
                  <c:v>26458.606306657071</c:v>
                </c:pt>
                <c:pt idx="22">
                  <c:v>26226.564158114081</c:v>
                </c:pt>
                <c:pt idx="23">
                  <c:v>25919.489759841654</c:v>
                </c:pt>
                <c:pt idx="24">
                  <c:v>25537.786179308805</c:v>
                </c:pt>
                <c:pt idx="25">
                  <c:v>25080.664455966406</c:v>
                </c:pt>
                <c:pt idx="26">
                  <c:v>24548.098022736463</c:v>
                </c:pt>
                <c:pt idx="27">
                  <c:v>23940.072510141636</c:v>
                </c:pt>
                <c:pt idx="28">
                  <c:v>23256.565709238403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4E-4BE6-960A-A7DA6A804EFB}"/>
            </c:ext>
          </c:extLst>
        </c:ser>
        <c:ser>
          <c:idx val="4"/>
          <c:order val="4"/>
          <c:tx>
            <c:strRef>
              <c:f>'CEM Tool'!$A$194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'CEM Tool'!$B$190:$AD$190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Tool'!$B$194:$AD$194</c:f>
              <c:numCache>
                <c:formatCode>#,##0</c:formatCode>
                <c:ptCount val="29"/>
                <c:pt idx="0">
                  <c:v>19944.71818291071</c:v>
                </c:pt>
                <c:pt idx="1">
                  <c:v>22741.707162191156</c:v>
                </c:pt>
                <c:pt idx="2">
                  <c:v>25405.787574537131</c:v>
                </c:pt>
                <c:pt idx="3">
                  <c:v>27905.874261502297</c:v>
                </c:pt>
                <c:pt idx="4">
                  <c:v>28600.28188318383</c:v>
                </c:pt>
                <c:pt idx="5">
                  <c:v>29149.324174481117</c:v>
                </c:pt>
                <c:pt idx="6">
                  <c:v>29597.133062343441</c:v>
                </c:pt>
                <c:pt idx="7">
                  <c:v>29965.937270655621</c:v>
                </c:pt>
                <c:pt idx="8">
                  <c:v>30266.936732773956</c:v>
                </c:pt>
                <c:pt idx="9">
                  <c:v>30483.345886572351</c:v>
                </c:pt>
                <c:pt idx="10">
                  <c:v>30639.810600832745</c:v>
                </c:pt>
                <c:pt idx="11">
                  <c:v>30739.203734807634</c:v>
                </c:pt>
                <c:pt idx="12">
                  <c:v>30783.030318811554</c:v>
                </c:pt>
                <c:pt idx="13">
                  <c:v>30772.074960222195</c:v>
                </c:pt>
                <c:pt idx="14">
                  <c:v>30712.164213570944</c:v>
                </c:pt>
                <c:pt idx="15">
                  <c:v>30596.425368297096</c:v>
                </c:pt>
                <c:pt idx="16">
                  <c:v>30425.456845139182</c:v>
                </c:pt>
                <c:pt idx="17">
                  <c:v>30199.624139355983</c:v>
                </c:pt>
                <c:pt idx="18">
                  <c:v>29919.137606745324</c:v>
                </c:pt>
                <c:pt idx="19">
                  <c:v>29645.256891534736</c:v>
                </c:pt>
                <c:pt idx="20">
                  <c:v>29312.267426936862</c:v>
                </c:pt>
                <c:pt idx="21">
                  <c:v>28916.53778448356</c:v>
                </c:pt>
                <c:pt idx="22">
                  <c:v>28456.306270325251</c:v>
                </c:pt>
                <c:pt idx="23">
                  <c:v>27930.713196579014</c:v>
                </c:pt>
                <c:pt idx="24">
                  <c:v>27364.86827194002</c:v>
                </c:pt>
                <c:pt idx="25">
                  <c:v>26729.365956462399</c:v>
                </c:pt>
                <c:pt idx="26">
                  <c:v>26020.912471910171</c:v>
                </c:pt>
                <c:pt idx="27">
                  <c:v>25237.966788608501</c:v>
                </c:pt>
                <c:pt idx="28">
                  <c:v>24379.818763850621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4E-4BE6-960A-A7DA6A804EFB}"/>
            </c:ext>
          </c:extLst>
        </c:ser>
        <c:ser>
          <c:idx val="5"/>
          <c:order val="5"/>
          <c:tx>
            <c:strRef>
              <c:f>'CEM Tool'!$A$195</c:f>
              <c:strCache>
                <c:ptCount val="1"/>
                <c:pt idx="0">
                  <c:v>Nationally Determined Contributions (NDCs)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'CEM Tool'!$B$190:$AD$190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Tool'!$B$195:$AD$195</c:f>
              <c:numCache>
                <c:formatCode>#,##0</c:formatCode>
                <c:ptCount val="29"/>
                <c:pt idx="0">
                  <c:v>19944.71818291071</c:v>
                </c:pt>
                <c:pt idx="1">
                  <c:v>20225.345943406268</c:v>
                </c:pt>
                <c:pt idx="2">
                  <c:v>20480.269151636618</c:v>
                </c:pt>
                <c:pt idx="3">
                  <c:v>20713.831550893479</c:v>
                </c:pt>
                <c:pt idx="4">
                  <c:v>20863.991854873377</c:v>
                </c:pt>
                <c:pt idx="5">
                  <c:v>20997.331397684757</c:v>
                </c:pt>
                <c:pt idx="6">
                  <c:v>21116.340916762529</c:v>
                </c:pt>
                <c:pt idx="7">
                  <c:v>21222.270571871162</c:v>
                </c:pt>
                <c:pt idx="8">
                  <c:v>21315.748039095364</c:v>
                </c:pt>
                <c:pt idx="9">
                  <c:v>21289.387316080738</c:v>
                </c:pt>
                <c:pt idx="10">
                  <c:v>21254.054195407727</c:v>
                </c:pt>
                <c:pt idx="11">
                  <c:v>21213.667554776748</c:v>
                </c:pt>
                <c:pt idx="12">
                  <c:v>21170.191410859952</c:v>
                </c:pt>
                <c:pt idx="13">
                  <c:v>21124.610063495798</c:v>
                </c:pt>
                <c:pt idx="14">
                  <c:v>21081.789023084253</c:v>
                </c:pt>
                <c:pt idx="15">
                  <c:v>21037.443642247836</c:v>
                </c:pt>
                <c:pt idx="16">
                  <c:v>20991.488289130153</c:v>
                </c:pt>
                <c:pt idx="17">
                  <c:v>20943.880112110677</c:v>
                </c:pt>
                <c:pt idx="18">
                  <c:v>20894.597659856743</c:v>
                </c:pt>
                <c:pt idx="19">
                  <c:v>20847.0570277687</c:v>
                </c:pt>
                <c:pt idx="20">
                  <c:v>20797.648941807005</c:v>
                </c:pt>
                <c:pt idx="21">
                  <c:v>20746.118104537825</c:v>
                </c:pt>
                <c:pt idx="22">
                  <c:v>20692.336627005134</c:v>
                </c:pt>
                <c:pt idx="23">
                  <c:v>20636.240439373469</c:v>
                </c:pt>
                <c:pt idx="24">
                  <c:v>20577.949838719891</c:v>
                </c:pt>
                <c:pt idx="25">
                  <c:v>20517.281018091526</c:v>
                </c:pt>
                <c:pt idx="26">
                  <c:v>20454.203174585735</c:v>
                </c:pt>
                <c:pt idx="27">
                  <c:v>20388.700876183895</c:v>
                </c:pt>
                <c:pt idx="28">
                  <c:v>20320.766392710953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4E-4BE6-960A-A7DA6A804EFB}"/>
            </c:ext>
          </c:extLst>
        </c:ser>
        <c:ser>
          <c:idx val="6"/>
          <c:order val="6"/>
          <c:tx>
            <c:strRef>
              <c:f>'CEM Tool'!$A$196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'CEM Tool'!$B$190:$AD$190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Tool'!$B$196:$AD$196</c:f>
              <c:numCache>
                <c:formatCode>#,##0</c:formatCode>
                <c:ptCount val="29"/>
                <c:pt idx="0">
                  <c:v>19944.71818291071</c:v>
                </c:pt>
                <c:pt idx="1">
                  <c:v>21144.7399700319</c:v>
                </c:pt>
                <c:pt idx="2">
                  <c:v>22279.343597988493</c:v>
                </c:pt>
                <c:pt idx="3">
                  <c:v>23341.307558883975</c:v>
                </c:pt>
                <c:pt idx="4">
                  <c:v>23636.539366382414</c:v>
                </c:pt>
                <c:pt idx="5">
                  <c:v>23868.699571046676</c:v>
                </c:pt>
                <c:pt idx="6">
                  <c:v>24057.301726289879</c:v>
                </c:pt>
                <c:pt idx="7">
                  <c:v>24212.143836816838</c:v>
                </c:pt>
                <c:pt idx="8">
                  <c:v>24338.146031013941</c:v>
                </c:pt>
                <c:pt idx="9">
                  <c:v>24833.845031464261</c:v>
                </c:pt>
                <c:pt idx="10">
                  <c:v>25292.910970901616</c:v>
                </c:pt>
                <c:pt idx="11">
                  <c:v>25702.114370069248</c:v>
                </c:pt>
                <c:pt idx="12">
                  <c:v>26054.814177895074</c:v>
                </c:pt>
                <c:pt idx="13">
                  <c:v>26347.685285752224</c:v>
                </c:pt>
                <c:pt idx="14">
                  <c:v>26574.752547046384</c:v>
                </c:pt>
                <c:pt idx="15">
                  <c:v>26739.027925251641</c:v>
                </c:pt>
                <c:pt idx="16">
                  <c:v>26840.645149947788</c:v>
                </c:pt>
                <c:pt idx="17">
                  <c:v>26879.709355132396</c:v>
                </c:pt>
                <c:pt idx="18">
                  <c:v>26856.292329108364</c:v>
                </c:pt>
                <c:pt idx="19">
                  <c:v>26803.763504832696</c:v>
                </c:pt>
                <c:pt idx="20">
                  <c:v>26686.337010697225</c:v>
                </c:pt>
                <c:pt idx="21">
                  <c:v>26502.017704099817</c:v>
                </c:pt>
                <c:pt idx="22">
                  <c:v>26249.834295830278</c:v>
                </c:pt>
                <c:pt idx="23">
                  <c:v>25929.309451407098</c:v>
                </c:pt>
                <c:pt idx="24">
                  <c:v>25551.316010364797</c:v>
                </c:pt>
                <c:pt idx="25">
                  <c:v>25103.035225808249</c:v>
                </c:pt>
                <c:pt idx="26">
                  <c:v>24583.01214719897</c:v>
                </c:pt>
                <c:pt idx="27">
                  <c:v>23990.542999431389</c:v>
                </c:pt>
                <c:pt idx="28">
                  <c:v>23325.277335073839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54E-4BE6-960A-A7DA6A804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0331231"/>
        <c:axId val="118943809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Tool'!$A$190</c15:sqref>
                        </c15:formulaRef>
                      </c:ext>
                    </c:extLst>
                    <c:strCache>
                      <c:ptCount val="1"/>
                      <c:pt idx="0">
                        <c:v>Revenue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Tool'!$B$190:$AD$190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Tool'!$B$190:$AD$190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054E-4BE6-960A-A7DA6A804EFB}"/>
                  </c:ext>
                </c:extLst>
              </c15:ser>
            </c15:filteredLineSeries>
          </c:ext>
        </c:extLst>
      </c:lineChart>
      <c:catAx>
        <c:axId val="1990331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438095"/>
        <c:crosses val="autoZero"/>
        <c:auto val="1"/>
        <c:lblAlgn val="ctr"/>
        <c:lblOffset val="100"/>
        <c:noMultiLvlLbl val="0"/>
      </c:catAx>
      <c:valAx>
        <c:axId val="118943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331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EBIDTA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Tool'!$A$199</c:f>
              <c:strCache>
                <c:ptCount val="1"/>
                <c:pt idx="0">
                  <c:v>Below 2Â°C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'CEM Tool'!$B$198:$AD$198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Tool'!$B$199:$AD$199</c:f>
              <c:numCache>
                <c:formatCode>#,##0</c:formatCode>
                <c:ptCount val="29"/>
                <c:pt idx="0">
                  <c:v>2228.9388294676123</c:v>
                </c:pt>
                <c:pt idx="1">
                  <c:v>2741.5507192366158</c:v>
                </c:pt>
                <c:pt idx="2">
                  <c:v>3192.5599137349536</c:v>
                </c:pt>
                <c:pt idx="3">
                  <c:v>3598.1913971487611</c:v>
                </c:pt>
                <c:pt idx="4">
                  <c:v>3768.2941093767649</c:v>
                </c:pt>
                <c:pt idx="5">
                  <c:v>3910.2603853501555</c:v>
                </c:pt>
                <c:pt idx="6">
                  <c:v>4031.5718502483605</c:v>
                </c:pt>
                <c:pt idx="7">
                  <c:v>4135.9749344177026</c:v>
                </c:pt>
                <c:pt idx="8">
                  <c:v>4225.3457253497427</c:v>
                </c:pt>
                <c:pt idx="9">
                  <c:v>4226.4708177170551</c:v>
                </c:pt>
                <c:pt idx="10">
                  <c:v>4215.7639932535558</c:v>
                </c:pt>
                <c:pt idx="11">
                  <c:v>4196.2578128840278</c:v>
                </c:pt>
                <c:pt idx="12">
                  <c:v>4169.4706658561681</c:v>
                </c:pt>
                <c:pt idx="13">
                  <c:v>4136.162807557419</c:v>
                </c:pt>
                <c:pt idx="14">
                  <c:v>4026.4061803133955</c:v>
                </c:pt>
                <c:pt idx="15">
                  <c:v>3912.9727082988334</c:v>
                </c:pt>
                <c:pt idx="16">
                  <c:v>3799.4877057334629</c:v>
                </c:pt>
                <c:pt idx="17">
                  <c:v>3687.7654355776963</c:v>
                </c:pt>
                <c:pt idx="18">
                  <c:v>3578.7137916656557</c:v>
                </c:pt>
                <c:pt idx="19">
                  <c:v>3416.7825352374043</c:v>
                </c:pt>
                <c:pt idx="20">
                  <c:v>3260.8067241623271</c:v>
                </c:pt>
                <c:pt idx="21">
                  <c:v>3115.1797492252008</c:v>
                </c:pt>
                <c:pt idx="22">
                  <c:v>2982.099441880127</c:v>
                </c:pt>
                <c:pt idx="23">
                  <c:v>2862.6652164157376</c:v>
                </c:pt>
                <c:pt idx="24">
                  <c:v>2725.8579047110397</c:v>
                </c:pt>
                <c:pt idx="25">
                  <c:v>2606.3594648212243</c:v>
                </c:pt>
                <c:pt idx="26">
                  <c:v>2509.1913065796166</c:v>
                </c:pt>
                <c:pt idx="27">
                  <c:v>2436.8648421828689</c:v>
                </c:pt>
                <c:pt idx="28">
                  <c:v>2390.6360159642527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E3-478C-B8AD-2E44321A74C8}"/>
            </c:ext>
          </c:extLst>
        </c:ser>
        <c:ser>
          <c:idx val="2"/>
          <c:order val="2"/>
          <c:tx>
            <c:strRef>
              <c:f>'CEM Tool'!$A$200</c:f>
              <c:strCache>
                <c:ptCount val="1"/>
                <c:pt idx="0">
                  <c:v>Current Policies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'CEM Tool'!$B$198:$AD$198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Tool'!$B$200:$AD$200</c:f>
              <c:numCache>
                <c:formatCode>#,##0</c:formatCode>
                <c:ptCount val="29"/>
                <c:pt idx="0">
                  <c:v>2228.9388294676123</c:v>
                </c:pt>
                <c:pt idx="1">
                  <c:v>2136.4039926613536</c:v>
                </c:pt>
                <c:pt idx="2">
                  <c:v>2011.9678290932557</c:v>
                </c:pt>
                <c:pt idx="3">
                  <c:v>1877.3813620132858</c:v>
                </c:pt>
                <c:pt idx="4">
                  <c:v>1859.5382994941549</c:v>
                </c:pt>
                <c:pt idx="5">
                  <c:v>1845.5291482072919</c:v>
                </c:pt>
                <c:pt idx="6">
                  <c:v>1834.5837849822331</c:v>
                </c:pt>
                <c:pt idx="7">
                  <c:v>1826.3170946360008</c:v>
                </c:pt>
                <c:pt idx="8">
                  <c:v>1820.5364926102272</c:v>
                </c:pt>
                <c:pt idx="9">
                  <c:v>1820.8836496852059</c:v>
                </c:pt>
                <c:pt idx="10">
                  <c:v>1823.4791761062434</c:v>
                </c:pt>
                <c:pt idx="11">
                  <c:v>1828.1585201089329</c:v>
                </c:pt>
                <c:pt idx="12">
                  <c:v>1834.8393924721106</c:v>
                </c:pt>
                <c:pt idx="13">
                  <c:v>1843.4806417304758</c:v>
                </c:pt>
                <c:pt idx="14">
                  <c:v>1856.2630694416105</c:v>
                </c:pt>
                <c:pt idx="15">
                  <c:v>1870.9007057263671</c:v>
                </c:pt>
                <c:pt idx="16">
                  <c:v>1887.2786410420374</c:v>
                </c:pt>
                <c:pt idx="17">
                  <c:v>1905.3394105395166</c:v>
                </c:pt>
                <c:pt idx="18">
                  <c:v>1925.054276572869</c:v>
                </c:pt>
                <c:pt idx="19">
                  <c:v>1947.974317991527</c:v>
                </c:pt>
                <c:pt idx="20">
                  <c:v>1972.4469565241086</c:v>
                </c:pt>
                <c:pt idx="21">
                  <c:v>1998.3518897259294</c:v>
                </c:pt>
                <c:pt idx="22">
                  <c:v>2025.6289555023584</c:v>
                </c:pt>
                <c:pt idx="23">
                  <c:v>2054.2480672245897</c:v>
                </c:pt>
                <c:pt idx="24">
                  <c:v>2084.2918615067674</c:v>
                </c:pt>
                <c:pt idx="25">
                  <c:v>2115.6426689363702</c:v>
                </c:pt>
                <c:pt idx="26">
                  <c:v>2148.2834098119192</c:v>
                </c:pt>
                <c:pt idx="27">
                  <c:v>2182.2055424787118</c:v>
                </c:pt>
                <c:pt idx="28">
                  <c:v>2217.4047950709896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E3-478C-B8AD-2E44321A74C8}"/>
            </c:ext>
          </c:extLst>
        </c:ser>
        <c:ser>
          <c:idx val="3"/>
          <c:order val="3"/>
          <c:tx>
            <c:strRef>
              <c:f>'CEM Tool'!$A$201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'CEM Tool'!$B$198:$AD$198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Tool'!$B$201:$AD$201</c:f>
              <c:numCache>
                <c:formatCode>#,##0</c:formatCode>
                <c:ptCount val="29"/>
                <c:pt idx="0">
                  <c:v>2228.9388294676123</c:v>
                </c:pt>
                <c:pt idx="1">
                  <c:v>2136.4039926613536</c:v>
                </c:pt>
                <c:pt idx="2">
                  <c:v>2011.9678290932557</c:v>
                </c:pt>
                <c:pt idx="3">
                  <c:v>1877.3813620132858</c:v>
                </c:pt>
                <c:pt idx="4">
                  <c:v>1859.5382994941549</c:v>
                </c:pt>
                <c:pt idx="5">
                  <c:v>1845.5291482072919</c:v>
                </c:pt>
                <c:pt idx="6">
                  <c:v>1834.5837849822331</c:v>
                </c:pt>
                <c:pt idx="7">
                  <c:v>1826.3170946360008</c:v>
                </c:pt>
                <c:pt idx="8">
                  <c:v>1820.5364926102272</c:v>
                </c:pt>
                <c:pt idx="9">
                  <c:v>4250.2175620006392</c:v>
                </c:pt>
                <c:pt idx="10">
                  <c:v>6635.7724320009429</c:v>
                </c:pt>
                <c:pt idx="11">
                  <c:v>8877.2540951724659</c:v>
                </c:pt>
                <c:pt idx="12">
                  <c:v>10924.165934700744</c:v>
                </c:pt>
                <c:pt idx="13">
                  <c:v>12751.221787084816</c:v>
                </c:pt>
                <c:pt idx="14">
                  <c:v>13431.404868852316</c:v>
                </c:pt>
                <c:pt idx="15">
                  <c:v>13909.506820819337</c:v>
                </c:pt>
                <c:pt idx="16">
                  <c:v>14224.857083313214</c:v>
                </c:pt>
                <c:pt idx="17">
                  <c:v>14397.239085042314</c:v>
                </c:pt>
                <c:pt idx="18">
                  <c:v>14436.607179757646</c:v>
                </c:pt>
                <c:pt idx="19">
                  <c:v>14245.043258495871</c:v>
                </c:pt>
                <c:pt idx="20">
                  <c:v>13933.357930805932</c:v>
                </c:pt>
                <c:pt idx="21">
                  <c:v>13510.17773237375</c:v>
                </c:pt>
                <c:pt idx="22">
                  <c:v>12979.848854365</c:v>
                </c:pt>
                <c:pt idx="23">
                  <c:v>12344.553736080426</c:v>
                </c:pt>
                <c:pt idx="24">
                  <c:v>11548.38660252989</c:v>
                </c:pt>
                <c:pt idx="25">
                  <c:v>10654.531063640079</c:v>
                </c:pt>
                <c:pt idx="26">
                  <c:v>9671.5580835109358</c:v>
                </c:pt>
                <c:pt idx="27">
                  <c:v>8603.7530091841236</c:v>
                </c:pt>
                <c:pt idx="28">
                  <c:v>7453.2369108243474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E3-478C-B8AD-2E44321A74C8}"/>
            </c:ext>
          </c:extLst>
        </c:ser>
        <c:ser>
          <c:idx val="4"/>
          <c:order val="4"/>
          <c:tx>
            <c:strRef>
              <c:f>'CEM Tool'!$A$202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'CEM Tool'!$B$198:$AD$198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Tool'!$B$202:$AD$202</c:f>
              <c:numCache>
                <c:formatCode>#,##0</c:formatCode>
                <c:ptCount val="29"/>
                <c:pt idx="0">
                  <c:v>2228.9388294676123</c:v>
                </c:pt>
                <c:pt idx="1">
                  <c:v>7532.61819268621</c:v>
                </c:pt>
                <c:pt idx="2">
                  <c:v>12551.436060465336</c:v>
                </c:pt>
                <c:pt idx="3">
                  <c:v>17244.99285717426</c:v>
                </c:pt>
                <c:pt idx="4">
                  <c:v>18412.298660222605</c:v>
                </c:pt>
                <c:pt idx="5">
                  <c:v>19309.076699783218</c:v>
                </c:pt>
                <c:pt idx="6">
                  <c:v>20022.454757340922</c:v>
                </c:pt>
                <c:pt idx="7">
                  <c:v>20596.292510073417</c:v>
                </c:pt>
                <c:pt idx="8">
                  <c:v>21052.675449502425</c:v>
                </c:pt>
                <c:pt idx="9">
                  <c:v>20793.003302385023</c:v>
                </c:pt>
                <c:pt idx="10">
                  <c:v>20455.286726637649</c:v>
                </c:pt>
                <c:pt idx="11">
                  <c:v>20060.513516611114</c:v>
                </c:pt>
                <c:pt idx="12">
                  <c:v>19619.270494103013</c:v>
                </c:pt>
                <c:pt idx="13">
                  <c:v>19136.894513651991</c:v>
                </c:pt>
                <c:pt idx="14">
                  <c:v>18097.895847207037</c:v>
                </c:pt>
                <c:pt idx="15">
                  <c:v>17044.972714952397</c:v>
                </c:pt>
                <c:pt idx="16">
                  <c:v>16000.661559812846</c:v>
                </c:pt>
                <c:pt idx="17">
                  <c:v>14976.290930029065</c:v>
                </c:pt>
                <c:pt idx="18">
                  <c:v>13977.549616347693</c:v>
                </c:pt>
                <c:pt idx="19">
                  <c:v>12764.405281388747</c:v>
                </c:pt>
                <c:pt idx="20">
                  <c:v>11594.196070256536</c:v>
                </c:pt>
                <c:pt idx="21">
                  <c:v>10484.829072290486</c:v>
                </c:pt>
                <c:pt idx="22">
                  <c:v>9445.2923846827543</c:v>
                </c:pt>
                <c:pt idx="23">
                  <c:v>8480.0921704762168</c:v>
                </c:pt>
                <c:pt idx="24">
                  <c:v>7350.3933472322742</c:v>
                </c:pt>
                <c:pt idx="25">
                  <c:v>6321.4398043226729</c:v>
                </c:pt>
                <c:pt idx="26">
                  <c:v>5429.8434523564229</c:v>
                </c:pt>
                <c:pt idx="27">
                  <c:v>4693.9530457466126</c:v>
                </c:pt>
                <c:pt idx="28">
                  <c:v>4122.9636793424324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E3-478C-B8AD-2E44321A74C8}"/>
            </c:ext>
          </c:extLst>
        </c:ser>
        <c:ser>
          <c:idx val="5"/>
          <c:order val="5"/>
          <c:tx>
            <c:strRef>
              <c:f>'CEM Tool'!$A$203</c:f>
              <c:strCache>
                <c:ptCount val="1"/>
                <c:pt idx="0">
                  <c:v>Nationally Determined Contributions (NDCs)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'CEM Tool'!$B$198:$AD$198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Tool'!$B$203:$AD$203</c:f>
              <c:numCache>
                <c:formatCode>#,##0</c:formatCode>
                <c:ptCount val="29"/>
                <c:pt idx="0">
                  <c:v>2228.9388294676123</c:v>
                </c:pt>
                <c:pt idx="1">
                  <c:v>3053.8351010956862</c:v>
                </c:pt>
                <c:pt idx="2">
                  <c:v>3802.8061742205714</c:v>
                </c:pt>
                <c:pt idx="3">
                  <c:v>4488.8301057652761</c:v>
                </c:pt>
                <c:pt idx="4">
                  <c:v>4930.2980547058896</c:v>
                </c:pt>
                <c:pt idx="5">
                  <c:v>5322.3124779377667</c:v>
                </c:pt>
                <c:pt idx="6">
                  <c:v>5672.1994855591665</c:v>
                </c:pt>
                <c:pt idx="7">
                  <c:v>5983.636232735922</c:v>
                </c:pt>
                <c:pt idx="8">
                  <c:v>6258.4689388816441</c:v>
                </c:pt>
                <c:pt idx="9">
                  <c:v>6029.2339601171298</c:v>
                </c:pt>
                <c:pt idx="10">
                  <c:v>5778.0906397844892</c:v>
                </c:pt>
                <c:pt idx="11">
                  <c:v>5521.8431084040076</c:v>
                </c:pt>
                <c:pt idx="12">
                  <c:v>5268.9006808905651</c:v>
                </c:pt>
                <c:pt idx="13">
                  <c:v>5023.471627386225</c:v>
                </c:pt>
                <c:pt idx="14">
                  <c:v>4800.8091082552919</c:v>
                </c:pt>
                <c:pt idx="15">
                  <c:v>4588.334203238147</c:v>
                </c:pt>
                <c:pt idx="16">
                  <c:v>4385.9471516927479</c:v>
                </c:pt>
                <c:pt idx="17">
                  <c:v>4193.5979960558107</c:v>
                </c:pt>
                <c:pt idx="18">
                  <c:v>4011.261697026946</c:v>
                </c:pt>
                <c:pt idx="19">
                  <c:v>3849.2242822402523</c:v>
                </c:pt>
                <c:pt idx="20">
                  <c:v>3696.6443869775408</c:v>
                </c:pt>
                <c:pt idx="21">
                  <c:v>3552.7620843992026</c:v>
                </c:pt>
                <c:pt idx="22">
                  <c:v>3417.1969970891319</c:v>
                </c:pt>
                <c:pt idx="23">
                  <c:v>3289.758713497893</c:v>
                </c:pt>
                <c:pt idx="24">
                  <c:v>3170.8062767357974</c:v>
                </c:pt>
                <c:pt idx="25">
                  <c:v>3059.7916783126525</c:v>
                </c:pt>
                <c:pt idx="26">
                  <c:v>2956.6233243084994</c:v>
                </c:pt>
                <c:pt idx="27">
                  <c:v>2861.2553527633845</c:v>
                </c:pt>
                <c:pt idx="28">
                  <c:v>2773.6647948053733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E3-478C-B8AD-2E44321A74C8}"/>
            </c:ext>
          </c:extLst>
        </c:ser>
        <c:ser>
          <c:idx val="6"/>
          <c:order val="6"/>
          <c:tx>
            <c:strRef>
              <c:f>'CEM Tool'!$A$204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'CEM Tool'!$B$198:$AD$198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Tool'!$B$204:$AD$204</c:f>
              <c:numCache>
                <c:formatCode>#,##0</c:formatCode>
                <c:ptCount val="29"/>
                <c:pt idx="0">
                  <c:v>2228.9388294676123</c:v>
                </c:pt>
                <c:pt idx="1">
                  <c:v>4401.4430838695007</c:v>
                </c:pt>
                <c:pt idx="2">
                  <c:v>6441.0928516658605</c:v>
                </c:pt>
                <c:pt idx="3">
                  <c:v>8342.9682638993436</c:v>
                </c:pt>
                <c:pt idx="4">
                  <c:v>8817.4097444543549</c:v>
                </c:pt>
                <c:pt idx="5">
                  <c:v>9179.4950564873325</c:v>
                </c:pt>
                <c:pt idx="6">
                  <c:v>9466.0684707271012</c:v>
                </c:pt>
                <c:pt idx="7">
                  <c:v>9695.6237561459457</c:v>
                </c:pt>
                <c:pt idx="8">
                  <c:v>9877.4445428110776</c:v>
                </c:pt>
                <c:pt idx="9">
                  <c:v>10897.059483112458</c:v>
                </c:pt>
                <c:pt idx="10">
                  <c:v>11849.397874518212</c:v>
                </c:pt>
                <c:pt idx="11">
                  <c:v>12705.335405199477</c:v>
                </c:pt>
                <c:pt idx="12">
                  <c:v>13450.259624567356</c:v>
                </c:pt>
                <c:pt idx="13">
                  <c:v>14076.856175466033</c:v>
                </c:pt>
                <c:pt idx="14">
                  <c:v>14288.834088255955</c:v>
                </c:pt>
                <c:pt idx="15">
                  <c:v>14388.396937685131</c:v>
                </c:pt>
                <c:pt idx="16">
                  <c:v>14388.059840851212</c:v>
                </c:pt>
                <c:pt idx="17">
                  <c:v>14294.143498691841</c:v>
                </c:pt>
                <c:pt idx="18">
                  <c:v>14109.840267131971</c:v>
                </c:pt>
                <c:pt idx="19">
                  <c:v>13695.559401446828</c:v>
                </c:pt>
                <c:pt idx="20">
                  <c:v>13200.719863559396</c:v>
                </c:pt>
                <c:pt idx="21">
                  <c:v>12635.801281888893</c:v>
                </c:pt>
                <c:pt idx="22">
                  <c:v>12006.081519119098</c:v>
                </c:pt>
                <c:pt idx="23">
                  <c:v>11314.212034940989</c:v>
                </c:pt>
                <c:pt idx="24">
                  <c:v>10453.771378909516</c:v>
                </c:pt>
                <c:pt idx="25">
                  <c:v>9543.5749023431945</c:v>
                </c:pt>
                <c:pt idx="26">
                  <c:v>8599.8621712774711</c:v>
                </c:pt>
                <c:pt idx="27">
                  <c:v>7630.7841513772873</c:v>
                </c:pt>
                <c:pt idx="28">
                  <c:v>6640.4191224959613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E3-478C-B8AD-2E44321A7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8461983"/>
        <c:axId val="118941361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Tool'!$A$198</c15:sqref>
                        </c15:formulaRef>
                      </c:ext>
                    </c:extLst>
                    <c:strCache>
                      <c:ptCount val="1"/>
                      <c:pt idx="0">
                        <c:v>EBIDTA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Tool'!$B$198:$AD$198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Tool'!$B$198:$AD$198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CCE3-478C-B8AD-2E44321A74C8}"/>
                  </c:ext>
                </c:extLst>
              </c15:ser>
            </c15:filteredLineSeries>
          </c:ext>
        </c:extLst>
      </c:lineChart>
      <c:catAx>
        <c:axId val="1998461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413615"/>
        <c:crosses val="autoZero"/>
        <c:auto val="1"/>
        <c:lblAlgn val="ctr"/>
        <c:lblOffset val="100"/>
        <c:noMultiLvlLbl val="0"/>
      </c:catAx>
      <c:valAx>
        <c:axId val="118941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461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EBIT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Tool'!$A$207</c:f>
              <c:strCache>
                <c:ptCount val="1"/>
                <c:pt idx="0">
                  <c:v>Below 2Â°C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'CEM Tool'!$B$206:$AD$206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Tool'!$B$207:$AD$207</c:f>
              <c:numCache>
                <c:formatCode>#,##0</c:formatCode>
                <c:ptCount val="29"/>
                <c:pt idx="0">
                  <c:v>1330.7294796298522</c:v>
                </c:pt>
                <c:pt idx="1">
                  <c:v>1843.3413693988557</c:v>
                </c:pt>
                <c:pt idx="2">
                  <c:v>2294.3505638971938</c:v>
                </c:pt>
                <c:pt idx="3">
                  <c:v>2699.9820473110012</c:v>
                </c:pt>
                <c:pt idx="4">
                  <c:v>2870.0847595390051</c:v>
                </c:pt>
                <c:pt idx="5">
                  <c:v>3012.0510355123952</c:v>
                </c:pt>
                <c:pt idx="6">
                  <c:v>3133.3625004106007</c:v>
                </c:pt>
                <c:pt idx="7">
                  <c:v>3237.7655845799427</c:v>
                </c:pt>
                <c:pt idx="8">
                  <c:v>3327.1363755119828</c:v>
                </c:pt>
                <c:pt idx="9">
                  <c:v>3328.2614678792952</c:v>
                </c:pt>
                <c:pt idx="10">
                  <c:v>3317.5546434157959</c:v>
                </c:pt>
                <c:pt idx="11">
                  <c:v>3298.0484630462679</c:v>
                </c:pt>
                <c:pt idx="12">
                  <c:v>3271.2613160184083</c:v>
                </c:pt>
                <c:pt idx="13">
                  <c:v>3237.9534577196591</c:v>
                </c:pt>
                <c:pt idx="14">
                  <c:v>3128.1968304756356</c:v>
                </c:pt>
                <c:pt idx="15">
                  <c:v>3014.763358461073</c:v>
                </c:pt>
                <c:pt idx="16">
                  <c:v>2901.2783558957026</c:v>
                </c:pt>
                <c:pt idx="17">
                  <c:v>2789.556085739936</c:v>
                </c:pt>
                <c:pt idx="18">
                  <c:v>2680.5044418278958</c:v>
                </c:pt>
                <c:pt idx="19">
                  <c:v>2518.573185399644</c:v>
                </c:pt>
                <c:pt idx="20">
                  <c:v>2362.5973743245668</c:v>
                </c:pt>
                <c:pt idx="21">
                  <c:v>2216.9703993874409</c:v>
                </c:pt>
                <c:pt idx="22">
                  <c:v>2083.8900920423666</c:v>
                </c:pt>
                <c:pt idx="23">
                  <c:v>1964.4558665779775</c:v>
                </c:pt>
                <c:pt idx="24">
                  <c:v>1827.6485548732796</c:v>
                </c:pt>
                <c:pt idx="25">
                  <c:v>1708.1501149834642</c:v>
                </c:pt>
                <c:pt idx="26">
                  <c:v>1610.9819567418565</c:v>
                </c:pt>
                <c:pt idx="27">
                  <c:v>1538.6554923451088</c:v>
                </c:pt>
                <c:pt idx="28">
                  <c:v>1492.4266661264926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4-4E74-9484-5A1A43CC12D2}"/>
            </c:ext>
          </c:extLst>
        </c:ser>
        <c:ser>
          <c:idx val="2"/>
          <c:order val="2"/>
          <c:tx>
            <c:strRef>
              <c:f>'CEM Tool'!$A$208</c:f>
              <c:strCache>
                <c:ptCount val="1"/>
                <c:pt idx="0">
                  <c:v>Current Policies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'CEM Tool'!$B$206:$AD$206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Tool'!$B$208:$AD$208</c:f>
              <c:numCache>
                <c:formatCode>#,##0</c:formatCode>
                <c:ptCount val="29"/>
                <c:pt idx="0">
                  <c:v>1330.7294796298522</c:v>
                </c:pt>
                <c:pt idx="1">
                  <c:v>1238.1946428235935</c:v>
                </c:pt>
                <c:pt idx="2">
                  <c:v>1113.7584792554956</c:v>
                </c:pt>
                <c:pt idx="3">
                  <c:v>979.17201217552565</c:v>
                </c:pt>
                <c:pt idx="4">
                  <c:v>961.3289496563948</c:v>
                </c:pt>
                <c:pt idx="5">
                  <c:v>947.31979836953178</c:v>
                </c:pt>
                <c:pt idx="6">
                  <c:v>936.37443514447295</c:v>
                </c:pt>
                <c:pt idx="7">
                  <c:v>928.10774479824067</c:v>
                </c:pt>
                <c:pt idx="8">
                  <c:v>922.32714277246714</c:v>
                </c:pt>
                <c:pt idx="9">
                  <c:v>922.67429984744581</c:v>
                </c:pt>
                <c:pt idx="10">
                  <c:v>925.26982626848326</c:v>
                </c:pt>
                <c:pt idx="11">
                  <c:v>929.94917027117276</c:v>
                </c:pt>
                <c:pt idx="12">
                  <c:v>936.6300426343505</c:v>
                </c:pt>
                <c:pt idx="13">
                  <c:v>945.27129189271568</c:v>
                </c:pt>
                <c:pt idx="14">
                  <c:v>958.05371960385037</c:v>
                </c:pt>
                <c:pt idx="15">
                  <c:v>972.69135588860695</c:v>
                </c:pt>
                <c:pt idx="16">
                  <c:v>989.06929120427731</c:v>
                </c:pt>
                <c:pt idx="17">
                  <c:v>1007.1300607017565</c:v>
                </c:pt>
                <c:pt idx="18">
                  <c:v>1026.8449267351089</c:v>
                </c:pt>
                <c:pt idx="19">
                  <c:v>1049.7649681537669</c:v>
                </c:pt>
                <c:pt idx="20">
                  <c:v>1074.2376066863485</c:v>
                </c:pt>
                <c:pt idx="21">
                  <c:v>1100.1425398881693</c:v>
                </c:pt>
                <c:pt idx="22">
                  <c:v>1127.4196056645983</c:v>
                </c:pt>
                <c:pt idx="23">
                  <c:v>1156.0387173868296</c:v>
                </c:pt>
                <c:pt idx="24">
                  <c:v>1186.0825116690073</c:v>
                </c:pt>
                <c:pt idx="25">
                  <c:v>1217.4333190986101</c:v>
                </c:pt>
                <c:pt idx="26">
                  <c:v>1250.0740599741591</c:v>
                </c:pt>
                <c:pt idx="27">
                  <c:v>1283.9961926409517</c:v>
                </c:pt>
                <c:pt idx="28">
                  <c:v>1319.1954452332295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4-4E74-9484-5A1A43CC12D2}"/>
            </c:ext>
          </c:extLst>
        </c:ser>
        <c:ser>
          <c:idx val="3"/>
          <c:order val="3"/>
          <c:tx>
            <c:strRef>
              <c:f>'CEM Tool'!$A$209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'CEM Tool'!$B$206:$AD$206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Tool'!$B$209:$AD$209</c:f>
              <c:numCache>
                <c:formatCode>#,##0</c:formatCode>
                <c:ptCount val="29"/>
                <c:pt idx="0">
                  <c:v>1330.7294796298522</c:v>
                </c:pt>
                <c:pt idx="1">
                  <c:v>1238.1946428235935</c:v>
                </c:pt>
                <c:pt idx="2">
                  <c:v>1113.7584792554956</c:v>
                </c:pt>
                <c:pt idx="3">
                  <c:v>979.17201217552565</c:v>
                </c:pt>
                <c:pt idx="4">
                  <c:v>961.3289496563948</c:v>
                </c:pt>
                <c:pt idx="5">
                  <c:v>947.31979836953178</c:v>
                </c:pt>
                <c:pt idx="6">
                  <c:v>936.37443514447295</c:v>
                </c:pt>
                <c:pt idx="7">
                  <c:v>928.10774479824067</c:v>
                </c:pt>
                <c:pt idx="8">
                  <c:v>922.32714277246714</c:v>
                </c:pt>
                <c:pt idx="9">
                  <c:v>3352.0082121628793</c:v>
                </c:pt>
                <c:pt idx="10">
                  <c:v>5737.563082163183</c:v>
                </c:pt>
                <c:pt idx="11">
                  <c:v>7979.044745334706</c:v>
                </c:pt>
                <c:pt idx="12">
                  <c:v>10025.956584862985</c:v>
                </c:pt>
                <c:pt idx="13">
                  <c:v>11853.012437247056</c:v>
                </c:pt>
                <c:pt idx="14">
                  <c:v>12533.195519014556</c:v>
                </c:pt>
                <c:pt idx="15">
                  <c:v>13011.297470981577</c:v>
                </c:pt>
                <c:pt idx="16">
                  <c:v>13326.647733475455</c:v>
                </c:pt>
                <c:pt idx="17">
                  <c:v>13499.029735204555</c:v>
                </c:pt>
                <c:pt idx="18">
                  <c:v>13538.397829919886</c:v>
                </c:pt>
                <c:pt idx="19">
                  <c:v>13346.833908658111</c:v>
                </c:pt>
                <c:pt idx="20">
                  <c:v>13035.148580968173</c:v>
                </c:pt>
                <c:pt idx="21">
                  <c:v>12611.96838253599</c:v>
                </c:pt>
                <c:pt idx="22">
                  <c:v>12081.63950452724</c:v>
                </c:pt>
                <c:pt idx="23">
                  <c:v>11446.344386242667</c:v>
                </c:pt>
                <c:pt idx="24">
                  <c:v>10650.17725269213</c:v>
                </c:pt>
                <c:pt idx="25">
                  <c:v>9756.3217138023192</c:v>
                </c:pt>
                <c:pt idx="26">
                  <c:v>8773.348733673176</c:v>
                </c:pt>
                <c:pt idx="27">
                  <c:v>7705.5436593463637</c:v>
                </c:pt>
                <c:pt idx="28">
                  <c:v>6555.0275609865876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4-4E74-9484-5A1A43CC12D2}"/>
            </c:ext>
          </c:extLst>
        </c:ser>
        <c:ser>
          <c:idx val="4"/>
          <c:order val="4"/>
          <c:tx>
            <c:strRef>
              <c:f>'CEM Tool'!$A$210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'CEM Tool'!$B$206:$AD$206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Tool'!$B$210:$AD$210</c:f>
              <c:numCache>
                <c:formatCode>#,##0</c:formatCode>
                <c:ptCount val="29"/>
                <c:pt idx="0">
                  <c:v>1330.7294796298522</c:v>
                </c:pt>
                <c:pt idx="1">
                  <c:v>6634.4088428484501</c:v>
                </c:pt>
                <c:pt idx="2">
                  <c:v>11653.226710627576</c:v>
                </c:pt>
                <c:pt idx="3">
                  <c:v>16346.7835073365</c:v>
                </c:pt>
                <c:pt idx="4">
                  <c:v>17514.089310384843</c:v>
                </c:pt>
                <c:pt idx="5">
                  <c:v>18410.867349945456</c:v>
                </c:pt>
                <c:pt idx="6">
                  <c:v>19124.24540750316</c:v>
                </c:pt>
                <c:pt idx="7">
                  <c:v>19698.083160235656</c:v>
                </c:pt>
                <c:pt idx="8">
                  <c:v>20154.466099664663</c:v>
                </c:pt>
                <c:pt idx="9">
                  <c:v>19894.793952547261</c:v>
                </c:pt>
                <c:pt idx="10">
                  <c:v>19557.077376799887</c:v>
                </c:pt>
                <c:pt idx="11">
                  <c:v>19162.304166773352</c:v>
                </c:pt>
                <c:pt idx="12">
                  <c:v>18721.061144265252</c:v>
                </c:pt>
                <c:pt idx="13">
                  <c:v>18238.685163814229</c:v>
                </c:pt>
                <c:pt idx="14">
                  <c:v>17199.686497369275</c:v>
                </c:pt>
                <c:pt idx="15">
                  <c:v>16146.763365114637</c:v>
                </c:pt>
                <c:pt idx="16">
                  <c:v>15102.452209975087</c:v>
                </c:pt>
                <c:pt idx="17">
                  <c:v>14078.081580191305</c:v>
                </c:pt>
                <c:pt idx="18">
                  <c:v>13079.340266509933</c:v>
                </c:pt>
                <c:pt idx="19">
                  <c:v>11866.195931550987</c:v>
                </c:pt>
                <c:pt idx="20">
                  <c:v>10695.986720418776</c:v>
                </c:pt>
                <c:pt idx="21">
                  <c:v>9586.6197224527259</c:v>
                </c:pt>
                <c:pt idx="22">
                  <c:v>8547.0830348449945</c:v>
                </c:pt>
                <c:pt idx="23">
                  <c:v>7581.8828206384569</c:v>
                </c:pt>
                <c:pt idx="24">
                  <c:v>6452.1839973945143</c:v>
                </c:pt>
                <c:pt idx="25">
                  <c:v>5423.230454484913</c:v>
                </c:pt>
                <c:pt idx="26">
                  <c:v>4531.634102518663</c:v>
                </c:pt>
                <c:pt idx="27">
                  <c:v>3795.7436959088527</c:v>
                </c:pt>
                <c:pt idx="28">
                  <c:v>3224.7543295046726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4-4E74-9484-5A1A43CC12D2}"/>
            </c:ext>
          </c:extLst>
        </c:ser>
        <c:ser>
          <c:idx val="5"/>
          <c:order val="5"/>
          <c:tx>
            <c:strRef>
              <c:f>'CEM Tool'!$A$211</c:f>
              <c:strCache>
                <c:ptCount val="1"/>
                <c:pt idx="0">
                  <c:v>Nationally Determined Contributions (NDCs)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'CEM Tool'!$B$206:$AD$206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Tool'!$B$211:$AD$211</c:f>
              <c:numCache>
                <c:formatCode>#,##0</c:formatCode>
                <c:ptCount val="29"/>
                <c:pt idx="0">
                  <c:v>1330.7294796298522</c:v>
                </c:pt>
                <c:pt idx="1">
                  <c:v>2155.6257512579259</c:v>
                </c:pt>
                <c:pt idx="2">
                  <c:v>2904.5968243828111</c:v>
                </c:pt>
                <c:pt idx="3">
                  <c:v>3590.6207559275163</c:v>
                </c:pt>
                <c:pt idx="4">
                  <c:v>4032.0887048681298</c:v>
                </c:pt>
                <c:pt idx="5">
                  <c:v>4424.1031281000069</c:v>
                </c:pt>
                <c:pt idx="6">
                  <c:v>4773.9901357214067</c:v>
                </c:pt>
                <c:pt idx="7">
                  <c:v>5085.4268828981621</c:v>
                </c:pt>
                <c:pt idx="8">
                  <c:v>5360.2595890438843</c:v>
                </c:pt>
                <c:pt idx="9">
                  <c:v>5131.0246102793699</c:v>
                </c:pt>
                <c:pt idx="10">
                  <c:v>4879.8812899467293</c:v>
                </c:pt>
                <c:pt idx="11">
                  <c:v>4623.6337585662477</c:v>
                </c:pt>
                <c:pt idx="12">
                  <c:v>4370.6913310528053</c:v>
                </c:pt>
                <c:pt idx="13">
                  <c:v>4125.2622775484651</c:v>
                </c:pt>
                <c:pt idx="14">
                  <c:v>3902.599758417532</c:v>
                </c:pt>
                <c:pt idx="15">
                  <c:v>3690.1248534003871</c:v>
                </c:pt>
                <c:pt idx="16">
                  <c:v>3487.737801854988</c:v>
                </c:pt>
                <c:pt idx="17">
                  <c:v>3295.3886462180508</c:v>
                </c:pt>
                <c:pt idx="18">
                  <c:v>3113.0523471891856</c:v>
                </c:pt>
                <c:pt idx="19">
                  <c:v>2951.0149324024924</c:v>
                </c:pt>
                <c:pt idx="20">
                  <c:v>2798.4350371397804</c:v>
                </c:pt>
                <c:pt idx="21">
                  <c:v>2654.5527345614428</c:v>
                </c:pt>
                <c:pt idx="22">
                  <c:v>2518.9876472513715</c:v>
                </c:pt>
                <c:pt idx="23">
                  <c:v>2391.5493636601332</c:v>
                </c:pt>
                <c:pt idx="24">
                  <c:v>2272.5969268980371</c:v>
                </c:pt>
                <c:pt idx="25">
                  <c:v>2161.5823284748922</c:v>
                </c:pt>
                <c:pt idx="26">
                  <c:v>2058.413974470739</c:v>
                </c:pt>
                <c:pt idx="27">
                  <c:v>1963.0460029256244</c:v>
                </c:pt>
                <c:pt idx="28">
                  <c:v>1875.4554449676132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4-4E74-9484-5A1A43CC12D2}"/>
            </c:ext>
          </c:extLst>
        </c:ser>
        <c:ser>
          <c:idx val="6"/>
          <c:order val="6"/>
          <c:tx>
            <c:strRef>
              <c:f>'CEM Tool'!$A$212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'CEM Tool'!$B$206:$AD$206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Tool'!$B$212:$AD$212</c:f>
              <c:numCache>
                <c:formatCode>#,##0</c:formatCode>
                <c:ptCount val="29"/>
                <c:pt idx="0">
                  <c:v>1330.7294796298522</c:v>
                </c:pt>
                <c:pt idx="1">
                  <c:v>3503.2337340317408</c:v>
                </c:pt>
                <c:pt idx="2">
                  <c:v>5542.8835018281006</c:v>
                </c:pt>
                <c:pt idx="3">
                  <c:v>7444.7589140615837</c:v>
                </c:pt>
                <c:pt idx="4">
                  <c:v>7919.2003946165951</c:v>
                </c:pt>
                <c:pt idx="5">
                  <c:v>8281.2857066495726</c:v>
                </c:pt>
                <c:pt idx="6">
                  <c:v>8567.8591208893413</c:v>
                </c:pt>
                <c:pt idx="7">
                  <c:v>8797.4144063081858</c:v>
                </c:pt>
                <c:pt idx="8">
                  <c:v>8979.2351929733177</c:v>
                </c:pt>
                <c:pt idx="9">
                  <c:v>9998.8501332746982</c:v>
                </c:pt>
                <c:pt idx="10">
                  <c:v>10951.188524680452</c:v>
                </c:pt>
                <c:pt idx="11">
                  <c:v>11807.126055361718</c:v>
                </c:pt>
                <c:pt idx="12">
                  <c:v>12552.050274729596</c:v>
                </c:pt>
                <c:pt idx="13">
                  <c:v>13178.646825628273</c:v>
                </c:pt>
                <c:pt idx="14">
                  <c:v>13390.624738418195</c:v>
                </c:pt>
                <c:pt idx="15">
                  <c:v>13490.187587847371</c:v>
                </c:pt>
                <c:pt idx="16">
                  <c:v>13489.850491013452</c:v>
                </c:pt>
                <c:pt idx="17">
                  <c:v>13395.934148854081</c:v>
                </c:pt>
                <c:pt idx="18">
                  <c:v>13211.630917294211</c:v>
                </c:pt>
                <c:pt idx="19">
                  <c:v>12797.350051609068</c:v>
                </c:pt>
                <c:pt idx="20">
                  <c:v>12302.510513721636</c:v>
                </c:pt>
                <c:pt idx="21">
                  <c:v>11737.591932051133</c:v>
                </c:pt>
                <c:pt idx="22">
                  <c:v>11107.872169281338</c:v>
                </c:pt>
                <c:pt idx="23">
                  <c:v>10416.002685103229</c:v>
                </c:pt>
                <c:pt idx="24">
                  <c:v>9555.5620290717561</c:v>
                </c:pt>
                <c:pt idx="25">
                  <c:v>8645.3655525054346</c:v>
                </c:pt>
                <c:pt idx="26">
                  <c:v>7701.6528214397113</c:v>
                </c:pt>
                <c:pt idx="27">
                  <c:v>6732.5748015395275</c:v>
                </c:pt>
                <c:pt idx="28">
                  <c:v>5742.2097726582015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4-4E74-9484-5A1A43CC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0273231"/>
        <c:axId val="118942177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Tool'!$A$206</c15:sqref>
                        </c15:formulaRef>
                      </c:ext>
                    </c:extLst>
                    <c:strCache>
                      <c:ptCount val="1"/>
                      <c:pt idx="0">
                        <c:v>EBIT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Tool'!$B$206:$AD$206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Tool'!$B$206:$AD$206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5EB4-4E74-9484-5A1A43CC12D2}"/>
                  </c:ext>
                </c:extLst>
              </c15:ser>
            </c15:filteredLineSeries>
          </c:ext>
        </c:extLst>
      </c:lineChart>
      <c:catAx>
        <c:axId val="1990273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421775"/>
        <c:crosses val="autoZero"/>
        <c:auto val="1"/>
        <c:lblAlgn val="ctr"/>
        <c:lblOffset val="100"/>
        <c:noMultiLvlLbl val="0"/>
      </c:catAx>
      <c:valAx>
        <c:axId val="118942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273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Interest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Tool'!$A$215</c:f>
              <c:strCache>
                <c:ptCount val="1"/>
                <c:pt idx="0">
                  <c:v>Below 2Â°C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'CEM Tool'!$B$214:$AD$214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Tool'!$B$215:$AD$215</c:f>
              <c:numCache>
                <c:formatCode>#,##0</c:formatCode>
                <c:ptCount val="29"/>
                <c:pt idx="0">
                  <c:v>829.46761206585757</c:v>
                </c:pt>
                <c:pt idx="1">
                  <c:v>829.46761206585757</c:v>
                </c:pt>
                <c:pt idx="2">
                  <c:v>825.74047465221247</c:v>
                </c:pt>
                <c:pt idx="3">
                  <c:v>822.42202759742781</c:v>
                </c:pt>
                <c:pt idx="4">
                  <c:v>819.43781629482351</c:v>
                </c:pt>
                <c:pt idx="5">
                  <c:v>818.16962212015449</c:v>
                </c:pt>
                <c:pt idx="6">
                  <c:v>817.12405960756564</c:v>
                </c:pt>
                <c:pt idx="7">
                  <c:v>816.23101808804745</c:v>
                </c:pt>
                <c:pt idx="8">
                  <c:v>815.46252006008251</c:v>
                </c:pt>
                <c:pt idx="9">
                  <c:v>814.80463035827859</c:v>
                </c:pt>
                <c:pt idx="10">
                  <c:v>814.78952794461293</c:v>
                </c:pt>
                <c:pt idx="11">
                  <c:v>814.86721703560613</c:v>
                </c:pt>
                <c:pt idx="12">
                  <c:v>815.00986145969</c:v>
                </c:pt>
                <c:pt idx="13">
                  <c:v>815.20612831800486</c:v>
                </c:pt>
                <c:pt idx="14">
                  <c:v>815.45037064856501</c:v>
                </c:pt>
                <c:pt idx="15">
                  <c:v>816.25096726300012</c:v>
                </c:pt>
                <c:pt idx="16">
                  <c:v>817.08415145802132</c:v>
                </c:pt>
                <c:pt idx="17">
                  <c:v>817.91805319651178</c:v>
                </c:pt>
                <c:pt idx="18">
                  <c:v>818.73914587613774</c:v>
                </c:pt>
                <c:pt idx="19">
                  <c:v>819.54068599297636</c:v>
                </c:pt>
                <c:pt idx="20">
                  <c:v>820.72650148492812</c:v>
                </c:pt>
                <c:pt idx="21">
                  <c:v>821.87305883822</c:v>
                </c:pt>
                <c:pt idx="22">
                  <c:v>822.94395803296845</c:v>
                </c:pt>
                <c:pt idx="23">
                  <c:v>823.92283592558624</c:v>
                </c:pt>
                <c:pt idx="24">
                  <c:v>824.80152664594561</c:v>
                </c:pt>
                <c:pt idx="25">
                  <c:v>825.80548079720711</c:v>
                </c:pt>
                <c:pt idx="26">
                  <c:v>826.68490225330879</c:v>
                </c:pt>
                <c:pt idx="27">
                  <c:v>827.40065272909794</c:v>
                </c:pt>
                <c:pt idx="28">
                  <c:v>827.93406026359446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08-4DED-8842-18FCE7791F9E}"/>
            </c:ext>
          </c:extLst>
        </c:ser>
        <c:ser>
          <c:idx val="2"/>
          <c:order val="2"/>
          <c:tx>
            <c:strRef>
              <c:f>'CEM Tool'!$A$216</c:f>
              <c:strCache>
                <c:ptCount val="1"/>
                <c:pt idx="0">
                  <c:v>Current Policies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'CEM Tool'!$B$214:$AD$214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Tool'!$B$216:$AD$216</c:f>
              <c:numCache>
                <c:formatCode>#,##0</c:formatCode>
                <c:ptCount val="29"/>
                <c:pt idx="0">
                  <c:v>829.46761206585757</c:v>
                </c:pt>
                <c:pt idx="1">
                  <c:v>829.46761206585757</c:v>
                </c:pt>
                <c:pt idx="2">
                  <c:v>830.14042137678007</c:v>
                </c:pt>
                <c:pt idx="3">
                  <c:v>831.05226025814181</c:v>
                </c:pt>
                <c:pt idx="4">
                  <c:v>832.04041569323351</c:v>
                </c:pt>
                <c:pt idx="5">
                  <c:v>832.18054729353628</c:v>
                </c:pt>
                <c:pt idx="6">
                  <c:v>832.28388049235673</c:v>
                </c:pt>
                <c:pt idx="7">
                  <c:v>832.36455009301244</c:v>
                </c:pt>
                <c:pt idx="8">
                  <c:v>832.42550493995793</c:v>
                </c:pt>
                <c:pt idx="9">
                  <c:v>832.46817631796682</c:v>
                </c:pt>
                <c:pt idx="10">
                  <c:v>832.4661011501878</c:v>
                </c:pt>
                <c:pt idx="11">
                  <c:v>832.44720756585377</c:v>
                </c:pt>
                <c:pt idx="12">
                  <c:v>832.41298584708636</c:v>
                </c:pt>
                <c:pt idx="13">
                  <c:v>832.36404998864646</c:v>
                </c:pt>
                <c:pt idx="14">
                  <c:v>832.30070565789447</c:v>
                </c:pt>
                <c:pt idx="15">
                  <c:v>832.20709973352336</c:v>
                </c:pt>
                <c:pt idx="16">
                  <c:v>832.09968641963542</c:v>
                </c:pt>
                <c:pt idx="17">
                  <c:v>831.97947433266495</c:v>
                </c:pt>
                <c:pt idx="18">
                  <c:v>831.84689190458516</c:v>
                </c:pt>
                <c:pt idx="19">
                  <c:v>831.70215259101178</c:v>
                </c:pt>
                <c:pt idx="20">
                  <c:v>831.5339809360654</c:v>
                </c:pt>
                <c:pt idx="21">
                  <c:v>831.35427399614628</c:v>
                </c:pt>
                <c:pt idx="22">
                  <c:v>831.16403165063991</c:v>
                </c:pt>
                <c:pt idx="23">
                  <c:v>830.96370185092951</c:v>
                </c:pt>
                <c:pt idx="24">
                  <c:v>830.75350806629206</c:v>
                </c:pt>
                <c:pt idx="25">
                  <c:v>830.53285180740397</c:v>
                </c:pt>
                <c:pt idx="26">
                  <c:v>830.30258233693223</c:v>
                </c:pt>
                <c:pt idx="27">
                  <c:v>830.06283277480884</c:v>
                </c:pt>
                <c:pt idx="28">
                  <c:v>829.81366662697053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08-4DED-8842-18FCE7791F9E}"/>
            </c:ext>
          </c:extLst>
        </c:ser>
        <c:ser>
          <c:idx val="3"/>
          <c:order val="3"/>
          <c:tx>
            <c:strRef>
              <c:f>'CEM Tool'!$A$217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'CEM Tool'!$B$214:$AD$214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Tool'!$B$217:$AD$217</c:f>
              <c:numCache>
                <c:formatCode>#,##0</c:formatCode>
                <c:ptCount val="29"/>
                <c:pt idx="0">
                  <c:v>829.46761206585757</c:v>
                </c:pt>
                <c:pt idx="1">
                  <c:v>829.46761206585757</c:v>
                </c:pt>
                <c:pt idx="2">
                  <c:v>830.14042137678007</c:v>
                </c:pt>
                <c:pt idx="3">
                  <c:v>831.05226025814181</c:v>
                </c:pt>
                <c:pt idx="4">
                  <c:v>832.04041569323351</c:v>
                </c:pt>
                <c:pt idx="5">
                  <c:v>832.18054729353628</c:v>
                </c:pt>
                <c:pt idx="6">
                  <c:v>832.28388049235673</c:v>
                </c:pt>
                <c:pt idx="7">
                  <c:v>832.36455009301244</c:v>
                </c:pt>
                <c:pt idx="8">
                  <c:v>832.42550493995793</c:v>
                </c:pt>
                <c:pt idx="9">
                  <c:v>832.46817631796682</c:v>
                </c:pt>
                <c:pt idx="10">
                  <c:v>814.80271585706123</c:v>
                </c:pt>
                <c:pt idx="11">
                  <c:v>797.27177486013284</c:v>
                </c:pt>
                <c:pt idx="12">
                  <c:v>780.78978761514225</c:v>
                </c:pt>
                <c:pt idx="13">
                  <c:v>765.73353000266627</c:v>
                </c:pt>
                <c:pt idx="14">
                  <c:v>752.29081883745289</c:v>
                </c:pt>
                <c:pt idx="15">
                  <c:v>747.20385419044396</c:v>
                </c:pt>
                <c:pt idx="16">
                  <c:v>743.67411159539904</c:v>
                </c:pt>
                <c:pt idx="17">
                  <c:v>741.34410068985062</c:v>
                </c:pt>
                <c:pt idx="18">
                  <c:v>740.06621727377672</c:v>
                </c:pt>
                <c:pt idx="19">
                  <c:v>739.76653145468015</c:v>
                </c:pt>
                <c:pt idx="20">
                  <c:v>741.15621579140736</c:v>
                </c:pt>
                <c:pt idx="21">
                  <c:v>743.43706272217571</c:v>
                </c:pt>
                <c:pt idx="22">
                  <c:v>746.53795141151716</c:v>
                </c:pt>
                <c:pt idx="23">
                  <c:v>750.42653294295428</c:v>
                </c:pt>
                <c:pt idx="24">
                  <c:v>755.08659871114514</c:v>
                </c:pt>
                <c:pt idx="25">
                  <c:v>760.92446212642665</c:v>
                </c:pt>
                <c:pt idx="26">
                  <c:v>767.48499804383141</c:v>
                </c:pt>
                <c:pt idx="27">
                  <c:v>774.70109943419618</c:v>
                </c:pt>
                <c:pt idx="28">
                  <c:v>782.54090200250266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08-4DED-8842-18FCE7791F9E}"/>
            </c:ext>
          </c:extLst>
        </c:ser>
        <c:ser>
          <c:idx val="4"/>
          <c:order val="4"/>
          <c:tx>
            <c:strRef>
              <c:f>'CEM Tool'!$A$218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'CEM Tool'!$B$214:$AD$214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Tool'!$B$218:$AD$218</c:f>
              <c:numCache>
                <c:formatCode>#,##0</c:formatCode>
                <c:ptCount val="29"/>
                <c:pt idx="0">
                  <c:v>829.46761206585757</c:v>
                </c:pt>
                <c:pt idx="1">
                  <c:v>829.46761206585757</c:v>
                </c:pt>
                <c:pt idx="2">
                  <c:v>790.90521782732901</c:v>
                </c:pt>
                <c:pt idx="3">
                  <c:v>754.00828074156959</c:v>
                </c:pt>
                <c:pt idx="4">
                  <c:v>719.4937996835381</c:v>
                </c:pt>
                <c:pt idx="5">
                  <c:v>710.64331892756695</c:v>
                </c:pt>
                <c:pt idx="6">
                  <c:v>704.02983652457078</c:v>
                </c:pt>
                <c:pt idx="7">
                  <c:v>698.77336926998805</c:v>
                </c:pt>
                <c:pt idx="8">
                  <c:v>694.54576012554901</c:v>
                </c:pt>
                <c:pt idx="9">
                  <c:v>691.18297550977263</c:v>
                </c:pt>
                <c:pt idx="10">
                  <c:v>693.03563781336595</c:v>
                </c:pt>
                <c:pt idx="11">
                  <c:v>695.51062595409849</c:v>
                </c:pt>
                <c:pt idx="12">
                  <c:v>698.40701361996628</c:v>
                </c:pt>
                <c:pt idx="13">
                  <c:v>701.64571129158037</c:v>
                </c:pt>
                <c:pt idx="14">
                  <c:v>705.18708321930876</c:v>
                </c:pt>
                <c:pt idx="15">
                  <c:v>712.7787741929244</c:v>
                </c:pt>
                <c:pt idx="16">
                  <c:v>720.51432378525749</c:v>
                </c:pt>
                <c:pt idx="17">
                  <c:v>728.18877037398022</c:v>
                </c:pt>
                <c:pt idx="18">
                  <c:v>735.71758898117344</c:v>
                </c:pt>
                <c:pt idx="19">
                  <c:v>743.05852778338351</c:v>
                </c:pt>
                <c:pt idx="20">
                  <c:v>751.95638755365178</c:v>
                </c:pt>
                <c:pt idx="21">
                  <c:v>760.55845256050213</c:v>
                </c:pt>
                <c:pt idx="22">
                  <c:v>768.71502917481689</c:v>
                </c:pt>
                <c:pt idx="23">
                  <c:v>776.35919105159246</c:v>
                </c:pt>
                <c:pt idx="24">
                  <c:v>783.45747027115215</c:v>
                </c:pt>
                <c:pt idx="25">
                  <c:v>791.74605493460263</c:v>
                </c:pt>
                <c:pt idx="26">
                  <c:v>799.31465700684453</c:v>
                </c:pt>
                <c:pt idx="27">
                  <c:v>805.87697667660677</c:v>
                </c:pt>
                <c:pt idx="28">
                  <c:v>811.29659011613921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08-4DED-8842-18FCE7791F9E}"/>
            </c:ext>
          </c:extLst>
        </c:ser>
        <c:ser>
          <c:idx val="5"/>
          <c:order val="5"/>
          <c:tx>
            <c:strRef>
              <c:f>'CEM Tool'!$A$219</c:f>
              <c:strCache>
                <c:ptCount val="1"/>
                <c:pt idx="0">
                  <c:v>Nationally Determined Contributions (NDCs)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'CEM Tool'!$B$214:$AD$214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Tool'!$B$219:$AD$219</c:f>
              <c:numCache>
                <c:formatCode>#,##0</c:formatCode>
                <c:ptCount val="29"/>
                <c:pt idx="0">
                  <c:v>829.46761206585757</c:v>
                </c:pt>
                <c:pt idx="1">
                  <c:v>829.46761206585757</c:v>
                </c:pt>
                <c:pt idx="2">
                  <c:v>823.46989367944479</c:v>
                </c:pt>
                <c:pt idx="3">
                  <c:v>817.96111280731691</c:v>
                </c:pt>
                <c:pt idx="4">
                  <c:v>812.91515715830644</c:v>
                </c:pt>
                <c:pt idx="5">
                  <c:v>809.65220732886769</c:v>
                </c:pt>
                <c:pt idx="6">
                  <c:v>806.76758789615553</c:v>
                </c:pt>
                <c:pt idx="7">
                  <c:v>804.19325228745572</c:v>
                </c:pt>
                <c:pt idx="8">
                  <c:v>801.90174840994064</c:v>
                </c:pt>
                <c:pt idx="9">
                  <c:v>799.87936379340897</c:v>
                </c:pt>
                <c:pt idx="10">
                  <c:v>801.5248242842747</c:v>
                </c:pt>
                <c:pt idx="11">
                  <c:v>803.36816895205141</c:v>
                </c:pt>
                <c:pt idx="12">
                  <c:v>805.25070774916219</c:v>
                </c:pt>
                <c:pt idx="13">
                  <c:v>807.10962792859675</c:v>
                </c:pt>
                <c:pt idx="14">
                  <c:v>808.91367079432689</c:v>
                </c:pt>
                <c:pt idx="15">
                  <c:v>810.55160362157585</c:v>
                </c:pt>
                <c:pt idx="16">
                  <c:v>812.11371583943867</c:v>
                </c:pt>
                <c:pt idx="17">
                  <c:v>813.60168277816467</c:v>
                </c:pt>
                <c:pt idx="18">
                  <c:v>815.01588530003357</c:v>
                </c:pt>
                <c:pt idx="19">
                  <c:v>816.35650946994406</c:v>
                </c:pt>
                <c:pt idx="20">
                  <c:v>817.54876881558823</c:v>
                </c:pt>
                <c:pt idx="21">
                  <c:v>818.67070268579039</c:v>
                </c:pt>
                <c:pt idx="22">
                  <c:v>819.72865750767119</c:v>
                </c:pt>
                <c:pt idx="23">
                  <c:v>820.72546573233058</c:v>
                </c:pt>
                <c:pt idx="24">
                  <c:v>821.66254162022733</c:v>
                </c:pt>
                <c:pt idx="25">
                  <c:v>822.53728949366439</c:v>
                </c:pt>
                <c:pt idx="26">
                  <c:v>823.35366654383949</c:v>
                </c:pt>
                <c:pt idx="27">
                  <c:v>824.11238037448334</c:v>
                </c:pt>
                <c:pt idx="28">
                  <c:v>824.81377188728754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08-4DED-8842-18FCE7791F9E}"/>
            </c:ext>
          </c:extLst>
        </c:ser>
        <c:ser>
          <c:idx val="6"/>
          <c:order val="6"/>
          <c:tx>
            <c:strRef>
              <c:f>'CEM Tool'!$A$220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'CEM Tool'!$B$214:$AD$214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Tool'!$B$220:$AD$220</c:f>
              <c:numCache>
                <c:formatCode>#,##0</c:formatCode>
                <c:ptCount val="29"/>
                <c:pt idx="0">
                  <c:v>829.46761206585757</c:v>
                </c:pt>
                <c:pt idx="1">
                  <c:v>829.46761206585757</c:v>
                </c:pt>
                <c:pt idx="2">
                  <c:v>813.67160333197273</c:v>
                </c:pt>
                <c:pt idx="3">
                  <c:v>798.67536488553424</c:v>
                </c:pt>
                <c:pt idx="4">
                  <c:v>784.68928148243651</c:v>
                </c:pt>
                <c:pt idx="5">
                  <c:v>781.09252136887403</c:v>
                </c:pt>
                <c:pt idx="6">
                  <c:v>778.42200059304491</c:v>
                </c:pt>
                <c:pt idx="7">
                  <c:v>776.31026290752641</c:v>
                </c:pt>
                <c:pt idx="8">
                  <c:v>774.61897621177127</c:v>
                </c:pt>
                <c:pt idx="9">
                  <c:v>773.27918491860169</c:v>
                </c:pt>
                <c:pt idx="10">
                  <c:v>765.85159460980242</c:v>
                </c:pt>
                <c:pt idx="11">
                  <c:v>758.84911077154413</c:v>
                </c:pt>
                <c:pt idx="12">
                  <c:v>752.55201839498659</c:v>
                </c:pt>
                <c:pt idx="13">
                  <c:v>747.06951182149351</c:v>
                </c:pt>
                <c:pt idx="14">
                  <c:v>742.4559217255445</c:v>
                </c:pt>
                <c:pt idx="15">
                  <c:v>740.86611460698236</c:v>
                </c:pt>
                <c:pt idx="16">
                  <c:v>740.12547828425147</c:v>
                </c:pt>
                <c:pt idx="17">
                  <c:v>740.12013664563085</c:v>
                </c:pt>
                <c:pt idx="18">
                  <c:v>740.80293450825729</c:v>
                </c:pt>
                <c:pt idx="19">
                  <c:v>742.15016450380028</c:v>
                </c:pt>
                <c:pt idx="20">
                  <c:v>745.17652417021986</c:v>
                </c:pt>
                <c:pt idx="21">
                  <c:v>748.8062829559592</c:v>
                </c:pt>
                <c:pt idx="22">
                  <c:v>752.95192645166026</c:v>
                </c:pt>
                <c:pt idx="23">
                  <c:v>757.57415918740537</c:v>
                </c:pt>
                <c:pt idx="24">
                  <c:v>762.65328928044482</c:v>
                </c:pt>
                <c:pt idx="25">
                  <c:v>768.96288669680098</c:v>
                </c:pt>
                <c:pt idx="26">
                  <c:v>775.64719890725178</c:v>
                </c:pt>
                <c:pt idx="27">
                  <c:v>782.57914621661234</c:v>
                </c:pt>
                <c:pt idx="28">
                  <c:v>789.69812689249136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08-4DED-8842-18FCE7791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8540863"/>
        <c:axId val="126611073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Tool'!$A$214</c15:sqref>
                        </c15:formulaRef>
                      </c:ext>
                    </c:extLst>
                    <c:strCache>
                      <c:ptCount val="1"/>
                      <c:pt idx="0">
                        <c:v>Interest Expenses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Tool'!$B$214:$AD$214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Tool'!$B$214:$AD$214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7F08-4DED-8842-18FCE7791F9E}"/>
                  </c:ext>
                </c:extLst>
              </c15:ser>
            </c15:filteredLineSeries>
          </c:ext>
        </c:extLst>
      </c:lineChart>
      <c:catAx>
        <c:axId val="199854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110735"/>
        <c:crosses val="autoZero"/>
        <c:auto val="1"/>
        <c:lblAlgn val="ctr"/>
        <c:lblOffset val="100"/>
        <c:noMultiLvlLbl val="0"/>
      </c:catAx>
      <c:valAx>
        <c:axId val="126611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54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</a:t>
            </a:r>
            <a:r>
              <a:rPr lang="en-US" b="1" baseline="0"/>
              <a:t> Debt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Tool'!$A$223</c:f>
              <c:strCache>
                <c:ptCount val="1"/>
                <c:pt idx="0">
                  <c:v>Below 2Â°C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'CEM Tool'!$B$222:$AD$222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Tool'!$B$223:$AD$223</c:f>
              <c:numCache>
                <c:formatCode>#,##0</c:formatCode>
                <c:ptCount val="29"/>
                <c:pt idx="0">
                  <c:v>17310.299242879464</c:v>
                </c:pt>
                <c:pt idx="1">
                  <c:v>17232.516984704438</c:v>
                </c:pt>
                <c:pt idx="2">
                  <c:v>17163.263754434352</c:v>
                </c:pt>
                <c:pt idx="3">
                  <c:v>17100.985746347447</c:v>
                </c:pt>
                <c:pt idx="4">
                  <c:v>17074.519588606916</c:v>
                </c:pt>
                <c:pt idx="5">
                  <c:v>17052.699568503933</c:v>
                </c:pt>
                <c:pt idx="6">
                  <c:v>17034.062534683319</c:v>
                </c:pt>
                <c:pt idx="7">
                  <c:v>17018.024619955697</c:v>
                </c:pt>
                <c:pt idx="8">
                  <c:v>17004.295009008416</c:v>
                </c:pt>
                <c:pt idx="9">
                  <c:v>17003.97983419503</c:v>
                </c:pt>
                <c:pt idx="10">
                  <c:v>17005.60114091447</c:v>
                </c:pt>
                <c:pt idx="11">
                  <c:v>17008.578011415862</c:v>
                </c:pt>
                <c:pt idx="12">
                  <c:v>17012.673937524934</c:v>
                </c:pt>
                <c:pt idx="13">
                  <c:v>17017.7710718413</c:v>
                </c:pt>
                <c:pt idx="14">
                  <c:v>17034.47885737399</c:v>
                </c:pt>
                <c:pt idx="15">
                  <c:v>17051.866718612277</c:v>
                </c:pt>
                <c:pt idx="16">
                  <c:v>17069.269554386028</c:v>
                </c:pt>
                <c:pt idx="17">
                  <c:v>17086.405075753839</c:v>
                </c:pt>
                <c:pt idx="18">
                  <c:v>17103.132551397033</c:v>
                </c:pt>
                <c:pt idx="19">
                  <c:v>17127.879534538912</c:v>
                </c:pt>
                <c:pt idx="20">
                  <c:v>17151.807232975712</c:v>
                </c:pt>
                <c:pt idx="21">
                  <c:v>17174.156008564292</c:v>
                </c:pt>
                <c:pt idx="22">
                  <c:v>17194.584376106275</c:v>
                </c:pt>
                <c:pt idx="23">
                  <c:v>17212.921920683188</c:v>
                </c:pt>
                <c:pt idx="24">
                  <c:v>17233.873608888571</c:v>
                </c:pt>
                <c:pt idx="25">
                  <c:v>17252.226403312714</c:v>
                </c:pt>
                <c:pt idx="26">
                  <c:v>17267.163520493559</c:v>
                </c:pt>
                <c:pt idx="27">
                  <c:v>17278.295292133858</c:v>
                </c:pt>
                <c:pt idx="28">
                  <c:v>17285.427044935081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0-4877-BF2E-D093E8FA59D5}"/>
            </c:ext>
          </c:extLst>
        </c:ser>
        <c:ser>
          <c:idx val="2"/>
          <c:order val="2"/>
          <c:tx>
            <c:strRef>
              <c:f>'CEM Tool'!$A$224</c:f>
              <c:strCache>
                <c:ptCount val="1"/>
                <c:pt idx="0">
                  <c:v>Current Policies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'CEM Tool'!$B$222:$AD$222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Tool'!$B$224:$AD$224</c:f>
              <c:numCache>
                <c:formatCode>#,##0</c:formatCode>
                <c:ptCount val="29"/>
                <c:pt idx="0">
                  <c:v>17310.299242879464</c:v>
                </c:pt>
                <c:pt idx="1">
                  <c:v>17324.34021366126</c:v>
                </c:pt>
                <c:pt idx="2">
                  <c:v>17343.369532790857</c:v>
                </c:pt>
                <c:pt idx="3">
                  <c:v>17363.991514928668</c:v>
                </c:pt>
                <c:pt idx="4">
                  <c:v>17366.915944887522</c:v>
                </c:pt>
                <c:pt idx="5">
                  <c:v>17369.072422810572</c:v>
                </c:pt>
                <c:pt idx="6">
                  <c:v>17370.755930287949</c:v>
                </c:pt>
                <c:pt idx="7">
                  <c:v>17372.028007251029</c:v>
                </c:pt>
                <c:pt idx="8">
                  <c:v>17372.918523422723</c:v>
                </c:pt>
                <c:pt idx="9">
                  <c:v>17372.875216396973</c:v>
                </c:pt>
                <c:pt idx="10">
                  <c:v>17372.480923004638</c:v>
                </c:pt>
                <c:pt idx="11">
                  <c:v>17371.766744194214</c:v>
                </c:pt>
                <c:pt idx="12">
                  <c:v>17370.745493525737</c:v>
                </c:pt>
                <c:pt idx="13">
                  <c:v>17369.423550022813</c:v>
                </c:pt>
                <c:pt idx="14">
                  <c:v>17367.470072227901</c:v>
                </c:pt>
                <c:pt idx="15">
                  <c:v>17365.22844569659</c:v>
                </c:pt>
                <c:pt idx="16">
                  <c:v>17362.719719415058</c:v>
                </c:pt>
                <c:pt idx="17">
                  <c:v>17359.95283440228</c:v>
                </c:pt>
                <c:pt idx="18">
                  <c:v>17356.932245299442</c:v>
                </c:pt>
                <c:pt idx="19">
                  <c:v>17353.422642719492</c:v>
                </c:pt>
                <c:pt idx="20">
                  <c:v>17349.672308335397</c:v>
                </c:pt>
                <c:pt idx="21">
                  <c:v>17345.702108798396</c:v>
                </c:pt>
                <c:pt idx="22">
                  <c:v>17341.521392481314</c:v>
                </c:pt>
                <c:pt idx="23">
                  <c:v>17337.134823002121</c:v>
                </c:pt>
                <c:pt idx="24">
                  <c:v>17332.529910386362</c:v>
                </c:pt>
                <c:pt idx="25">
                  <c:v>17327.724378039609</c:v>
                </c:pt>
                <c:pt idx="26">
                  <c:v>17322.72100406414</c:v>
                </c:pt>
                <c:pt idx="27">
                  <c:v>17317.521113776038</c:v>
                </c:pt>
                <c:pt idx="28">
                  <c:v>17312.125369320314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20-4877-BF2E-D093E8FA59D5}"/>
            </c:ext>
          </c:extLst>
        </c:ser>
        <c:ser>
          <c:idx val="3"/>
          <c:order val="3"/>
          <c:tx>
            <c:strRef>
              <c:f>'CEM Tool'!$A$225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'CEM Tool'!$B$222:$AD$222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Tool'!$B$225:$AD$225</c:f>
              <c:numCache>
                <c:formatCode>#,##0</c:formatCode>
                <c:ptCount val="29"/>
                <c:pt idx="0">
                  <c:v>17310.299242879464</c:v>
                </c:pt>
                <c:pt idx="1">
                  <c:v>17324.34021366126</c:v>
                </c:pt>
                <c:pt idx="2">
                  <c:v>17343.369532790857</c:v>
                </c:pt>
                <c:pt idx="3">
                  <c:v>17363.991514928668</c:v>
                </c:pt>
                <c:pt idx="4">
                  <c:v>17366.915944887522</c:v>
                </c:pt>
                <c:pt idx="5">
                  <c:v>17369.072422810572</c:v>
                </c:pt>
                <c:pt idx="6">
                  <c:v>17370.755930287949</c:v>
                </c:pt>
                <c:pt idx="7">
                  <c:v>17372.028007251029</c:v>
                </c:pt>
                <c:pt idx="8">
                  <c:v>17372.918523422723</c:v>
                </c:pt>
                <c:pt idx="9">
                  <c:v>17004.255054960191</c:v>
                </c:pt>
                <c:pt idx="10">
                  <c:v>16638.398895838694</c:v>
                </c:pt>
                <c:pt idx="11">
                  <c:v>16294.433529165093</c:v>
                </c:pt>
                <c:pt idx="12">
                  <c:v>15980.221954224</c:v>
                </c:pt>
                <c:pt idx="13">
                  <c:v>15699.683751742665</c:v>
                </c:pt>
                <c:pt idx="14">
                  <c:v>15593.523030098138</c:v>
                </c:pt>
                <c:pt idx="15">
                  <c:v>15519.86023762528</c:v>
                </c:pt>
                <c:pt idx="16">
                  <c:v>15471.234847763748</c:v>
                </c:pt>
                <c:pt idx="17">
                  <c:v>15444.566483613087</c:v>
                </c:pt>
                <c:pt idx="18">
                  <c:v>15438.312289800157</c:v>
                </c:pt>
                <c:pt idx="19">
                  <c:v>15467.313846186398</c:v>
                </c:pt>
                <c:pt idx="20">
                  <c:v>15514.913224781145</c:v>
                </c:pt>
                <c:pt idx="21">
                  <c:v>15579.626192895323</c:v>
                </c:pt>
                <c:pt idx="22">
                  <c:v>15660.777655544798</c:v>
                </c:pt>
                <c:pt idx="23">
                  <c:v>15758.029352615855</c:v>
                </c:pt>
                <c:pt idx="24">
                  <c:v>15879.860707074524</c:v>
                </c:pt>
                <c:pt idx="25">
                  <c:v>16016.773635646976</c:v>
                </c:pt>
                <c:pt idx="26">
                  <c:v>16167.367670443666</c:v>
                </c:pt>
                <c:pt idx="27">
                  <c:v>16330.977830127278</c:v>
                </c:pt>
                <c:pt idx="28">
                  <c:v>16507.27527297186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20-4877-BF2E-D093E8FA59D5}"/>
            </c:ext>
          </c:extLst>
        </c:ser>
        <c:ser>
          <c:idx val="4"/>
          <c:order val="4"/>
          <c:tx>
            <c:strRef>
              <c:f>'CEM Tool'!$A$226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'CEM Tool'!$B$222:$AD$222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Tool'!$B$226:$AD$226</c:f>
              <c:numCache>
                <c:formatCode>#,##0</c:formatCode>
                <c:ptCount val="29"/>
                <c:pt idx="0">
                  <c:v>17310.299242879464</c:v>
                </c:pt>
                <c:pt idx="1">
                  <c:v>16505.534145266683</c:v>
                </c:pt>
                <c:pt idx="2">
                  <c:v>15735.525753366408</c:v>
                </c:pt>
                <c:pt idx="3">
                  <c:v>15015.237237411931</c:v>
                </c:pt>
                <c:pt idx="4">
                  <c:v>14830.535064475198</c:v>
                </c:pt>
                <c:pt idx="5">
                  <c:v>14692.517186781028</c:v>
                </c:pt>
                <c:pt idx="6">
                  <c:v>14582.819086682093</c:v>
                </c:pt>
                <c:pt idx="7">
                  <c:v>14494.592399699211</c:v>
                </c:pt>
                <c:pt idx="8">
                  <c:v>14424.413881404251</c:v>
                </c:pt>
                <c:pt idx="9">
                  <c:v>14463.077402926603</c:v>
                </c:pt>
                <c:pt idx="10">
                  <c:v>14514.728347117123</c:v>
                </c:pt>
                <c:pt idx="11">
                  <c:v>14575.173548943252</c:v>
                </c:pt>
                <c:pt idx="12">
                  <c:v>14642.762475909583</c:v>
                </c:pt>
                <c:pt idx="13">
                  <c:v>14716.667962884094</c:v>
                </c:pt>
                <c:pt idx="14">
                  <c:v>14875.10023992678</c:v>
                </c:pt>
                <c:pt idx="15">
                  <c:v>15036.534726703087</c:v>
                </c:pt>
                <c:pt idx="16">
                  <c:v>15196.694044609929</c:v>
                </c:pt>
                <c:pt idx="17">
                  <c:v>15353.814227652745</c:v>
                </c:pt>
                <c:pt idx="18">
                  <c:v>15507.013515414486</c:v>
                </c:pt>
                <c:pt idx="19">
                  <c:v>15692.704448977174</c:v>
                </c:pt>
                <c:pt idx="20">
                  <c:v>15872.222391822974</c:v>
                </c:pt>
                <c:pt idx="21">
                  <c:v>16042.443362403861</c:v>
                </c:pt>
                <c:pt idx="22">
                  <c:v>16201.970663558435</c:v>
                </c:pt>
                <c:pt idx="23">
                  <c:v>16350.105847636407</c:v>
                </c:pt>
                <c:pt idx="24">
                  <c:v>16523.081716419187</c:v>
                </c:pt>
                <c:pt idx="25">
                  <c:v>16681.032147291928</c:v>
                </c:pt>
                <c:pt idx="26">
                  <c:v>16817.982301292635</c:v>
                </c:pt>
                <c:pt idx="27">
                  <c:v>16931.085126592086</c:v>
                </c:pt>
                <c:pt idx="28">
                  <c:v>17018.915430522542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20-4877-BF2E-D093E8FA59D5}"/>
            </c:ext>
          </c:extLst>
        </c:ser>
        <c:ser>
          <c:idx val="5"/>
          <c:order val="5"/>
          <c:tx>
            <c:strRef>
              <c:f>'CEM Tool'!$A$227</c:f>
              <c:strCache>
                <c:ptCount val="1"/>
                <c:pt idx="0">
                  <c:v>Nationally Determined Contributions (NDCs)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'CEM Tool'!$B$222:$AD$222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Tool'!$B$227:$AD$227</c:f>
              <c:numCache>
                <c:formatCode>#,##0</c:formatCode>
                <c:ptCount val="29"/>
                <c:pt idx="0">
                  <c:v>17310.299242879464</c:v>
                </c:pt>
                <c:pt idx="1">
                  <c:v>17185.131848115554</c:v>
                </c:pt>
                <c:pt idx="2">
                  <c:v>17070.168172653306</c:v>
                </c:pt>
                <c:pt idx="3">
                  <c:v>16964.863274692161</c:v>
                </c:pt>
                <c:pt idx="4">
                  <c:v>16896.768225361167</c:v>
                </c:pt>
                <c:pt idx="5">
                  <c:v>16836.568616774028</c:v>
                </c:pt>
                <c:pt idx="6">
                  <c:v>16782.844373548658</c:v>
                </c:pt>
                <c:pt idx="7">
                  <c:v>16735.022593338083</c:v>
                </c:pt>
                <c:pt idx="8">
                  <c:v>16692.817108293078</c:v>
                </c:pt>
                <c:pt idx="9">
                  <c:v>16727.156500301746</c:v>
                </c:pt>
                <c:pt idx="10">
                  <c:v>16765.625570513552</c:v>
                </c:pt>
                <c:pt idx="11">
                  <c:v>16804.912589609037</c:v>
                </c:pt>
                <c:pt idx="12">
                  <c:v>16843.706707795878</c:v>
                </c:pt>
                <c:pt idx="13">
                  <c:v>16881.355582084041</c:v>
                </c:pt>
                <c:pt idx="14">
                  <c:v>16915.537878013354</c:v>
                </c:pt>
                <c:pt idx="15">
                  <c:v>16948.137860880455</c:v>
                </c:pt>
                <c:pt idx="16">
                  <c:v>16979.190493434377</c:v>
                </c:pt>
                <c:pt idx="17">
                  <c:v>17008.70372395415</c:v>
                </c:pt>
                <c:pt idx="18">
                  <c:v>17036.681435459472</c:v>
                </c:pt>
                <c:pt idx="19">
                  <c:v>17061.562896468924</c:v>
                </c:pt>
                <c:pt idx="20">
                  <c:v>17084.976723291591</c:v>
                </c:pt>
                <c:pt idx="21">
                  <c:v>17107.055360583519</c:v>
                </c:pt>
                <c:pt idx="22">
                  <c:v>17127.857919243575</c:v>
                </c:pt>
                <c:pt idx="23">
                  <c:v>17147.413913711378</c:v>
                </c:pt>
                <c:pt idx="24">
                  <c:v>17165.669174352061</c:v>
                </c:pt>
                <c:pt idx="25">
                  <c:v>17182.706284454955</c:v>
                </c:pt>
                <c:pt idx="26">
                  <c:v>17198.540011121444</c:v>
                </c:pt>
                <c:pt idx="27">
                  <c:v>17213.177468686325</c:v>
                </c:pt>
                <c:pt idx="28">
                  <c:v>17226.622217234053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20-4877-BF2E-D093E8FA59D5}"/>
            </c:ext>
          </c:extLst>
        </c:ser>
        <c:ser>
          <c:idx val="6"/>
          <c:order val="6"/>
          <c:tx>
            <c:strRef>
              <c:f>'CEM Tool'!$A$228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'CEM Tool'!$B$222:$AD$222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Tool'!$B$228:$AD$228</c:f>
              <c:numCache>
                <c:formatCode>#,##0</c:formatCode>
                <c:ptCount val="29"/>
                <c:pt idx="0">
                  <c:v>17310.299242879464</c:v>
                </c:pt>
                <c:pt idx="1">
                  <c:v>16980.649677243411</c:v>
                </c:pt>
                <c:pt idx="2">
                  <c:v>16667.690652383</c:v>
                </c:pt>
                <c:pt idx="3">
                  <c:v>16375.812723188737</c:v>
                </c:pt>
                <c:pt idx="4">
                  <c:v>16300.751330839068</c:v>
                </c:pt>
                <c:pt idx="5">
                  <c:v>16245.019783167429</c:v>
                </c:pt>
                <c:pt idx="6">
                  <c:v>16200.949573882526</c:v>
                </c:pt>
                <c:pt idx="7">
                  <c:v>16165.653827088861</c:v>
                </c:pt>
                <c:pt idx="8">
                  <c:v>16137.693497028466</c:v>
                </c:pt>
                <c:pt idx="9">
                  <c:v>15982.685864387327</c:v>
                </c:pt>
                <c:pt idx="10">
                  <c:v>15836.549850249557</c:v>
                </c:pt>
                <c:pt idx="11">
                  <c:v>15705.13476928361</c:v>
                </c:pt>
                <c:pt idx="12">
                  <c:v>15590.719416583035</c:v>
                </c:pt>
                <c:pt idx="13">
                  <c:v>15494.437628140497</c:v>
                </c:pt>
                <c:pt idx="14">
                  <c:v>15461.259675728068</c:v>
                </c:pt>
                <c:pt idx="15">
                  <c:v>15445.803211617691</c:v>
                </c:pt>
                <c:pt idx="16">
                  <c:v>15445.691736062014</c:v>
                </c:pt>
                <c:pt idx="17">
                  <c:v>15459.941159610964</c:v>
                </c:pt>
                <c:pt idx="18">
                  <c:v>15488.056729203548</c:v>
                </c:pt>
                <c:pt idx="19">
                  <c:v>15551.214338590886</c:v>
                </c:pt>
                <c:pt idx="20">
                  <c:v>15626.964385785774</c:v>
                </c:pt>
                <c:pt idx="21">
                  <c:v>15713.480517845652</c:v>
                </c:pt>
                <c:pt idx="22">
                  <c:v>15809.942670993145</c:v>
                </c:pt>
                <c:pt idx="23">
                  <c:v>15915.93989201188</c:v>
                </c:pt>
                <c:pt idx="24">
                  <c:v>16047.615942758695</c:v>
                </c:pt>
                <c:pt idx="25">
                  <c:v>16187.111979629331</c:v>
                </c:pt>
                <c:pt idx="26">
                  <c:v>16331.775955070216</c:v>
                </c:pt>
                <c:pt idx="27">
                  <c:v>16480.343161325349</c:v>
                </c:pt>
                <c:pt idx="28">
                  <c:v>16632.181465243204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C20-4877-BF2E-D093E8FA5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2419583"/>
        <c:axId val="186169459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Tool'!$A$222</c15:sqref>
                        </c15:formulaRef>
                      </c:ext>
                    </c:extLst>
                    <c:strCache>
                      <c:ptCount val="1"/>
                      <c:pt idx="0">
                        <c:v>Total Debt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Tool'!$B$222:$AD$222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Tool'!$B$222:$AD$222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5C20-4877-BF2E-D093E8FA59D5}"/>
                  </c:ext>
                </c:extLst>
              </c15:ser>
            </c15:filteredLineSeries>
          </c:ext>
        </c:extLst>
      </c:lineChart>
      <c:catAx>
        <c:axId val="204241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694591"/>
        <c:crosses val="autoZero"/>
        <c:auto val="1"/>
        <c:lblAlgn val="ctr"/>
        <c:lblOffset val="100"/>
        <c:noMultiLvlLbl val="0"/>
      </c:catAx>
      <c:valAx>
        <c:axId val="186169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2419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Book</a:t>
            </a:r>
            <a:r>
              <a:rPr lang="en-US" b="1" baseline="0"/>
              <a:t> Capitalization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Tool'!$A$231</c:f>
              <c:strCache>
                <c:ptCount val="1"/>
                <c:pt idx="0">
                  <c:v>Below 2Â°C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'CEM Tool'!$B$230:$AD$230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Tool'!$B$231:$AD$231</c:f>
              <c:numCache>
                <c:formatCode>#,##0</c:formatCode>
                <c:ptCount val="29"/>
                <c:pt idx="0">
                  <c:v>9980.7031047037453</c:v>
                </c:pt>
                <c:pt idx="1">
                  <c:v>10052.111787323</c:v>
                </c:pt>
                <c:pt idx="2">
                  <c:v>10115.690321255341</c:v>
                </c:pt>
                <c:pt idx="3">
                  <c:v>10172.865191437562</c:v>
                </c:pt>
                <c:pt idx="4">
                  <c:v>10197.162679098466</c:v>
                </c:pt>
                <c:pt idx="5">
                  <c:v>10217.194739453073</c:v>
                </c:pt>
                <c:pt idx="6">
                  <c:v>10234.304631403826</c:v>
                </c:pt>
                <c:pt idx="7">
                  <c:v>10249.02837933208</c:v>
                </c:pt>
                <c:pt idx="8">
                  <c:v>10261.632968779897</c:v>
                </c:pt>
                <c:pt idx="9">
                  <c:v>10261.92231777473</c:v>
                </c:pt>
                <c:pt idx="10">
                  <c:v>10260.433862956452</c:v>
                </c:pt>
                <c:pt idx="11">
                  <c:v>10257.700920948599</c:v>
                </c:pt>
                <c:pt idx="12">
                  <c:v>10253.940620149711</c:v>
                </c:pt>
                <c:pt idx="13">
                  <c:v>10249.261151396748</c:v>
                </c:pt>
                <c:pt idx="14">
                  <c:v>10233.92242271533</c:v>
                </c:pt>
                <c:pt idx="15">
                  <c:v>10217.959344582545</c:v>
                </c:pt>
                <c:pt idx="16">
                  <c:v>10201.982518946465</c:v>
                </c:pt>
                <c:pt idx="17">
                  <c:v>10186.251103639443</c:v>
                </c:pt>
                <c:pt idx="18">
                  <c:v>10170.894298279816</c:v>
                </c:pt>
                <c:pt idx="19">
                  <c:v>10148.175113899928</c:v>
                </c:pt>
                <c:pt idx="20">
                  <c:v>10126.208081011295</c:v>
                </c:pt>
                <c:pt idx="21">
                  <c:v>10105.690592057159</c:v>
                </c:pt>
                <c:pt idx="22">
                  <c:v>10086.936150511474</c:v>
                </c:pt>
                <c:pt idx="23">
                  <c:v>10070.10120728107</c:v>
                </c:pt>
                <c:pt idx="24">
                  <c:v>10050.866326621919</c:v>
                </c:pt>
                <c:pt idx="25">
                  <c:v>10034.01738313585</c:v>
                </c:pt>
                <c:pt idx="26">
                  <c:v>10020.304232026074</c:v>
                </c:pt>
                <c:pt idx="27">
                  <c:v>10010.084611682016</c:v>
                </c:pt>
                <c:pt idx="28">
                  <c:v>10003.537243628554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8-4CC7-AAD8-4BF0B4E6E795}"/>
            </c:ext>
          </c:extLst>
        </c:ser>
        <c:ser>
          <c:idx val="2"/>
          <c:order val="2"/>
          <c:tx>
            <c:strRef>
              <c:f>'CEM Tool'!$A$232</c:f>
              <c:strCache>
                <c:ptCount val="1"/>
                <c:pt idx="0">
                  <c:v>Current Policies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'CEM Tool'!$B$230:$AD$230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Tool'!$B$232:$AD$232</c:f>
              <c:numCache>
                <c:formatCode>#,##0</c:formatCode>
                <c:ptCount val="29"/>
                <c:pt idx="0">
                  <c:v>9980.7031047037453</c:v>
                </c:pt>
                <c:pt idx="1">
                  <c:v>9967.8126686358264</c:v>
                </c:pt>
                <c:pt idx="2">
                  <c:v>9950.3426357251319</c:v>
                </c:pt>
                <c:pt idx="3">
                  <c:v>9931.4104446058482</c:v>
                </c:pt>
                <c:pt idx="4">
                  <c:v>9928.725646096862</c:v>
                </c:pt>
                <c:pt idx="5">
                  <c:v>9926.7458726730038</c:v>
                </c:pt>
                <c:pt idx="6">
                  <c:v>9925.200313904721</c:v>
                </c:pt>
                <c:pt idx="7">
                  <c:v>9924.0324725196151</c:v>
                </c:pt>
                <c:pt idx="8">
                  <c:v>9923.2149263572428</c:v>
                </c:pt>
                <c:pt idx="9">
                  <c:v>9923.2546847511167</c:v>
                </c:pt>
                <c:pt idx="10">
                  <c:v>9923.6166692495444</c:v>
                </c:pt>
                <c:pt idx="11">
                  <c:v>9924.2723273546635</c:v>
                </c:pt>
                <c:pt idx="12">
                  <c:v>9925.2098954655794</c:v>
                </c:pt>
                <c:pt idx="13">
                  <c:v>9926.4235172638655</c:v>
                </c:pt>
                <c:pt idx="14">
                  <c:v>9928.2169246440753</c:v>
                </c:pt>
                <c:pt idx="15">
                  <c:v>9930.2748694926959</c:v>
                </c:pt>
                <c:pt idx="16">
                  <c:v>9932.5780276038058</c:v>
                </c:pt>
                <c:pt idx="17">
                  <c:v>9935.1181905967205</c:v>
                </c:pt>
                <c:pt idx="18">
                  <c:v>9937.8912688491218</c:v>
                </c:pt>
                <c:pt idx="19">
                  <c:v>9941.1132902024674</c:v>
                </c:pt>
                <c:pt idx="20">
                  <c:v>9944.556317494722</c:v>
                </c:pt>
                <c:pt idx="21">
                  <c:v>9948.2011939141612</c:v>
                </c:pt>
                <c:pt idx="22">
                  <c:v>9952.0393371053233</c:v>
                </c:pt>
                <c:pt idx="23">
                  <c:v>9956.0664655929268</c:v>
                </c:pt>
                <c:pt idx="24">
                  <c:v>9960.2940459073016</c:v>
                </c:pt>
                <c:pt idx="25">
                  <c:v>9964.7058069208961</c:v>
                </c:pt>
                <c:pt idx="26">
                  <c:v>9969.2991981726082</c:v>
                </c:pt>
                <c:pt idx="27">
                  <c:v>9974.0730029444185</c:v>
                </c:pt>
                <c:pt idx="28">
                  <c:v>9979.0266133483019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B8-4CC7-AAD8-4BF0B4E6E795}"/>
            </c:ext>
          </c:extLst>
        </c:ser>
        <c:ser>
          <c:idx val="3"/>
          <c:order val="3"/>
          <c:tx>
            <c:strRef>
              <c:f>'CEM Tool'!$A$233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'CEM Tool'!$B$230:$AD$230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Tool'!$B$233:$AD$233</c:f>
              <c:numCache>
                <c:formatCode>#,##0</c:formatCode>
                <c:ptCount val="29"/>
                <c:pt idx="0">
                  <c:v>9980.7031047037453</c:v>
                </c:pt>
                <c:pt idx="1">
                  <c:v>9967.8126686358264</c:v>
                </c:pt>
                <c:pt idx="2">
                  <c:v>9950.3426357251319</c:v>
                </c:pt>
                <c:pt idx="3">
                  <c:v>9931.4104446058482</c:v>
                </c:pt>
                <c:pt idx="4">
                  <c:v>9928.725646096862</c:v>
                </c:pt>
                <c:pt idx="5">
                  <c:v>9926.7458726730038</c:v>
                </c:pt>
                <c:pt idx="6">
                  <c:v>9925.200313904721</c:v>
                </c:pt>
                <c:pt idx="7">
                  <c:v>9924.0324725196151</c:v>
                </c:pt>
                <c:pt idx="8">
                  <c:v>9923.2149263572428</c:v>
                </c:pt>
                <c:pt idx="9">
                  <c:v>10261.66964894342</c:v>
                </c:pt>
                <c:pt idx="10">
                  <c:v>10597.547096628467</c:v>
                </c:pt>
                <c:pt idx="11">
                  <c:v>10913.327510788486</c:v>
                </c:pt>
                <c:pt idx="12">
                  <c:v>11201.792196138405</c:v>
                </c:pt>
                <c:pt idx="13">
                  <c:v>11459.342747299934</c:v>
                </c:pt>
                <c:pt idx="14">
                  <c:v>11556.804526584956</c:v>
                </c:pt>
                <c:pt idx="15">
                  <c:v>11624.431297675941</c:v>
                </c:pt>
                <c:pt idx="16">
                  <c:v>11669.07226225229</c:v>
                </c:pt>
                <c:pt idx="17">
                  <c:v>11693.555387277076</c:v>
                </c:pt>
                <c:pt idx="18">
                  <c:v>11699.297104623747</c:v>
                </c:pt>
                <c:pt idx="19">
                  <c:v>11672.671972054448</c:v>
                </c:pt>
                <c:pt idx="20">
                  <c:v>11628.972946097943</c:v>
                </c:pt>
                <c:pt idx="21">
                  <c:v>11569.562639559696</c:v>
                </c:pt>
                <c:pt idx="22">
                  <c:v>11495.060829296164</c:v>
                </c:pt>
                <c:pt idx="23">
                  <c:v>11405.778057964117</c:v>
                </c:pt>
                <c:pt idx="24">
                  <c:v>11293.929717124787</c:v>
                </c:pt>
                <c:pt idx="25">
                  <c:v>11168.23560522457</c:v>
                </c:pt>
                <c:pt idx="26">
                  <c:v>11029.981434061889</c:v>
                </c:pt>
                <c:pt idx="27">
                  <c:v>10879.777695571251</c:v>
                </c:pt>
                <c:pt idx="28">
                  <c:v>10717.926285776142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B8-4CC7-AAD8-4BF0B4E6E795}"/>
            </c:ext>
          </c:extLst>
        </c:ser>
        <c:ser>
          <c:idx val="4"/>
          <c:order val="4"/>
          <c:tx>
            <c:strRef>
              <c:f>'CEM Tool'!$A$234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'CEM Tool'!$B$230:$AD$230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Tool'!$B$234:$AD$234</c:f>
              <c:numCache>
                <c:formatCode>#,##0</c:formatCode>
                <c:ptCount val="29"/>
                <c:pt idx="0">
                  <c:v>9980.7031047037453</c:v>
                </c:pt>
                <c:pt idx="1">
                  <c:v>10719.524743298663</c:v>
                </c:pt>
                <c:pt idx="2">
                  <c:v>11426.437684134633</c:v>
                </c:pt>
                <c:pt idx="3">
                  <c:v>12087.704857869154</c:v>
                </c:pt>
                <c:pt idx="4">
                  <c:v>12257.272303656691</c:v>
                </c:pt>
                <c:pt idx="5">
                  <c:v>12383.98082376508</c:v>
                </c:pt>
                <c:pt idx="6">
                  <c:v>12484.690124288005</c:v>
                </c:pt>
                <c:pt idx="7">
                  <c:v>12565.687406150564</c:v>
                </c:pt>
                <c:pt idx="8">
                  <c:v>12630.115408849302</c:v>
                </c:pt>
                <c:pt idx="9">
                  <c:v>12594.620024656164</c:v>
                </c:pt>
                <c:pt idx="10">
                  <c:v>12547.201423458109</c:v>
                </c:pt>
                <c:pt idx="11">
                  <c:v>12491.709177098452</c:v>
                </c:pt>
                <c:pt idx="12">
                  <c:v>12429.65857137479</c:v>
                </c:pt>
                <c:pt idx="13">
                  <c:v>12361.808992473274</c:v>
                </c:pt>
                <c:pt idx="14">
                  <c:v>12216.358854441414</c:v>
                </c:pt>
                <c:pt idx="15">
                  <c:v>12068.152511497865</c:v>
                </c:pt>
                <c:pt idx="16">
                  <c:v>11921.116848491127</c:v>
                </c:pt>
                <c:pt idx="17">
                  <c:v>11776.8712898351</c:v>
                </c:pt>
                <c:pt idx="18">
                  <c:v>11636.225343395006</c:v>
                </c:pt>
                <c:pt idx="19">
                  <c:v>11465.750157264336</c:v>
                </c:pt>
                <c:pt idx="20">
                  <c:v>11300.942139267589</c:v>
                </c:pt>
                <c:pt idx="21">
                  <c:v>11144.669287996023</c:v>
                </c:pt>
                <c:pt idx="22">
                  <c:v>10998.213853498097</c:v>
                </c:pt>
                <c:pt idx="23">
                  <c:v>10862.217051749732</c:v>
                </c:pt>
                <c:pt idx="24">
                  <c:v>10703.415042081859</c:v>
                </c:pt>
                <c:pt idx="25">
                  <c:v>10558.407267141894</c:v>
                </c:pt>
                <c:pt idx="26">
                  <c:v>10432.678980111592</c:v>
                </c:pt>
                <c:pt idx="27">
                  <c:v>10328.843941831066</c:v>
                </c:pt>
                <c:pt idx="28">
                  <c:v>10248.210562897664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B8-4CC7-AAD8-4BF0B4E6E795}"/>
            </c:ext>
          </c:extLst>
        </c:ser>
        <c:ser>
          <c:idx val="5"/>
          <c:order val="5"/>
          <c:tx>
            <c:strRef>
              <c:f>'CEM Tool'!$A$235</c:f>
              <c:strCache>
                <c:ptCount val="1"/>
                <c:pt idx="0">
                  <c:v>Nationally Determined Contributions (NDCs)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'CEM Tool'!$B$230:$AD$230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Tool'!$B$235:$AD$235</c:f>
              <c:numCache>
                <c:formatCode>#,##0</c:formatCode>
                <c:ptCount val="29"/>
                <c:pt idx="0">
                  <c:v>9980.7031047037453</c:v>
                </c:pt>
                <c:pt idx="1">
                  <c:v>10095.614126531664</c:v>
                </c:pt>
                <c:pt idx="2">
                  <c:v>10201.157534584358</c:v>
                </c:pt>
                <c:pt idx="3">
                  <c:v>10297.833617449422</c:v>
                </c:pt>
                <c:pt idx="4">
                  <c:v>10360.348873237928</c:v>
                </c:pt>
                <c:pt idx="5">
                  <c:v>10415.615650575883</c:v>
                </c:pt>
                <c:pt idx="6">
                  <c:v>10464.937662091768</c:v>
                </c:pt>
                <c:pt idx="7">
                  <c:v>10508.840865797434</c:v>
                </c:pt>
                <c:pt idx="8">
                  <c:v>10547.587980590484</c:v>
                </c:pt>
                <c:pt idx="9">
                  <c:v>10516.062401328341</c:v>
                </c:pt>
                <c:pt idx="10">
                  <c:v>10480.74553486207</c:v>
                </c:pt>
                <c:pt idx="11">
                  <c:v>10444.677743267057</c:v>
                </c:pt>
                <c:pt idx="12">
                  <c:v>10409.06246366352</c:v>
                </c:pt>
                <c:pt idx="13">
                  <c:v>10374.498585240677</c:v>
                </c:pt>
                <c:pt idx="14">
                  <c:v>10343.11722940859</c:v>
                </c:pt>
                <c:pt idx="15">
                  <c:v>10313.188529926612</c:v>
                </c:pt>
                <c:pt idx="16">
                  <c:v>10284.680388937113</c:v>
                </c:pt>
                <c:pt idx="17">
                  <c:v>10257.585509452989</c:v>
                </c:pt>
                <c:pt idx="18">
                  <c:v>10231.900326634035</c:v>
                </c:pt>
                <c:pt idx="19">
                  <c:v>10209.057683671299</c:v>
                </c:pt>
                <c:pt idx="20">
                  <c:v>10187.562415113785</c:v>
                </c:pt>
                <c:pt idx="21">
                  <c:v>10167.292928986275</c:v>
                </c:pt>
                <c:pt idx="22">
                  <c:v>10148.194958010919</c:v>
                </c:pt>
                <c:pt idx="23">
                  <c:v>10130.241406198204</c:v>
                </c:pt>
                <c:pt idx="24">
                  <c:v>10113.482004455342</c:v>
                </c:pt>
                <c:pt idx="25">
                  <c:v>10097.840936471055</c:v>
                </c:pt>
                <c:pt idx="26">
                  <c:v>10083.304645178725</c:v>
                </c:pt>
                <c:pt idx="27">
                  <c:v>10069.86659920105</c:v>
                </c:pt>
                <c:pt idx="28">
                  <c:v>10057.523530171349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B8-4CC7-AAD8-4BF0B4E6E795}"/>
            </c:ext>
          </c:extLst>
        </c:ser>
        <c:ser>
          <c:idx val="6"/>
          <c:order val="6"/>
          <c:tx>
            <c:strRef>
              <c:f>'CEM Tool'!$A$236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'CEM Tool'!$B$230:$AD$230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Tool'!$B$236:$AD$236</c:f>
              <c:numCache>
                <c:formatCode>#,##0</c:formatCode>
                <c:ptCount val="29"/>
                <c:pt idx="0">
                  <c:v>9980.7031047037453</c:v>
                </c:pt>
                <c:pt idx="1">
                  <c:v>10283.340772475118</c:v>
                </c:pt>
                <c:pt idx="2">
                  <c:v>10570.655543265151</c:v>
                </c:pt>
                <c:pt idx="3">
                  <c:v>10838.616629744522</c:v>
                </c:pt>
                <c:pt idx="4">
                  <c:v>10907.527397688487</c:v>
                </c:pt>
                <c:pt idx="5">
                  <c:v>10958.692232612781</c:v>
                </c:pt>
                <c:pt idx="6">
                  <c:v>10999.151273808377</c:v>
                </c:pt>
                <c:pt idx="7">
                  <c:v>11031.554842947844</c:v>
                </c:pt>
                <c:pt idx="8">
                  <c:v>11057.224068579219</c:v>
                </c:pt>
                <c:pt idx="9">
                  <c:v>11199.530181856697</c:v>
                </c:pt>
                <c:pt idx="10">
                  <c:v>11333.691628151109</c:v>
                </c:pt>
                <c:pt idx="11">
                  <c:v>11454.338392956588</c:v>
                </c:pt>
                <c:pt idx="12">
                  <c:v>11559.378408500759</c:v>
                </c:pt>
                <c:pt idx="13">
                  <c:v>11647.770746730856</c:v>
                </c:pt>
                <c:pt idx="14">
                  <c:v>11678.230056210465</c:v>
                </c:pt>
                <c:pt idx="15">
                  <c:v>11692.419998312558</c:v>
                </c:pt>
                <c:pt idx="16">
                  <c:v>11692.522339421726</c:v>
                </c:pt>
                <c:pt idx="17">
                  <c:v>11679.440531467208</c:v>
                </c:pt>
                <c:pt idx="18">
                  <c:v>11653.628786825151</c:v>
                </c:pt>
                <c:pt idx="19">
                  <c:v>11595.646390973605</c:v>
                </c:pt>
                <c:pt idx="20">
                  <c:v>11526.10339742408</c:v>
                </c:pt>
                <c:pt idx="21">
                  <c:v>11446.676505473892</c:v>
                </c:pt>
                <c:pt idx="22">
                  <c:v>11358.118581848435</c:v>
                </c:pt>
                <c:pt idx="23">
                  <c:v>11260.806905743355</c:v>
                </c:pt>
                <c:pt idx="24">
                  <c:v>11139.92055534738</c:v>
                </c:pt>
                <c:pt idx="25">
                  <c:v>11011.854998274912</c:v>
                </c:pt>
                <c:pt idx="26">
                  <c:v>10879.04496998475</c:v>
                </c:pt>
                <c:pt idx="27">
                  <c:v>10742.651546496967</c:v>
                </c:pt>
                <c:pt idx="28">
                  <c:v>10603.255063181732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B8-4CC7-AAD8-4BF0B4E6E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7135599"/>
        <c:axId val="203179395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Tool'!$A$230</c15:sqref>
                        </c15:formulaRef>
                      </c:ext>
                    </c:extLst>
                    <c:strCache>
                      <c:ptCount val="1"/>
                      <c:pt idx="0">
                        <c:v>Book Capitalization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Tool'!$B$230:$AD$230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Tool'!$B$230:$AD$230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9B8-4CC7-AAD8-4BF0B4E6E795}"/>
                  </c:ext>
                </c:extLst>
              </c15:ser>
            </c15:filteredLineSeries>
          </c:ext>
        </c:extLst>
      </c:lineChart>
      <c:catAx>
        <c:axId val="1987135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793951"/>
        <c:crosses val="autoZero"/>
        <c:auto val="1"/>
        <c:lblAlgn val="ctr"/>
        <c:lblOffset val="100"/>
        <c:noMultiLvlLbl val="0"/>
      </c:catAx>
      <c:valAx>
        <c:axId val="203179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135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Tangible</a:t>
            </a:r>
            <a:r>
              <a:rPr lang="en-US" b="1" baseline="0"/>
              <a:t> Assets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Tool'!$A$239</c:f>
              <c:strCache>
                <c:ptCount val="1"/>
                <c:pt idx="0">
                  <c:v>Below 2Â°C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'CEM Tool'!$B$238:$AD$238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Tool'!$B$239:$AD$239</c:f>
              <c:numCache>
                <c:formatCode>#,##0</c:formatCode>
                <c:ptCount val="29"/>
                <c:pt idx="0">
                  <c:v>20293.522413171497</c:v>
                </c:pt>
                <c:pt idx="1">
                  <c:v>20438.715961764876</c:v>
                </c:pt>
                <c:pt idx="2">
                  <c:v>20567.988658269038</c:v>
                </c:pt>
                <c:pt idx="3">
                  <c:v>20684.240940031261</c:v>
                </c:pt>
                <c:pt idx="4">
                  <c:v>20733.644434480255</c:v>
                </c:pt>
                <c:pt idx="5">
                  <c:v>20774.375138672491</c:v>
                </c:pt>
                <c:pt idx="6">
                  <c:v>20809.164268470962</c:v>
                </c:pt>
                <c:pt idx="7">
                  <c:v>20839.101709295861</c:v>
                </c:pt>
                <c:pt idx="8">
                  <c:v>20864.730316397454</c:v>
                </c:pt>
                <c:pt idx="9">
                  <c:v>20865.318642715778</c:v>
                </c:pt>
                <c:pt idx="10">
                  <c:v>20862.292203506146</c:v>
                </c:pt>
                <c:pt idx="11">
                  <c:v>20856.735378570222</c:v>
                </c:pt>
                <c:pt idx="12">
                  <c:v>20849.089649833288</c:v>
                </c:pt>
                <c:pt idx="13">
                  <c:v>20839.574999109405</c:v>
                </c:pt>
                <c:pt idx="14">
                  <c:v>20808.387132781711</c:v>
                </c:pt>
                <c:pt idx="15">
                  <c:v>20775.929791803577</c:v>
                </c:pt>
                <c:pt idx="16">
                  <c:v>20743.44449835924</c:v>
                </c:pt>
                <c:pt idx="17">
                  <c:v>20711.458191805999</c:v>
                </c:pt>
                <c:pt idx="18">
                  <c:v>20680.233570605367</c:v>
                </c:pt>
                <c:pt idx="19">
                  <c:v>20634.039202073862</c:v>
                </c:pt>
                <c:pt idx="20">
                  <c:v>20589.37416499183</c:v>
                </c:pt>
                <c:pt idx="21">
                  <c:v>20547.656450559814</c:v>
                </c:pt>
                <c:pt idx="22">
                  <c:v>20509.523497814782</c:v>
                </c:pt>
                <c:pt idx="23">
                  <c:v>20475.293414604545</c:v>
                </c:pt>
                <c:pt idx="24">
                  <c:v>20436.183596621166</c:v>
                </c:pt>
                <c:pt idx="25">
                  <c:v>20401.925047029432</c:v>
                </c:pt>
                <c:pt idx="26">
                  <c:v>20374.042428291854</c:v>
                </c:pt>
                <c:pt idx="27">
                  <c:v>20353.26312122996</c:v>
                </c:pt>
                <c:pt idx="28">
                  <c:v>20339.950516001012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1C-48DF-9EC5-24E822A92672}"/>
            </c:ext>
          </c:extLst>
        </c:ser>
        <c:ser>
          <c:idx val="2"/>
          <c:order val="2"/>
          <c:tx>
            <c:strRef>
              <c:f>'CEM Tool'!$A$240</c:f>
              <c:strCache>
                <c:ptCount val="1"/>
                <c:pt idx="0">
                  <c:v>Current Policies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'CEM Tool'!$B$238:$AD$238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Tool'!$B$240:$AD$240</c:f>
              <c:numCache>
                <c:formatCode>#,##0</c:formatCode>
                <c:ptCount val="29"/>
                <c:pt idx="0">
                  <c:v>20293.522413171497</c:v>
                </c:pt>
                <c:pt idx="1">
                  <c:v>20267.312601045476</c:v>
                </c:pt>
                <c:pt idx="2">
                  <c:v>20231.7912053369</c:v>
                </c:pt>
                <c:pt idx="3">
                  <c:v>20193.296838679649</c:v>
                </c:pt>
                <c:pt idx="4">
                  <c:v>20187.837902756455</c:v>
                </c:pt>
                <c:pt idx="5">
                  <c:v>20183.812477300096</c:v>
                </c:pt>
                <c:pt idx="6">
                  <c:v>20180.669930008989</c:v>
                </c:pt>
                <c:pt idx="7">
                  <c:v>20178.295386344573</c:v>
                </c:pt>
                <c:pt idx="8">
                  <c:v>20176.633089490751</c:v>
                </c:pt>
                <c:pt idx="9">
                  <c:v>20176.713929272148</c:v>
                </c:pt>
                <c:pt idx="10">
                  <c:v>20177.449943604508</c:v>
                </c:pt>
                <c:pt idx="11">
                  <c:v>20178.78307738396</c:v>
                </c:pt>
                <c:pt idx="12">
                  <c:v>20180.689411965119</c:v>
                </c:pt>
                <c:pt idx="13">
                  <c:v>20183.15703983725</c:v>
                </c:pt>
                <c:pt idx="14">
                  <c:v>20186.803531721085</c:v>
                </c:pt>
                <c:pt idx="15">
                  <c:v>20190.987901246197</c:v>
                </c:pt>
                <c:pt idx="16">
                  <c:v>20195.670856971719</c:v>
                </c:pt>
                <c:pt idx="17">
                  <c:v>20200.835708995575</c:v>
                </c:pt>
                <c:pt idx="18">
                  <c:v>20206.474141987539</c:v>
                </c:pt>
                <c:pt idx="19">
                  <c:v>20213.025400136779</c:v>
                </c:pt>
                <c:pt idx="20">
                  <c:v>20220.026024320421</c:v>
                </c:pt>
                <c:pt idx="21">
                  <c:v>20227.43706345616</c:v>
                </c:pt>
                <c:pt idx="22">
                  <c:v>20235.241067248047</c:v>
                </c:pt>
                <c:pt idx="23">
                  <c:v>20243.429330275867</c:v>
                </c:pt>
                <c:pt idx="24">
                  <c:v>20252.025167158619</c:v>
                </c:pt>
                <c:pt idx="25">
                  <c:v>20260.995494205894</c:v>
                </c:pt>
                <c:pt idx="26">
                  <c:v>20270.335125626767</c:v>
                </c:pt>
                <c:pt idx="27">
                  <c:v>20280.041587497893</c:v>
                </c:pt>
                <c:pt idx="28">
                  <c:v>20290.113643815243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1C-48DF-9EC5-24E822A92672}"/>
            </c:ext>
          </c:extLst>
        </c:ser>
        <c:ser>
          <c:idx val="3"/>
          <c:order val="3"/>
          <c:tx>
            <c:strRef>
              <c:f>'CEM Tool'!$A$241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'CEM Tool'!$B$238:$AD$238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Tool'!$B$241:$AD$241</c:f>
              <c:numCache>
                <c:formatCode>#,##0</c:formatCode>
                <c:ptCount val="29"/>
                <c:pt idx="0">
                  <c:v>20293.522413171497</c:v>
                </c:pt>
                <c:pt idx="1">
                  <c:v>20267.312601045476</c:v>
                </c:pt>
                <c:pt idx="2">
                  <c:v>20231.7912053369</c:v>
                </c:pt>
                <c:pt idx="3">
                  <c:v>20193.296838679649</c:v>
                </c:pt>
                <c:pt idx="4">
                  <c:v>20187.837902756455</c:v>
                </c:pt>
                <c:pt idx="5">
                  <c:v>20183.812477300096</c:v>
                </c:pt>
                <c:pt idx="6">
                  <c:v>20180.669930008989</c:v>
                </c:pt>
                <c:pt idx="7">
                  <c:v>20178.295386344573</c:v>
                </c:pt>
                <c:pt idx="8">
                  <c:v>20176.633089490751</c:v>
                </c:pt>
                <c:pt idx="9">
                  <c:v>20864.804897287471</c:v>
                </c:pt>
                <c:pt idx="10">
                  <c:v>21547.73639431427</c:v>
                </c:pt>
                <c:pt idx="11">
                  <c:v>22189.805078771657</c:v>
                </c:pt>
                <c:pt idx="12">
                  <c:v>22776.333351995032</c:v>
                </c:pt>
                <c:pt idx="13">
                  <c:v>23300.004663293523</c:v>
                </c:pt>
                <c:pt idx="14">
                  <c:v>23498.171343696642</c:v>
                </c:pt>
                <c:pt idx="15">
                  <c:v>23635.675222979306</c:v>
                </c:pt>
                <c:pt idx="16">
                  <c:v>23726.4426173875</c:v>
                </c:pt>
                <c:pt idx="17">
                  <c:v>23776.223563802068</c:v>
                </c:pt>
                <c:pt idx="18">
                  <c:v>23787.898058919538</c:v>
                </c:pt>
                <c:pt idx="19">
                  <c:v>23733.761820331885</c:v>
                </c:pt>
                <c:pt idx="20">
                  <c:v>23644.909646955024</c:v>
                </c:pt>
                <c:pt idx="21">
                  <c:v>23524.112106475222</c:v>
                </c:pt>
                <c:pt idx="22">
                  <c:v>23372.629376196204</c:v>
                </c:pt>
                <c:pt idx="23">
                  <c:v>23191.092874996899</c:v>
                </c:pt>
                <c:pt idx="24">
                  <c:v>22963.674346674055</c:v>
                </c:pt>
                <c:pt idx="25">
                  <c:v>22708.103546672141</c:v>
                </c:pt>
                <c:pt idx="26">
                  <c:v>22426.994681718319</c:v>
                </c:pt>
                <c:pt idx="27">
                  <c:v>22121.58905030891</c:v>
                </c:pt>
                <c:pt idx="28">
                  <c:v>21792.500490332361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1C-48DF-9EC5-24E822A92672}"/>
            </c:ext>
          </c:extLst>
        </c:ser>
        <c:ser>
          <c:idx val="4"/>
          <c:order val="4"/>
          <c:tx>
            <c:strRef>
              <c:f>'CEM Tool'!$A$242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'CEM Tool'!$B$238:$AD$238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Tool'!$B$242:$AD$242</c:f>
              <c:numCache>
                <c:formatCode>#,##0</c:formatCode>
                <c:ptCount val="29"/>
                <c:pt idx="0">
                  <c:v>20293.522413171497</c:v>
                </c:pt>
                <c:pt idx="1">
                  <c:v>21795.750595382022</c:v>
                </c:pt>
                <c:pt idx="2">
                  <c:v>23233.099593595867</c:v>
                </c:pt>
                <c:pt idx="3">
                  <c:v>24577.638156710891</c:v>
                </c:pt>
                <c:pt idx="4">
                  <c:v>24922.415546192791</c:v>
                </c:pt>
                <c:pt idx="5">
                  <c:v>25180.048917888576</c:v>
                </c:pt>
                <c:pt idx="6">
                  <c:v>25384.818704739926</c:v>
                </c:pt>
                <c:pt idx="7">
                  <c:v>25549.508520441297</c:v>
                </c:pt>
                <c:pt idx="8">
                  <c:v>25680.508421258561</c:v>
                </c:pt>
                <c:pt idx="9">
                  <c:v>25608.336514416838</c:v>
                </c:pt>
                <c:pt idx="10">
                  <c:v>25511.921418594535</c:v>
                </c:pt>
                <c:pt idx="11">
                  <c:v>25399.090375185759</c:v>
                </c:pt>
                <c:pt idx="12">
                  <c:v>25272.924378181942</c:v>
                </c:pt>
                <c:pt idx="13">
                  <c:v>25134.967469162853</c:v>
                </c:pt>
                <c:pt idx="14">
                  <c:v>24839.227218683176</c:v>
                </c:pt>
                <c:pt idx="15">
                  <c:v>24537.882843367403</c:v>
                </c:pt>
                <c:pt idx="16">
                  <c:v>24238.918783274628</c:v>
                </c:pt>
                <c:pt idx="17">
                  <c:v>23945.627774928034</c:v>
                </c:pt>
                <c:pt idx="18">
                  <c:v>23659.655771106121</c:v>
                </c:pt>
                <c:pt idx="19">
                  <c:v>23313.032695122434</c:v>
                </c:pt>
                <c:pt idx="20">
                  <c:v>22977.932535143609</c:v>
                </c:pt>
                <c:pt idx="21">
                  <c:v>22660.18672339262</c:v>
                </c:pt>
                <c:pt idx="22">
                  <c:v>22362.402427904086</c:v>
                </c:pt>
                <c:pt idx="23">
                  <c:v>22085.883417625202</c:v>
                </c:pt>
                <c:pt idx="24">
                  <c:v>21762.995129230683</c:v>
                </c:pt>
                <c:pt idx="25">
                  <c:v>21468.154324934898</c:v>
                </c:pt>
                <c:pt idx="26">
                  <c:v>21212.514037466903</c:v>
                </c:pt>
                <c:pt idx="27">
                  <c:v>21001.388763574603</c:v>
                </c:pt>
                <c:pt idx="28">
                  <c:v>20837.438862904419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1C-48DF-9EC5-24E822A92672}"/>
            </c:ext>
          </c:extLst>
        </c:ser>
        <c:ser>
          <c:idx val="5"/>
          <c:order val="5"/>
          <c:tx>
            <c:strRef>
              <c:f>'CEM Tool'!$A$243</c:f>
              <c:strCache>
                <c:ptCount val="1"/>
                <c:pt idx="0">
                  <c:v>Nationally Determined Contributions (NDCs)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'CEM Tool'!$B$238:$AD$238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Tool'!$B$243:$AD$243</c:f>
              <c:numCache>
                <c:formatCode>#,##0</c:formatCode>
                <c:ptCount val="29"/>
                <c:pt idx="0">
                  <c:v>20293.522413171497</c:v>
                </c:pt>
                <c:pt idx="1">
                  <c:v>20527.168216730795</c:v>
                </c:pt>
                <c:pt idx="2">
                  <c:v>20741.767077593657</c:v>
                </c:pt>
                <c:pt idx="3">
                  <c:v>20938.336220454465</c:v>
                </c:pt>
                <c:pt idx="4">
                  <c:v>21065.446979205648</c:v>
                </c:pt>
                <c:pt idx="5">
                  <c:v>21177.819581901644</c:v>
                </c:pt>
                <c:pt idx="6">
                  <c:v>21278.104835922331</c:v>
                </c:pt>
                <c:pt idx="7">
                  <c:v>21367.372158982078</c:v>
                </c:pt>
                <c:pt idx="8">
                  <c:v>21446.155731066083</c:v>
                </c:pt>
                <c:pt idx="9">
                  <c:v>21382.055532649902</c:v>
                </c:pt>
                <c:pt idx="10">
                  <c:v>21310.246601587871</c:v>
                </c:pt>
                <c:pt idx="11">
                  <c:v>21236.910832609625</c:v>
                </c:pt>
                <c:pt idx="12">
                  <c:v>21164.495145327524</c:v>
                </c:pt>
                <c:pt idx="13">
                  <c:v>21094.217246656284</c:v>
                </c:pt>
                <c:pt idx="14">
                  <c:v>21030.4102942549</c:v>
                </c:pt>
                <c:pt idx="15">
                  <c:v>20969.556992902981</c:v>
                </c:pt>
                <c:pt idx="16">
                  <c:v>20911.592078802329</c:v>
                </c:pt>
                <c:pt idx="17">
                  <c:v>20856.500715165421</c:v>
                </c:pt>
                <c:pt idx="18">
                  <c:v>20804.275653688819</c:v>
                </c:pt>
                <c:pt idx="19">
                  <c:v>20757.830259804508</c:v>
                </c:pt>
                <c:pt idx="20">
                  <c:v>20714.124449735529</c:v>
                </c:pt>
                <c:pt idx="21">
                  <c:v>20672.910993457259</c:v>
                </c:pt>
                <c:pt idx="22">
                  <c:v>20634.07955062516</c:v>
                </c:pt>
                <c:pt idx="23">
                  <c:v>20597.57502761859</c:v>
                </c:pt>
                <c:pt idx="24">
                  <c:v>20563.498541089317</c:v>
                </c:pt>
                <c:pt idx="25">
                  <c:v>20531.695935563912</c:v>
                </c:pt>
                <c:pt idx="26">
                  <c:v>20502.139645786465</c:v>
                </c:pt>
                <c:pt idx="27">
                  <c:v>20474.816391665354</c:v>
                </c:pt>
                <c:pt idx="28">
                  <c:v>20449.7195277096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1C-48DF-9EC5-24E822A92672}"/>
            </c:ext>
          </c:extLst>
        </c:ser>
        <c:ser>
          <c:idx val="6"/>
          <c:order val="6"/>
          <c:tx>
            <c:strRef>
              <c:f>'CEM Tool'!$A$244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'CEM Tool'!$B$238:$AD$238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Tool'!$B$244:$AD$244</c:f>
              <c:numCache>
                <c:formatCode>#,##0</c:formatCode>
                <c:ptCount val="29"/>
                <c:pt idx="0">
                  <c:v>20293.522413171497</c:v>
                </c:pt>
                <c:pt idx="1">
                  <c:v>20908.868269025465</c:v>
                </c:pt>
                <c:pt idx="2">
                  <c:v>21493.058448764896</c:v>
                </c:pt>
                <c:pt idx="3">
                  <c:v>22037.897249927519</c:v>
                </c:pt>
                <c:pt idx="4">
                  <c:v>22178.011848980237</c:v>
                </c:pt>
                <c:pt idx="5">
                  <c:v>22282.044071300628</c:v>
                </c:pt>
                <c:pt idx="6">
                  <c:v>22364.308461965782</c:v>
                </c:pt>
                <c:pt idx="7">
                  <c:v>22430.193855980622</c:v>
                </c:pt>
                <c:pt idx="8">
                  <c:v>22482.38647209336</c:v>
                </c:pt>
                <c:pt idx="9">
                  <c:v>22771.734053023487</c:v>
                </c:pt>
                <c:pt idx="10">
                  <c:v>23044.521279413984</c:v>
                </c:pt>
                <c:pt idx="11">
                  <c:v>23289.829430550424</c:v>
                </c:pt>
                <c:pt idx="12">
                  <c:v>23503.404755591499</c:v>
                </c:pt>
                <c:pt idx="13">
                  <c:v>23683.130760684235</c:v>
                </c:pt>
                <c:pt idx="14">
                  <c:v>23745.062938520772</c:v>
                </c:pt>
                <c:pt idx="15">
                  <c:v>23773.91500486014</c:v>
                </c:pt>
                <c:pt idx="16">
                  <c:v>23774.123092564074</c:v>
                </c:pt>
                <c:pt idx="17">
                  <c:v>23747.524168606029</c:v>
                </c:pt>
                <c:pt idx="18">
                  <c:v>23695.041772033208</c:v>
                </c:pt>
                <c:pt idx="19">
                  <c:v>23577.147567843505</c:v>
                </c:pt>
                <c:pt idx="20">
                  <c:v>23435.747479746387</c:v>
                </c:pt>
                <c:pt idx="21">
                  <c:v>23274.250699901277</c:v>
                </c:pt>
                <c:pt idx="22">
                  <c:v>23094.18801402596</c:v>
                </c:pt>
                <c:pt idx="23">
                  <c:v>22896.326534790991</c:v>
                </c:pt>
                <c:pt idx="24">
                  <c:v>22650.531240063596</c:v>
                </c:pt>
                <c:pt idx="25">
                  <c:v>22390.138637905075</c:v>
                </c:pt>
                <c:pt idx="26">
                  <c:v>22120.099217082094</c:v>
                </c:pt>
                <c:pt idx="27">
                  <c:v>21842.773765405847</c:v>
                </c:pt>
                <c:pt idx="28">
                  <c:v>21559.342264759183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1C-48DF-9EC5-24E822A92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3522255"/>
        <c:axId val="203180307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Tool'!$A$238</c15:sqref>
                        </c15:formulaRef>
                      </c:ext>
                    </c:extLst>
                    <c:strCache>
                      <c:ptCount val="1"/>
                      <c:pt idx="0">
                        <c:v>Tangible Assets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Tool'!$B$238:$AD$238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Tool'!$B$238:$AD$238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A1C-48DF-9EC5-24E822A92672}"/>
                  </c:ext>
                </c:extLst>
              </c15:ser>
            </c15:filteredLineSeries>
          </c:ext>
        </c:extLst>
      </c:lineChart>
      <c:catAx>
        <c:axId val="1593522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803071"/>
        <c:crosses val="autoZero"/>
        <c:auto val="1"/>
        <c:lblAlgn val="ctr"/>
        <c:lblOffset val="100"/>
        <c:noMultiLvlLbl val="0"/>
      </c:catAx>
      <c:valAx>
        <c:axId val="2031803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52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CF-Dividend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'CEM Tool'!$A$263</c:f>
              <c:strCache>
                <c:ptCount val="1"/>
                <c:pt idx="0">
                  <c:v>Below 2Â°C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'CEM Tool'!$B$262:$AD$262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Tool'!$B$263:$AD$263</c:f>
              <c:numCache>
                <c:formatCode>#,##0</c:formatCode>
                <c:ptCount val="29"/>
                <c:pt idx="0">
                  <c:v>504.02595841845937</c:v>
                </c:pt>
                <c:pt idx="1">
                  <c:v>619.94196994006404</c:v>
                </c:pt>
                <c:pt idx="2">
                  <c:v>721.92787395289781</c:v>
                </c:pt>
                <c:pt idx="3">
                  <c:v>813.65259716622108</c:v>
                </c:pt>
                <c:pt idx="4">
                  <c:v>852.11761981593531</c:v>
                </c:pt>
                <c:pt idx="5">
                  <c:v>884.22020036440142</c:v>
                </c:pt>
                <c:pt idx="6">
                  <c:v>911.65214535728819</c:v>
                </c:pt>
                <c:pt idx="7">
                  <c:v>935.26062840070335</c:v>
                </c:pt>
                <c:pt idx="8">
                  <c:v>955.46988580993263</c:v>
                </c:pt>
                <c:pt idx="9">
                  <c:v>955.72430093844446</c:v>
                </c:pt>
                <c:pt idx="10">
                  <c:v>953.30318583627616</c:v>
                </c:pt>
                <c:pt idx="11">
                  <c:v>948.89228809163819</c:v>
                </c:pt>
                <c:pt idx="12">
                  <c:v>942.83495835449241</c:v>
                </c:pt>
                <c:pt idx="13">
                  <c:v>935.30311181839738</c:v>
                </c:pt>
                <c:pt idx="14">
                  <c:v>910.48404163661939</c:v>
                </c:pt>
                <c:pt idx="15">
                  <c:v>884.83353311076223</c:v>
                </c:pt>
                <c:pt idx="16">
                  <c:v>859.17137207344285</c:v>
                </c:pt>
                <c:pt idx="17">
                  <c:v>833.90781456908701</c:v>
                </c:pt>
                <c:pt idx="18">
                  <c:v>809.24816100963824</c:v>
                </c:pt>
                <c:pt idx="19">
                  <c:v>772.63093507228518</c:v>
                </c:pt>
                <c:pt idx="20">
                  <c:v>737.36040336101792</c:v>
                </c:pt>
                <c:pt idx="21">
                  <c:v>704.43003549094146</c:v>
                </c:pt>
                <c:pt idx="22">
                  <c:v>674.33682316521549</c:v>
                </c:pt>
                <c:pt idx="23">
                  <c:v>647.32937497426019</c:v>
                </c:pt>
                <c:pt idx="24">
                  <c:v>616.39338180611969</c:v>
                </c:pt>
                <c:pt idx="25">
                  <c:v>589.37141292177785</c:v>
                </c:pt>
                <c:pt idx="26">
                  <c:v>567.39895076265225</c:v>
                </c:pt>
                <c:pt idx="27">
                  <c:v>551.0438964854128</c:v>
                </c:pt>
                <c:pt idx="28">
                  <c:v>540.59025454003745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9-490E-955F-7807DBEEF662}"/>
            </c:ext>
          </c:extLst>
        </c:ser>
        <c:ser>
          <c:idx val="2"/>
          <c:order val="2"/>
          <c:tx>
            <c:strRef>
              <c:f>'CEM Tool'!$A$264</c:f>
              <c:strCache>
                <c:ptCount val="1"/>
                <c:pt idx="0">
                  <c:v>Current Policies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'CEM Tool'!$B$262:$AD$262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Tool'!$B$264:$AD$264</c:f>
              <c:numCache>
                <c:formatCode>#,##0</c:formatCode>
                <c:ptCount val="29"/>
                <c:pt idx="0">
                  <c:v>504.02595841845937</c:v>
                </c:pt>
                <c:pt idx="1">
                  <c:v>483.10122096412982</c:v>
                </c:pt>
                <c:pt idx="2">
                  <c:v>454.9626934392146</c:v>
                </c:pt>
                <c:pt idx="3">
                  <c:v>424.52889590142451</c:v>
                </c:pt>
                <c:pt idx="4">
                  <c:v>420.49407602730821</c:v>
                </c:pt>
                <c:pt idx="5">
                  <c:v>417.32621165586789</c:v>
                </c:pt>
                <c:pt idx="6">
                  <c:v>414.8511562093862</c:v>
                </c:pt>
                <c:pt idx="7">
                  <c:v>412.98182427904175</c:v>
                </c:pt>
                <c:pt idx="8">
                  <c:v>411.67466706245176</c:v>
                </c:pt>
                <c:pt idx="9">
                  <c:v>411.75316907207383</c:v>
                </c:pt>
                <c:pt idx="10">
                  <c:v>412.34009082814384</c:v>
                </c:pt>
                <c:pt idx="11">
                  <c:v>413.39822253393351</c:v>
                </c:pt>
                <c:pt idx="12">
                  <c:v>414.90895627476311</c:v>
                </c:pt>
                <c:pt idx="13">
                  <c:v>416.8629865432477</c:v>
                </c:pt>
                <c:pt idx="14">
                  <c:v>419.75345410244859</c:v>
                </c:pt>
                <c:pt idx="15">
                  <c:v>423.0634366644947</c:v>
                </c:pt>
                <c:pt idx="16">
                  <c:v>426.76694993962934</c:v>
                </c:pt>
                <c:pt idx="17">
                  <c:v>430.85099950411023</c:v>
                </c:pt>
                <c:pt idx="18">
                  <c:v>435.30908696536432</c:v>
                </c:pt>
                <c:pt idx="19">
                  <c:v>440.49195501463652</c:v>
                </c:pt>
                <c:pt idx="20">
                  <c:v>446.0259090775927</c:v>
                </c:pt>
                <c:pt idx="21">
                  <c:v>451.88374537717948</c:v>
                </c:pt>
                <c:pt idx="22">
                  <c:v>458.05185956633909</c:v>
                </c:pt>
                <c:pt idx="23">
                  <c:v>464.52344820941011</c:v>
                </c:pt>
                <c:pt idx="24">
                  <c:v>471.3171977764265</c:v>
                </c:pt>
                <c:pt idx="25">
                  <c:v>478.40649989319758</c:v>
                </c:pt>
                <c:pt idx="26">
                  <c:v>485.78749235731868</c:v>
                </c:pt>
                <c:pt idx="27">
                  <c:v>493.45824365966013</c:v>
                </c:pt>
                <c:pt idx="28">
                  <c:v>501.41778781084435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9-490E-955F-7807DBEEF662}"/>
            </c:ext>
          </c:extLst>
        </c:ser>
        <c:ser>
          <c:idx val="3"/>
          <c:order val="3"/>
          <c:tx>
            <c:strRef>
              <c:f>'CEM Tool'!$A$265</c:f>
              <c:strCache>
                <c:ptCount val="1"/>
                <c:pt idx="0">
                  <c:v>Delayed transition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'CEM Tool'!$B$262:$AD$262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Tool'!$B$265:$AD$265</c:f>
              <c:numCache>
                <c:formatCode>#,##0</c:formatCode>
                <c:ptCount val="29"/>
                <c:pt idx="0">
                  <c:v>504.02595841845937</c:v>
                </c:pt>
                <c:pt idx="1">
                  <c:v>483.10122096412982</c:v>
                </c:pt>
                <c:pt idx="2">
                  <c:v>454.9626934392146</c:v>
                </c:pt>
                <c:pt idx="3">
                  <c:v>424.52889590142451</c:v>
                </c:pt>
                <c:pt idx="4">
                  <c:v>420.49407602730821</c:v>
                </c:pt>
                <c:pt idx="5">
                  <c:v>417.32621165586789</c:v>
                </c:pt>
                <c:pt idx="6">
                  <c:v>414.8511562093862</c:v>
                </c:pt>
                <c:pt idx="7">
                  <c:v>412.98182427904175</c:v>
                </c:pt>
                <c:pt idx="8">
                  <c:v>411.67466706245176</c:v>
                </c:pt>
                <c:pt idx="9">
                  <c:v>961.09410983073701</c:v>
                </c:pt>
                <c:pt idx="10">
                  <c:v>1500.53537390478</c:v>
                </c:pt>
                <c:pt idx="11">
                  <c:v>2007.3976209173086</c:v>
                </c:pt>
                <c:pt idx="12">
                  <c:v>2470.2621410543443</c:v>
                </c:pt>
                <c:pt idx="13">
                  <c:v>2883.4110193041311</c:v>
                </c:pt>
                <c:pt idx="14">
                  <c:v>3037.2196053252069</c:v>
                </c:pt>
                <c:pt idx="15">
                  <c:v>3145.3319462185959</c:v>
                </c:pt>
                <c:pt idx="16">
                  <c:v>3216.6415381148231</c:v>
                </c:pt>
                <c:pt idx="17">
                  <c:v>3255.6219724304451</c:v>
                </c:pt>
                <c:pt idx="18">
                  <c:v>3264.5242094087221</c:v>
                </c:pt>
                <c:pt idx="19">
                  <c:v>3221.2062018726306</c:v>
                </c:pt>
                <c:pt idx="20">
                  <c:v>3150.7253551409976</c:v>
                </c:pt>
                <c:pt idx="21">
                  <c:v>3055.0323723284364</c:v>
                </c:pt>
                <c:pt idx="22">
                  <c:v>2935.1100498844453</c:v>
                </c:pt>
                <c:pt idx="23">
                  <c:v>2791.4518989120238</c:v>
                </c:pt>
                <c:pt idx="24">
                  <c:v>2611.4160463153262</c:v>
                </c:pt>
                <c:pt idx="25">
                  <c:v>2409.29008901205</c:v>
                </c:pt>
                <c:pt idx="26">
                  <c:v>2187.0121638132782</c:v>
                </c:pt>
                <c:pt idx="27">
                  <c:v>1945.5513085953637</c:v>
                </c:pt>
                <c:pt idx="28">
                  <c:v>1685.3871571681302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A9-490E-955F-7807DBEEF662}"/>
            </c:ext>
          </c:extLst>
        </c:ser>
        <c:ser>
          <c:idx val="4"/>
          <c:order val="4"/>
          <c:tx>
            <c:strRef>
              <c:f>'CEM Tool'!$A$266</c:f>
              <c:strCache>
                <c:ptCount val="1"/>
                <c:pt idx="0">
                  <c:v>Divergent Net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'CEM Tool'!$B$262:$AD$262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Tool'!$B$266:$AD$266</c:f>
              <c:numCache>
                <c:formatCode>#,##0</c:formatCode>
                <c:ptCount val="29"/>
                <c:pt idx="0">
                  <c:v>504.02595841845937</c:v>
                </c:pt>
                <c:pt idx="1">
                  <c:v>1703.3375047245356</c:v>
                </c:pt>
                <c:pt idx="2">
                  <c:v>2838.2338296000225</c:v>
                </c:pt>
                <c:pt idx="3">
                  <c:v>3899.5794491286374</c:v>
                </c:pt>
                <c:pt idx="4">
                  <c:v>4163.5402265042112</c:v>
                </c:pt>
                <c:pt idx="5">
                  <c:v>4366.3270436669445</c:v>
                </c:pt>
                <c:pt idx="6">
                  <c:v>4527.6419503039742</c:v>
                </c:pt>
                <c:pt idx="7">
                  <c:v>4657.4028569174479</c:v>
                </c:pt>
                <c:pt idx="8">
                  <c:v>4760.6039162782754</c:v>
                </c:pt>
                <c:pt idx="9">
                  <c:v>4701.8847172158721</c:v>
                </c:pt>
                <c:pt idx="10">
                  <c:v>4625.5174708318482</c:v>
                </c:pt>
                <c:pt idx="11">
                  <c:v>4536.2481095954608</c:v>
                </c:pt>
                <c:pt idx="12">
                  <c:v>4436.4706126202636</c:v>
                </c:pt>
                <c:pt idx="13">
                  <c:v>4327.3917932957593</c:v>
                </c:pt>
                <c:pt idx="14">
                  <c:v>4092.4448796671327</c:v>
                </c:pt>
                <c:pt idx="15">
                  <c:v>3854.3492514428399</c:v>
                </c:pt>
                <c:pt idx="16">
                  <c:v>3618.2010342295293</c:v>
                </c:pt>
                <c:pt idx="17">
                  <c:v>3386.5619324172048</c:v>
                </c:pt>
                <c:pt idx="18">
                  <c:v>3160.7183421018076</c:v>
                </c:pt>
                <c:pt idx="19">
                  <c:v>2886.3921793359791</c:v>
                </c:pt>
                <c:pt idx="20">
                  <c:v>2621.774859473549</c:v>
                </c:pt>
                <c:pt idx="21">
                  <c:v>2370.9156806592064</c:v>
                </c:pt>
                <c:pt idx="22">
                  <c:v>2135.8471052655132</c:v>
                </c:pt>
                <c:pt idx="23">
                  <c:v>1917.5881038969781</c:v>
                </c:pt>
                <c:pt idx="24">
                  <c:v>1662.1313257288055</c:v>
                </c:pt>
                <c:pt idx="25">
                  <c:v>1429.4558979527303</c:v>
                </c:pt>
                <c:pt idx="26">
                  <c:v>1227.8408065553911</c:v>
                </c:pt>
                <c:pt idx="27">
                  <c:v>1061.4352226161261</c:v>
                </c:pt>
                <c:pt idx="28">
                  <c:v>932.31841651815182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A9-490E-955F-7807DBEEF662}"/>
            </c:ext>
          </c:extLst>
        </c:ser>
        <c:ser>
          <c:idx val="5"/>
          <c:order val="5"/>
          <c:tx>
            <c:strRef>
              <c:f>'CEM Tool'!$A$267</c:f>
              <c:strCache>
                <c:ptCount val="1"/>
                <c:pt idx="0">
                  <c:v>Nationally Determined Contributions (NDCs)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'CEM Tool'!$B$262:$AD$262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Tool'!$B$267:$AD$267</c:f>
              <c:numCache>
                <c:formatCode>#,##0</c:formatCode>
                <c:ptCount val="29"/>
                <c:pt idx="0">
                  <c:v>504.02595841845937</c:v>
                </c:pt>
                <c:pt idx="1">
                  <c:v>690.55827972153486</c:v>
                </c:pt>
                <c:pt idx="2">
                  <c:v>859.92177142832134</c:v>
                </c:pt>
                <c:pt idx="3">
                  <c:v>1015.0511383824645</c:v>
                </c:pt>
                <c:pt idx="4">
                  <c:v>1114.8794975703079</c:v>
                </c:pt>
                <c:pt idx="5">
                  <c:v>1203.5250192737906</c:v>
                </c:pt>
                <c:pt idx="6">
                  <c:v>1282.6443436909012</c:v>
                </c:pt>
                <c:pt idx="7">
                  <c:v>1353.0689793548527</c:v>
                </c:pt>
                <c:pt idx="8">
                  <c:v>1415.2164085657851</c:v>
                </c:pt>
                <c:pt idx="9">
                  <c:v>1363.379912046759</c:v>
                </c:pt>
                <c:pt idx="10">
                  <c:v>1306.5893213595809</c:v>
                </c:pt>
                <c:pt idx="11">
                  <c:v>1248.6445245401633</c:v>
                </c:pt>
                <c:pt idx="12">
                  <c:v>1191.4471049579463</c:v>
                </c:pt>
                <c:pt idx="13">
                  <c:v>1135.9486712275746</c:v>
                </c:pt>
                <c:pt idx="14">
                  <c:v>1085.5983932723725</c:v>
                </c:pt>
                <c:pt idx="15">
                  <c:v>1037.55182230985</c:v>
                </c:pt>
                <c:pt idx="16">
                  <c:v>991.78639964411411</c:v>
                </c:pt>
                <c:pt idx="17">
                  <c:v>948.29082846056338</c:v>
                </c:pt>
                <c:pt idx="18">
                  <c:v>907.05944666690084</c:v>
                </c:pt>
                <c:pt idx="19">
                  <c:v>870.41821532946665</c:v>
                </c:pt>
                <c:pt idx="20">
                  <c:v>835.91559599847983</c:v>
                </c:pt>
                <c:pt idx="21">
                  <c:v>803.37974777431691</c:v>
                </c:pt>
                <c:pt idx="22">
                  <c:v>772.72465659092143</c:v>
                </c:pt>
                <c:pt idx="23">
                  <c:v>743.90726502454106</c:v>
                </c:pt>
                <c:pt idx="24">
                  <c:v>717.00876285274887</c:v>
                </c:pt>
                <c:pt idx="25">
                  <c:v>691.90522989395936</c:v>
                </c:pt>
                <c:pt idx="26">
                  <c:v>668.57595417856498</c:v>
                </c:pt>
                <c:pt idx="27">
                  <c:v>647.0105650234342</c:v>
                </c:pt>
                <c:pt idx="28">
                  <c:v>627.20386851856017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A9-490E-955F-7807DBEEF662}"/>
            </c:ext>
          </c:extLst>
        </c:ser>
        <c:ser>
          <c:idx val="6"/>
          <c:order val="6"/>
          <c:tx>
            <c:strRef>
              <c:f>'CEM Tool'!$A$268</c:f>
              <c:strCache>
                <c:ptCount val="1"/>
                <c:pt idx="0">
                  <c:v>Net Zero 2050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'CEM Tool'!$B$262:$AD$262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f>'CEM Tool'!$B$268:$AD$268</c:f>
              <c:numCache>
                <c:formatCode>#,##0</c:formatCode>
                <c:ptCount val="29"/>
                <c:pt idx="0">
                  <c:v>504.02595841845937</c:v>
                </c:pt>
                <c:pt idx="1">
                  <c:v>995.29046712399224</c:v>
                </c:pt>
                <c:pt idx="2">
                  <c:v>1456.5128279444987</c:v>
                </c:pt>
                <c:pt idx="3">
                  <c:v>1886.5805196955757</c:v>
                </c:pt>
                <c:pt idx="4">
                  <c:v>1993.8651247232203</c:v>
                </c:pt>
                <c:pt idx="5">
                  <c:v>2075.7428299405765</c:v>
                </c:pt>
                <c:pt idx="6">
                  <c:v>2140.5451645133694</c:v>
                </c:pt>
                <c:pt idx="7">
                  <c:v>2192.4540914043291</c:v>
                </c:pt>
                <c:pt idx="8">
                  <c:v>2233.5689013074707</c:v>
                </c:pt>
                <c:pt idx="9">
                  <c:v>2464.1326075469701</c:v>
                </c:pt>
                <c:pt idx="10">
                  <c:v>2679.483187886417</c:v>
                </c:pt>
                <c:pt idx="11">
                  <c:v>2873.03481368451</c:v>
                </c:pt>
                <c:pt idx="12">
                  <c:v>3041.4831975756451</c:v>
                </c:pt>
                <c:pt idx="13">
                  <c:v>3183.1743570337271</c:v>
                </c:pt>
                <c:pt idx="14">
                  <c:v>3231.1085440311358</c:v>
                </c:pt>
                <c:pt idx="15">
                  <c:v>3253.6225134335173</c:v>
                </c:pt>
                <c:pt idx="16">
                  <c:v>3253.5462863282464</c:v>
                </c:pt>
                <c:pt idx="17">
                  <c:v>3232.3091515346728</c:v>
                </c:pt>
                <c:pt idx="18">
                  <c:v>3190.6329907991312</c:v>
                </c:pt>
                <c:pt idx="19">
                  <c:v>3096.9523982136193</c:v>
                </c:pt>
                <c:pt idx="20">
                  <c:v>2985.0552168958916</c:v>
                </c:pt>
                <c:pt idx="21">
                  <c:v>2857.3111865122132</c:v>
                </c:pt>
                <c:pt idx="22">
                  <c:v>2714.913780729255</c:v>
                </c:pt>
                <c:pt idx="23">
                  <c:v>2558.4625693935682</c:v>
                </c:pt>
                <c:pt idx="24">
                  <c:v>2363.8926598989869</c:v>
                </c:pt>
                <c:pt idx="25">
                  <c:v>2158.071555530671</c:v>
                </c:pt>
                <c:pt idx="26">
                  <c:v>1944.6714803654347</c:v>
                </c:pt>
                <c:pt idx="27">
                  <c:v>1725.5355977180322</c:v>
                </c:pt>
                <c:pt idx="28">
                  <c:v>1501.5861217311729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A9-490E-955F-7807DBEEF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2590335"/>
        <c:axId val="186165187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'CEM Tool'!$A$262</c15:sqref>
                        </c15:formulaRef>
                      </c:ext>
                    </c:extLst>
                    <c:strCache>
                      <c:ptCount val="1"/>
                      <c:pt idx="0">
                        <c:v>CF-Dividend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'CEM Tool'!$B$262:$AD$262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'CEM Tool'!$B$262:$AD$262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95A9-490E-955F-7807DBEEF662}"/>
                  </c:ext>
                </c:extLst>
              </c15:ser>
            </c15:filteredLineSeries>
          </c:ext>
        </c:extLst>
      </c:lineChart>
      <c:catAx>
        <c:axId val="2042590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651871"/>
        <c:crosses val="autoZero"/>
        <c:auto val="1"/>
        <c:lblAlgn val="ctr"/>
        <c:lblOffset val="100"/>
        <c:noMultiLvlLbl val="0"/>
      </c:catAx>
      <c:valAx>
        <c:axId val="186165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2590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ysClr val="windowText" lastClr="000000"/>
                </a:solidFill>
              </a:rPr>
              <a:t>Price &amp; 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Results!$B$39</c:f>
              <c:strCache>
                <c:ptCount val="1"/>
                <c:pt idx="0">
                  <c:v>Market Price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Results!$D$34:$AH$34</c15:sqref>
                  </c15:fullRef>
                </c:ext>
              </c:extLst>
              <c:f>Results!$D$34:$AF$34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Results!$D$41:$AH$41</c15:sqref>
                  </c15:fullRef>
                </c:ext>
              </c:extLst>
              <c:f>Results!$D$41:$AF$41</c:f>
              <c:numCache>
                <c:formatCode>0.00%</c:formatCode>
                <c:ptCount val="29"/>
                <c:pt idx="0">
                  <c:v>1</c:v>
                </c:pt>
                <c:pt idx="1">
                  <c:v>1.0017652103509733</c:v>
                </c:pt>
                <c:pt idx="2">
                  <c:v>1.0034281989208478</c:v>
                </c:pt>
                <c:pt idx="3">
                  <c:v>1.0049800924340984</c:v>
                </c:pt>
                <c:pt idx="4">
                  <c:v>1.0054512860827409</c:v>
                </c:pt>
                <c:pt idx="5">
                  <c:v>1.0058244423456926</c:v>
                </c:pt>
                <c:pt idx="6">
                  <c:v>1.0061288110901505</c:v>
                </c:pt>
                <c:pt idx="7">
                  <c:v>1.0063790172497133</c:v>
                </c:pt>
                <c:pt idx="8">
                  <c:v>1.0065823732911803</c:v>
                </c:pt>
                <c:pt idx="9">
                  <c:v>1.0069410794762335</c:v>
                </c:pt>
                <c:pt idx="10">
                  <c:v>1.0072532976996125</c:v>
                </c:pt>
                <c:pt idx="11">
                  <c:v>1.0075120534308071</c:v>
                </c:pt>
                <c:pt idx="12">
                  <c:v>1.0077138594045625</c:v>
                </c:pt>
                <c:pt idx="13">
                  <c:v>1.0078569719882506</c:v>
                </c:pt>
                <c:pt idx="14">
                  <c:v>1.0080203989388226</c:v>
                </c:pt>
                <c:pt idx="15">
                  <c:v>1.0081210279809292</c:v>
                </c:pt>
                <c:pt idx="16">
                  <c:v>1.0081543338736507</c:v>
                </c:pt>
                <c:pt idx="17">
                  <c:v>1.0081180539965278</c:v>
                </c:pt>
                <c:pt idx="18">
                  <c:v>1.0080110570393308</c:v>
                </c:pt>
                <c:pt idx="19">
                  <c:v>1.0079140965005933</c:v>
                </c:pt>
                <c:pt idx="20">
                  <c:v>1.0077411414253403</c:v>
                </c:pt>
                <c:pt idx="21">
                  <c:v>1.0074852294251611</c:v>
                </c:pt>
                <c:pt idx="22">
                  <c:v>1.0071428793058501</c:v>
                </c:pt>
                <c:pt idx="23">
                  <c:v>1.0067123504703046</c:v>
                </c:pt>
                <c:pt idx="24">
                  <c:v>1.0062342906973165</c:v>
                </c:pt>
                <c:pt idx="25">
                  <c:v>1.0056616589605143</c:v>
                </c:pt>
                <c:pt idx="26">
                  <c:v>1.0049864020658004</c:v>
                </c:pt>
                <c:pt idx="27">
                  <c:v>1.0042044934161265</c:v>
                </c:pt>
                <c:pt idx="28">
                  <c:v>1.0021022467080631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4-4220-9FEA-EA323A98872E}"/>
            </c:ext>
          </c:extLst>
        </c:ser>
        <c:ser>
          <c:idx val="1"/>
          <c:order val="1"/>
          <c:tx>
            <c:strRef>
              <c:f>Results!$B$42</c:f>
              <c:strCache>
                <c:ptCount val="1"/>
                <c:pt idx="0">
                  <c:v>Market Quantity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Results!$D$34:$AH$34</c15:sqref>
                  </c15:fullRef>
                </c:ext>
              </c:extLst>
              <c:f>Results!$D$34:$AF$34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Results!$D$44:$AH$44</c15:sqref>
                  </c15:fullRef>
                </c:ext>
              </c:extLst>
              <c:f>Results!$D$44:$AF$44</c:f>
              <c:numCache>
                <c:formatCode>0.00%</c:formatCode>
                <c:ptCount val="29"/>
                <c:pt idx="0">
                  <c:v>1</c:v>
                </c:pt>
                <c:pt idx="1">
                  <c:v>0.99821888029260231</c:v>
                </c:pt>
                <c:pt idx="2">
                  <c:v>0.99654401887351862</c:v>
                </c:pt>
                <c:pt idx="3">
                  <c:v>0.99498266452059636</c:v>
                </c:pt>
                <c:pt idx="4">
                  <c:v>0.9945082306310784</c:v>
                </c:pt>
                <c:pt idx="5">
                  <c:v>0.99413267643969894</c:v>
                </c:pt>
                <c:pt idx="6">
                  <c:v>0.99382644628270178</c:v>
                </c:pt>
                <c:pt idx="7">
                  <c:v>0.99357478592855575</c:v>
                </c:pt>
                <c:pt idx="8">
                  <c:v>0.99337033005873709</c:v>
                </c:pt>
                <c:pt idx="9">
                  <c:v>0.99301022336652589</c:v>
                </c:pt>
                <c:pt idx="10">
                  <c:v>0.99269665654975414</c:v>
                </c:pt>
                <c:pt idx="11">
                  <c:v>0.99243682860705684</c:v>
                </c:pt>
                <c:pt idx="12">
                  <c:v>0.99223433209318801</c:v>
                </c:pt>
                <c:pt idx="13">
                  <c:v>0.99209095985707607</c:v>
                </c:pt>
                <c:pt idx="14">
                  <c:v>0.99192757331294512</c:v>
                </c:pt>
                <c:pt idx="15">
                  <c:v>0.99182730995206814</c:v>
                </c:pt>
                <c:pt idx="16">
                  <c:v>0.99179481783680157</c:v>
                </c:pt>
                <c:pt idx="17">
                  <c:v>0.99183241613001016</c:v>
                </c:pt>
                <c:pt idx="18">
                  <c:v>0.99194126197549115</c:v>
                </c:pt>
                <c:pt idx="19">
                  <c:v>0.99204046930314371</c:v>
                </c:pt>
                <c:pt idx="20">
                  <c:v>0.99221610356137346</c:v>
                </c:pt>
                <c:pt idx="21">
                  <c:v>0.99247526479037163</c:v>
                </c:pt>
                <c:pt idx="22">
                  <c:v>0.99282149481623116</c:v>
                </c:pt>
                <c:pt idx="23">
                  <c:v>0.99325656035581678</c:v>
                </c:pt>
                <c:pt idx="24">
                  <c:v>0.99373969681438923</c:v>
                </c:pt>
                <c:pt idx="25">
                  <c:v>0.99431811800002157</c:v>
                </c:pt>
                <c:pt idx="26">
                  <c:v>0.99499995006428699</c:v>
                </c:pt>
                <c:pt idx="27">
                  <c:v>0.99578924598801399</c:v>
                </c:pt>
                <c:pt idx="28">
                  <c:v>0.997894622994007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F4-4220-9FEA-EA323A98872E}"/>
            </c:ext>
          </c:extLst>
        </c:ser>
        <c:ser>
          <c:idx val="2"/>
          <c:order val="2"/>
          <c:tx>
            <c:strRef>
              <c:f>Results!$B$47</c:f>
              <c:strCache>
                <c:ptCount val="1"/>
                <c:pt idx="0">
                  <c:v>Firm Quantity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Results!$D$34:$AH$34</c15:sqref>
                  </c15:fullRef>
                </c:ext>
              </c:extLst>
              <c:f>Results!$D$34:$AF$34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Results!$D$49:$AH$49</c15:sqref>
                  </c15:fullRef>
                </c:ext>
              </c:extLst>
              <c:f>Results!$D$49:$AF$49</c:f>
              <c:numCache>
                <c:formatCode>0.00%</c:formatCode>
                <c:ptCount val="29"/>
                <c:pt idx="0">
                  <c:v>1</c:v>
                </c:pt>
                <c:pt idx="1">
                  <c:v>0.99811807159827726</c:v>
                </c:pt>
                <c:pt idx="2">
                  <c:v>0.99634894910942284</c:v>
                </c:pt>
                <c:pt idx="3">
                  <c:v>0.99469995796711308</c:v>
                </c:pt>
                <c:pt idx="4">
                  <c:v>0.99420539666688745</c:v>
                </c:pt>
                <c:pt idx="5">
                  <c:v>0.99381542369775888</c:v>
                </c:pt>
                <c:pt idx="6">
                  <c:v>0.99349843543350136</c:v>
                </c:pt>
                <c:pt idx="7">
                  <c:v>0.99323865569349512</c:v>
                </c:pt>
                <c:pt idx="8">
                  <c:v>0.99302820919574719</c:v>
                </c:pt>
                <c:pt idx="9">
                  <c:v>0.99266218707484954</c:v>
                </c:pt>
                <c:pt idx="10">
                  <c:v>0.99234447707019391</c:v>
                </c:pt>
                <c:pt idx="11">
                  <c:v>0.99208229901750067</c:v>
                </c:pt>
                <c:pt idx="12">
                  <c:v>0.99187925557004797</c:v>
                </c:pt>
                <c:pt idx="13">
                  <c:v>0.99173714445912231</c:v>
                </c:pt>
                <c:pt idx="14">
                  <c:v>0.99158766326682335</c:v>
                </c:pt>
                <c:pt idx="15">
                  <c:v>0.99150284257927834</c:v>
                </c:pt>
                <c:pt idx="16">
                  <c:v>0.99148668967513753</c:v>
                </c:pt>
                <c:pt idx="17">
                  <c:v>0.99154120353264474</c:v>
                </c:pt>
                <c:pt idx="18">
                  <c:v>0.99166738130404419</c:v>
                </c:pt>
                <c:pt idx="19">
                  <c:v>0.99179185812922155</c:v>
                </c:pt>
                <c:pt idx="20">
                  <c:v>0.99199274773457669</c:v>
                </c:pt>
                <c:pt idx="21">
                  <c:v>0.99227643591299985</c:v>
                </c:pt>
                <c:pt idx="22">
                  <c:v>0.99264610763252448</c:v>
                </c:pt>
                <c:pt idx="23">
                  <c:v>0.99310335132053251</c:v>
                </c:pt>
                <c:pt idx="24">
                  <c:v>0.99361172657298169</c:v>
                </c:pt>
                <c:pt idx="25">
                  <c:v>0.99421356673142014</c:v>
                </c:pt>
                <c:pt idx="26">
                  <c:v>0.99491607778225577</c:v>
                </c:pt>
                <c:pt idx="27">
                  <c:v>0.99572285307868669</c:v>
                </c:pt>
                <c:pt idx="28">
                  <c:v>0.99786142653934329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F4-4220-9FEA-EA323A988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ysClr val="windowText" lastClr="000000"/>
                </a:solidFill>
              </a:rPr>
              <a:t>Revenue </a:t>
            </a:r>
            <a:r>
              <a:rPr lang="de-DE" baseline="0">
                <a:solidFill>
                  <a:sysClr val="windowText" lastClr="000000"/>
                </a:solidFill>
              </a:rPr>
              <a:t> &amp; Cost</a:t>
            </a:r>
            <a:endParaRPr lang="de-DE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Results!$B$50</c:f>
              <c:strCache>
                <c:ptCount val="1"/>
                <c:pt idx="0">
                  <c:v>Firm Revenue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Results!$D$22:$AH$22</c15:sqref>
                  </c15:fullRef>
                </c:ext>
              </c:extLst>
              <c:f>Results!$D$22:$AF$22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Results!$D$52:$AH$52</c15:sqref>
                  </c15:fullRef>
                </c:ext>
              </c:extLst>
              <c:f>Results!$D$52:$AF$52</c:f>
              <c:numCache>
                <c:formatCode>0.00%</c:formatCode>
                <c:ptCount val="29"/>
                <c:pt idx="0">
                  <c:v>1</c:v>
                </c:pt>
                <c:pt idx="1">
                  <c:v>0.99988328194925058</c:v>
                </c:pt>
                <c:pt idx="2">
                  <c:v>0.99977383101135686</c:v>
                </c:pt>
                <c:pt idx="3">
                  <c:v>0.99967196248194168</c:v>
                </c:pt>
                <c:pt idx="4">
                  <c:v>0.99964842589864311</c:v>
                </c:pt>
                <c:pt idx="5">
                  <c:v>0.99963113022536976</c:v>
                </c:pt>
                <c:pt idx="6">
                  <c:v>0.9996179594709802</c:v>
                </c:pt>
                <c:pt idx="7">
                  <c:v>0.99960785635786964</c:v>
                </c:pt>
                <c:pt idx="8">
                  <c:v>0.99960029260883798</c:v>
                </c:pt>
                <c:pt idx="9">
                  <c:v>0.9995912215238425</c:v>
                </c:pt>
                <c:pt idx="10">
                  <c:v>0.99958448426194968</c:v>
                </c:pt>
                <c:pt idx="11">
                  <c:v>0.99958011930796387</c:v>
                </c:pt>
                <c:pt idx="12">
                  <c:v>0.99957814575534143</c:v>
                </c:pt>
                <c:pt idx="13">
                  <c:v>0.99957857308690168</c:v>
                </c:pt>
                <c:pt idx="14">
                  <c:v>0.99959148666137776</c:v>
                </c:pt>
                <c:pt idx="15">
                  <c:v>0.99960660776366561</c:v>
                </c:pt>
                <c:pt idx="16">
                  <c:v>0.99962331502187785</c:v>
                </c:pt>
                <c:pt idx="17">
                  <c:v>0.99964129771346522</c:v>
                </c:pt>
                <c:pt idx="18">
                  <c:v>0.99966040047722848</c:v>
                </c:pt>
                <c:pt idx="19">
                  <c:v>0.99968737048765699</c:v>
                </c:pt>
                <c:pt idx="20">
                  <c:v>0.99971515891608664</c:v>
                </c:pt>
                <c:pt idx="21">
                  <c:v>0.99974307771287674</c:v>
                </c:pt>
                <c:pt idx="22">
                  <c:v>0.99977078282668308</c:v>
                </c:pt>
                <c:pt idx="23">
                  <c:v>0.99979810225247956</c:v>
                </c:pt>
                <c:pt idx="24">
                  <c:v>0.99982896842478763</c:v>
                </c:pt>
                <c:pt idx="25">
                  <c:v>0.99985904527725822</c:v>
                </c:pt>
                <c:pt idx="26">
                  <c:v>0.99988744096332982</c:v>
                </c:pt>
                <c:pt idx="27">
                  <c:v>0.99991370958910109</c:v>
                </c:pt>
                <c:pt idx="28">
                  <c:v>0.99995685479455054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4E-44DF-9E79-58F7CC0A09FC}"/>
            </c:ext>
          </c:extLst>
        </c:ser>
        <c:ser>
          <c:idx val="0"/>
          <c:order val="1"/>
          <c:tx>
            <c:strRef>
              <c:f>Results!$B$53</c:f>
              <c:strCache>
                <c:ptCount val="1"/>
                <c:pt idx="0">
                  <c:v>Firm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Results!$D$22:$AH$22</c15:sqref>
                  </c15:fullRef>
                </c:ext>
              </c:extLst>
              <c:f>Results!$D$22:$AF$22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Results!$D$55:$AH$55</c15:sqref>
                  </c15:fullRef>
                </c:ext>
              </c:extLst>
              <c:f>Results!$D$55:$AF$55</c:f>
              <c:numCache>
                <c:formatCode>0.00%</c:formatCode>
                <c:ptCount val="29"/>
                <c:pt idx="0">
                  <c:v>0.79656743982777534</c:v>
                </c:pt>
                <c:pt idx="1">
                  <c:v>0.79475698621547541</c:v>
                </c:pt>
                <c:pt idx="2">
                  <c:v>0.7930538324843257</c:v>
                </c:pt>
                <c:pt idx="3">
                  <c:v>0.79146572657613312</c:v>
                </c:pt>
                <c:pt idx="4">
                  <c:v>0.79099701793153687</c:v>
                </c:pt>
                <c:pt idx="5">
                  <c:v>0.7906285352386222</c:v>
                </c:pt>
                <c:pt idx="6">
                  <c:v>0.79032982866090373</c:v>
                </c:pt>
                <c:pt idx="7">
                  <c:v>0.79008568588835981</c:v>
                </c:pt>
                <c:pt idx="8">
                  <c:v>0.78988850707371627</c:v>
                </c:pt>
                <c:pt idx="9">
                  <c:v>0.78954923834568846</c:v>
                </c:pt>
                <c:pt idx="10">
                  <c:v>0.78925600653535621</c:v>
                </c:pt>
                <c:pt idx="11">
                  <c:v>0.78901525838357478</c:v>
                </c:pt>
                <c:pt idx="12">
                  <c:v>0.78883021388363272</c:v>
                </c:pt>
                <c:pt idx="13">
                  <c:v>0.7887024813693142</c:v>
                </c:pt>
                <c:pt idx="14">
                  <c:v>0.78858042104764103</c:v>
                </c:pt>
                <c:pt idx="15">
                  <c:v>0.78851890250245316</c:v>
                </c:pt>
                <c:pt idx="16">
                  <c:v>0.78852087201138388</c:v>
                </c:pt>
                <c:pt idx="17">
                  <c:v>0.78858780076027812</c:v>
                </c:pt>
                <c:pt idx="18">
                  <c:v>0.78872042337941484</c:v>
                </c:pt>
                <c:pt idx="19">
                  <c:v>0.78885918981226044</c:v>
                </c:pt>
                <c:pt idx="20">
                  <c:v>0.7890677143951389</c:v>
                </c:pt>
                <c:pt idx="21">
                  <c:v>0.78935101218758286</c:v>
                </c:pt>
                <c:pt idx="22">
                  <c:v>0.78971158733705116</c:v>
                </c:pt>
                <c:pt idx="23">
                  <c:v>0.79015069021531414</c:v>
                </c:pt>
                <c:pt idx="24">
                  <c:v>0.7906393421290463</c:v>
                </c:pt>
                <c:pt idx="25">
                  <c:v>0.79121146096119033</c:v>
                </c:pt>
                <c:pt idx="26">
                  <c:v>0.79187262314113238</c:v>
                </c:pt>
                <c:pt idx="27">
                  <c:v>0.79262561283110367</c:v>
                </c:pt>
                <c:pt idx="28">
                  <c:v>0.79459652632943945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4E-44DF-9E79-58F7CC0A0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ysClr val="windowText" lastClr="000000"/>
                </a:solidFill>
              </a:rPr>
              <a:t>Profit</a:t>
            </a:r>
            <a:endParaRPr lang="de-DE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Results!$B$56</c:f>
              <c:strCache>
                <c:ptCount val="1"/>
                <c:pt idx="0">
                  <c:v>Firm Profit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Results!$D$22:$AH$22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f>Results!$D$58:$AH$58</c:f>
              <c:numCache>
                <c:formatCode>0.00%</c:formatCode>
                <c:ptCount val="31"/>
                <c:pt idx="0">
                  <c:v>0.20343256017222472</c:v>
                </c:pt>
                <c:pt idx="1">
                  <c:v>0.20512629573377517</c:v>
                </c:pt>
                <c:pt idx="2">
                  <c:v>0.2067199985270313</c:v>
                </c:pt>
                <c:pt idx="3">
                  <c:v>0.2082062359058087</c:v>
                </c:pt>
                <c:pt idx="4">
                  <c:v>0.20865140796710629</c:v>
                </c:pt>
                <c:pt idx="5">
                  <c:v>0.20900259498674761</c:v>
                </c:pt>
                <c:pt idx="6">
                  <c:v>0.20928813081007661</c:v>
                </c:pt>
                <c:pt idx="7">
                  <c:v>0.20952217046950977</c:v>
                </c:pt>
                <c:pt idx="8">
                  <c:v>0.20971178553512168</c:v>
                </c:pt>
                <c:pt idx="9">
                  <c:v>0.21004198317815409</c:v>
                </c:pt>
                <c:pt idx="10">
                  <c:v>0.21032847772659338</c:v>
                </c:pt>
                <c:pt idx="11">
                  <c:v>0.21056486092438911</c:v>
                </c:pt>
                <c:pt idx="12">
                  <c:v>0.21074793187170879</c:v>
                </c:pt>
                <c:pt idx="13">
                  <c:v>0.21087609171758764</c:v>
                </c:pt>
                <c:pt idx="14">
                  <c:v>0.21101106561373684</c:v>
                </c:pt>
                <c:pt idx="15">
                  <c:v>0.21108770526121265</c:v>
                </c:pt>
                <c:pt idx="16">
                  <c:v>0.21110244301049416</c:v>
                </c:pt>
                <c:pt idx="17">
                  <c:v>0.21105349695318726</c:v>
                </c:pt>
                <c:pt idx="18">
                  <c:v>0.21093997709781381</c:v>
                </c:pt>
                <c:pt idx="19">
                  <c:v>0.2108281806753966</c:v>
                </c:pt>
                <c:pt idx="20">
                  <c:v>0.21064744452094786</c:v>
                </c:pt>
                <c:pt idx="21">
                  <c:v>0.21039206552529394</c:v>
                </c:pt>
                <c:pt idx="22">
                  <c:v>0.21005919548963203</c:v>
                </c:pt>
                <c:pt idx="23">
                  <c:v>0.20964741203716541</c:v>
                </c:pt>
                <c:pt idx="24">
                  <c:v>0.2091896262957415</c:v>
                </c:pt>
                <c:pt idx="25">
                  <c:v>0.20864758431606806</c:v>
                </c:pt>
                <c:pt idx="26">
                  <c:v>0.20801481782219755</c:v>
                </c:pt>
                <c:pt idx="27">
                  <c:v>0.20728809675799759</c:v>
                </c:pt>
                <c:pt idx="28">
                  <c:v>0.20536032846511115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1-4FF5-BC16-673A1DC3E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ysClr val="windowText" lastClr="000000"/>
                </a:solidFill>
              </a:rPr>
              <a:t>Carbon Intensity (Scope 1/2)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Market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Results!$D$22:$AH$22</c15:sqref>
                  </c15:fullRef>
                </c:ext>
              </c:extLst>
              <c:f>Results!$D$22:$AF$22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Results!$D$23:$AH$23</c15:sqref>
                  </c15:fullRef>
                </c:ext>
              </c:extLst>
              <c:f>Results!$D$23:$AF$23</c:f>
              <c:numCache>
                <c:formatCode>#,##0.00</c:formatCode>
                <c:ptCount val="29"/>
                <c:pt idx="0">
                  <c:v>5.4219287097010085</c:v>
                </c:pt>
                <c:pt idx="1">
                  <c:v>5.2211165352676385</c:v>
                </c:pt>
                <c:pt idx="2">
                  <c:v>5.0203043608342677</c:v>
                </c:pt>
                <c:pt idx="3">
                  <c:v>4.8194921864008968</c:v>
                </c:pt>
                <c:pt idx="4">
                  <c:v>4.618680011967526</c:v>
                </c:pt>
                <c:pt idx="5">
                  <c:v>4.4178678375341551</c:v>
                </c:pt>
                <c:pt idx="6">
                  <c:v>4.2170556631007843</c:v>
                </c:pt>
                <c:pt idx="7">
                  <c:v>4.0162434886674134</c:v>
                </c:pt>
                <c:pt idx="8">
                  <c:v>3.815431314234043</c:v>
                </c:pt>
                <c:pt idx="9">
                  <c:v>3.6146191398006722</c:v>
                </c:pt>
                <c:pt idx="10">
                  <c:v>3.4138069653673018</c:v>
                </c:pt>
                <c:pt idx="11">
                  <c:v>3.2129947909339309</c:v>
                </c:pt>
                <c:pt idx="12">
                  <c:v>3.0121826165005605</c:v>
                </c:pt>
                <c:pt idx="13">
                  <c:v>2.8113704420671897</c:v>
                </c:pt>
                <c:pt idx="14">
                  <c:v>2.6105582676338193</c:v>
                </c:pt>
                <c:pt idx="15">
                  <c:v>2.4097460932004484</c:v>
                </c:pt>
                <c:pt idx="16">
                  <c:v>2.2089339187670776</c:v>
                </c:pt>
                <c:pt idx="17">
                  <c:v>2.0081217443337067</c:v>
                </c:pt>
                <c:pt idx="18">
                  <c:v>1.8073095699003361</c:v>
                </c:pt>
                <c:pt idx="19">
                  <c:v>1.6064973954669655</c:v>
                </c:pt>
                <c:pt idx="20">
                  <c:v>1.4056852210335948</c:v>
                </c:pt>
                <c:pt idx="21">
                  <c:v>1.2048730466002242</c:v>
                </c:pt>
                <c:pt idx="22">
                  <c:v>1.0040608721668534</c:v>
                </c:pt>
                <c:pt idx="23">
                  <c:v>0.80324869773348273</c:v>
                </c:pt>
                <c:pt idx="24">
                  <c:v>0.6024365233001121</c:v>
                </c:pt>
                <c:pt idx="25">
                  <c:v>0.40162434886674137</c:v>
                </c:pt>
                <c:pt idx="26">
                  <c:v>0.20081217443337068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45-4DAE-9661-553E74A33130}"/>
            </c:ext>
          </c:extLst>
        </c:ser>
        <c:ser>
          <c:idx val="0"/>
          <c:order val="1"/>
          <c:tx>
            <c:v>Firm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Results!$D$22:$AH$22</c15:sqref>
                  </c15:fullRef>
                </c:ext>
              </c:extLst>
              <c:f>Results!$D$22:$AF$22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Results!$D$25:$AH$25</c15:sqref>
                  </c15:fullRef>
                </c:ext>
              </c:extLst>
              <c:f>Results!$D$25:$AF$25</c:f>
              <c:numCache>
                <c:formatCode>#,##0.00</c:formatCode>
                <c:ptCount val="29"/>
                <c:pt idx="0">
                  <c:v>5.4219287097010085</c:v>
                </c:pt>
                <c:pt idx="1">
                  <c:v>5.2211165352676385</c:v>
                </c:pt>
                <c:pt idx="2">
                  <c:v>5.0203043608342677</c:v>
                </c:pt>
                <c:pt idx="3">
                  <c:v>4.8194921864008968</c:v>
                </c:pt>
                <c:pt idx="4">
                  <c:v>4.618680011967526</c:v>
                </c:pt>
                <c:pt idx="5">
                  <c:v>4.4178678375341551</c:v>
                </c:pt>
                <c:pt idx="6">
                  <c:v>4.2170556631007843</c:v>
                </c:pt>
                <c:pt idx="7">
                  <c:v>4.0162434886674134</c:v>
                </c:pt>
                <c:pt idx="8">
                  <c:v>3.815431314234043</c:v>
                </c:pt>
                <c:pt idx="9">
                  <c:v>3.6146191398006722</c:v>
                </c:pt>
                <c:pt idx="10">
                  <c:v>3.4138069653673018</c:v>
                </c:pt>
                <c:pt idx="11">
                  <c:v>3.2129947909339309</c:v>
                </c:pt>
                <c:pt idx="12">
                  <c:v>3.0121826165005605</c:v>
                </c:pt>
                <c:pt idx="13">
                  <c:v>2.8113704420671897</c:v>
                </c:pt>
                <c:pt idx="14">
                  <c:v>2.6105582676338193</c:v>
                </c:pt>
                <c:pt idx="15">
                  <c:v>2.4097460932004484</c:v>
                </c:pt>
                <c:pt idx="16">
                  <c:v>2.2089339187670776</c:v>
                </c:pt>
                <c:pt idx="17">
                  <c:v>2.0081217443337067</c:v>
                </c:pt>
                <c:pt idx="18">
                  <c:v>1.8073095699003361</c:v>
                </c:pt>
                <c:pt idx="19">
                  <c:v>1.6064973954669655</c:v>
                </c:pt>
                <c:pt idx="20">
                  <c:v>1.4056852210335948</c:v>
                </c:pt>
                <c:pt idx="21">
                  <c:v>1.2048730466002242</c:v>
                </c:pt>
                <c:pt idx="22">
                  <c:v>1.0040608721668534</c:v>
                </c:pt>
                <c:pt idx="23">
                  <c:v>0.80324869773348273</c:v>
                </c:pt>
                <c:pt idx="24">
                  <c:v>0.6024365233001121</c:v>
                </c:pt>
                <c:pt idx="25">
                  <c:v>0.40162434886674137</c:v>
                </c:pt>
                <c:pt idx="26">
                  <c:v>0.20081217443337068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45-4DAE-9661-553E74A33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ysClr val="windowText" lastClr="000000"/>
                </a:solidFill>
              </a:rPr>
              <a:t>Carbon Reduction (Scope 1/2)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Market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Results!$D$22:$AF$22</c15:sqref>
                  </c15:fullRef>
                </c:ext>
              </c:extLst>
              <c:f>Results!$D$22:$AF$22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Results!$D$27:$AH$27</c15:sqref>
                  </c15:fullRef>
                </c:ext>
              </c:extLst>
              <c:f>Results!$D$27:$AF$27</c:f>
              <c:numCache>
                <c:formatCode>#,##0.00</c:formatCode>
                <c:ptCount val="29"/>
                <c:pt idx="0">
                  <c:v>65.469516307497202</c:v>
                </c:pt>
                <c:pt idx="1">
                  <c:v>92.699462609486801</c:v>
                </c:pt>
                <c:pt idx="2">
                  <c:v>119.9294089114764</c:v>
                </c:pt>
                <c:pt idx="3">
                  <c:v>147.159355213466</c:v>
                </c:pt>
                <c:pt idx="4">
                  <c:v>156.13345781564999</c:v>
                </c:pt>
                <c:pt idx="5">
                  <c:v>165.10756041783398</c:v>
                </c:pt>
                <c:pt idx="6">
                  <c:v>174.08166302001797</c:v>
                </c:pt>
                <c:pt idx="7">
                  <c:v>183.05576562220196</c:v>
                </c:pt>
                <c:pt idx="8">
                  <c:v>192.02986822438601</c:v>
                </c:pt>
                <c:pt idx="9">
                  <c:v>205.74762901307679</c:v>
                </c:pt>
                <c:pt idx="10">
                  <c:v>219.46538980176757</c:v>
                </c:pt>
                <c:pt idx="11">
                  <c:v>233.18315059045835</c:v>
                </c:pt>
                <c:pt idx="12">
                  <c:v>246.90091137914914</c:v>
                </c:pt>
                <c:pt idx="13">
                  <c:v>260.61867216783997</c:v>
                </c:pt>
                <c:pt idx="14">
                  <c:v>276.92654087641876</c:v>
                </c:pt>
                <c:pt idx="15">
                  <c:v>293.23440958499754</c:v>
                </c:pt>
                <c:pt idx="16">
                  <c:v>309.54227829357632</c:v>
                </c:pt>
                <c:pt idx="17">
                  <c:v>325.8501470021551</c:v>
                </c:pt>
                <c:pt idx="18">
                  <c:v>342.15801571073399</c:v>
                </c:pt>
                <c:pt idx="19">
                  <c:v>362.56755237622519</c:v>
                </c:pt>
                <c:pt idx="20">
                  <c:v>382.9770890417164</c:v>
                </c:pt>
                <c:pt idx="21">
                  <c:v>403.3866257072076</c:v>
                </c:pt>
                <c:pt idx="22">
                  <c:v>423.7961623726988</c:v>
                </c:pt>
                <c:pt idx="23">
                  <c:v>444.20569903818989</c:v>
                </c:pt>
                <c:pt idx="24">
                  <c:v>469.32704171267989</c:v>
                </c:pt>
                <c:pt idx="25">
                  <c:v>494.44838438716988</c:v>
                </c:pt>
                <c:pt idx="26">
                  <c:v>519.56972706165993</c:v>
                </c:pt>
                <c:pt idx="27">
                  <c:v>544.69106973614998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99-4B6B-8186-A733FA76D599}"/>
            </c:ext>
          </c:extLst>
        </c:ser>
        <c:ser>
          <c:idx val="0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Results!$D$22:$AF$22</c15:sqref>
                  </c15:fullRef>
                </c:ext>
              </c:extLst>
              <c:f>Results!$D$22:$AF$22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Results!$D$29:$AF$29</c15:sqref>
                  </c15:fullRef>
                </c:ext>
              </c:extLst>
              <c:f>Results!$D$29:$AF$29</c:f>
              <c:numCache>
                <c:formatCode>#,##0.00</c:formatCode>
                <c:ptCount val="29"/>
                <c:pt idx="0">
                  <c:v>25.389440745104398</c:v>
                </c:pt>
                <c:pt idx="1">
                  <c:v>37.530299813415596</c:v>
                </c:pt>
                <c:pt idx="2">
                  <c:v>49.671158881726797</c:v>
                </c:pt>
                <c:pt idx="3">
                  <c:v>61.812017950037998</c:v>
                </c:pt>
                <c:pt idx="4">
                  <c:v>67.143963640499592</c:v>
                </c:pt>
                <c:pt idx="5">
                  <c:v>72.475909330961187</c:v>
                </c:pt>
                <c:pt idx="6">
                  <c:v>77.807855021422782</c:v>
                </c:pt>
                <c:pt idx="7">
                  <c:v>83.139800711884376</c:v>
                </c:pt>
                <c:pt idx="8">
                  <c:v>88.471746402346</c:v>
                </c:pt>
                <c:pt idx="9">
                  <c:v>98.112007994063603</c:v>
                </c:pt>
                <c:pt idx="10">
                  <c:v>107.75226958578121</c:v>
                </c:pt>
                <c:pt idx="11">
                  <c:v>117.39253117749881</c:v>
                </c:pt>
                <c:pt idx="12">
                  <c:v>127.03279276921641</c:v>
                </c:pt>
                <c:pt idx="13">
                  <c:v>136.673054360934</c:v>
                </c:pt>
                <c:pt idx="14">
                  <c:v>152.3950284390416</c:v>
                </c:pt>
                <c:pt idx="15">
                  <c:v>168.11700251714919</c:v>
                </c:pt>
                <c:pt idx="16">
                  <c:v>183.83897659525678</c:v>
                </c:pt>
                <c:pt idx="17">
                  <c:v>199.56095067336437</c:v>
                </c:pt>
                <c:pt idx="18">
                  <c:v>215.282924751472</c:v>
                </c:pt>
                <c:pt idx="19">
                  <c:v>238.91711118915001</c:v>
                </c:pt>
                <c:pt idx="20">
                  <c:v>262.55129762682799</c:v>
                </c:pt>
                <c:pt idx="21">
                  <c:v>286.185484064506</c:v>
                </c:pt>
                <c:pt idx="22">
                  <c:v>309.81967050218401</c:v>
                </c:pt>
                <c:pt idx="23">
                  <c:v>333.45385693986202</c:v>
                </c:pt>
                <c:pt idx="24">
                  <c:v>366.77473710987164</c:v>
                </c:pt>
                <c:pt idx="25">
                  <c:v>400.09561727988125</c:v>
                </c:pt>
                <c:pt idx="26">
                  <c:v>433.41649744989087</c:v>
                </c:pt>
                <c:pt idx="27">
                  <c:v>466.73737761990049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9-4B6B-8186-A733FA76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ysClr val="windowText" lastClr="000000"/>
                </a:solidFill>
              </a:rPr>
              <a:t>Carbon Reduction (Scope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Market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Results!$D$22:$AH$22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f>Results!$D$28:$AH$28</c:f>
              <c:numCache>
                <c:formatCode>#,##0.00</c:formatCode>
                <c:ptCount val="31"/>
                <c:pt idx="0">
                  <c:v>65.469516307497202</c:v>
                </c:pt>
                <c:pt idx="1">
                  <c:v>92.699462609486801</c:v>
                </c:pt>
                <c:pt idx="2">
                  <c:v>119.9294089114764</c:v>
                </c:pt>
                <c:pt idx="3">
                  <c:v>147.159355213466</c:v>
                </c:pt>
                <c:pt idx="4">
                  <c:v>156.13345781564999</c:v>
                </c:pt>
                <c:pt idx="5">
                  <c:v>165.10756041783398</c:v>
                </c:pt>
                <c:pt idx="6">
                  <c:v>174.08166302001797</c:v>
                </c:pt>
                <c:pt idx="7">
                  <c:v>183.05576562220196</c:v>
                </c:pt>
                <c:pt idx="8">
                  <c:v>192.02986822438601</c:v>
                </c:pt>
                <c:pt idx="9">
                  <c:v>205.74762901307679</c:v>
                </c:pt>
                <c:pt idx="10">
                  <c:v>219.46538980176757</c:v>
                </c:pt>
                <c:pt idx="11">
                  <c:v>233.18315059045835</c:v>
                </c:pt>
                <c:pt idx="12">
                  <c:v>246.90091137914914</c:v>
                </c:pt>
                <c:pt idx="13">
                  <c:v>260.61867216783997</c:v>
                </c:pt>
                <c:pt idx="14">
                  <c:v>276.92654087641876</c:v>
                </c:pt>
                <c:pt idx="15">
                  <c:v>293.23440958499754</c:v>
                </c:pt>
                <c:pt idx="16">
                  <c:v>309.54227829357632</c:v>
                </c:pt>
                <c:pt idx="17">
                  <c:v>325.8501470021551</c:v>
                </c:pt>
                <c:pt idx="18">
                  <c:v>342.15801571073399</c:v>
                </c:pt>
                <c:pt idx="19">
                  <c:v>362.56755237622519</c:v>
                </c:pt>
                <c:pt idx="20">
                  <c:v>382.9770890417164</c:v>
                </c:pt>
                <c:pt idx="21">
                  <c:v>403.3866257072076</c:v>
                </c:pt>
                <c:pt idx="22">
                  <c:v>423.7961623726988</c:v>
                </c:pt>
                <c:pt idx="23">
                  <c:v>444.20569903818989</c:v>
                </c:pt>
                <c:pt idx="24">
                  <c:v>469.32704171267989</c:v>
                </c:pt>
                <c:pt idx="25">
                  <c:v>494.44838438716988</c:v>
                </c:pt>
                <c:pt idx="26">
                  <c:v>519.56972706165993</c:v>
                </c:pt>
                <c:pt idx="27">
                  <c:v>544.69106973614998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5-4509-8510-9AFEE08BA44A}"/>
            </c:ext>
          </c:extLst>
        </c:ser>
        <c:ser>
          <c:idx val="0"/>
          <c:order val="1"/>
          <c:tx>
            <c:v>Firm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Results!$D$22:$AH$22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f>Results!$D$30:$AH$30</c:f>
              <c:numCache>
                <c:formatCode>#,##0.00</c:formatCode>
                <c:ptCount val="31"/>
                <c:pt idx="0">
                  <c:v>25.389440745104398</c:v>
                </c:pt>
                <c:pt idx="1">
                  <c:v>37.530299813415596</c:v>
                </c:pt>
                <c:pt idx="2">
                  <c:v>49.671158881726797</c:v>
                </c:pt>
                <c:pt idx="3">
                  <c:v>61.812017950037998</c:v>
                </c:pt>
                <c:pt idx="4">
                  <c:v>67.143963640499592</c:v>
                </c:pt>
                <c:pt idx="5">
                  <c:v>72.475909330961187</c:v>
                </c:pt>
                <c:pt idx="6">
                  <c:v>77.807855021422782</c:v>
                </c:pt>
                <c:pt idx="7">
                  <c:v>83.139800711884376</c:v>
                </c:pt>
                <c:pt idx="8">
                  <c:v>88.471746402346</c:v>
                </c:pt>
                <c:pt idx="9">
                  <c:v>98.112007994063603</c:v>
                </c:pt>
                <c:pt idx="10">
                  <c:v>107.75226958578121</c:v>
                </c:pt>
                <c:pt idx="11">
                  <c:v>117.39253117749881</c:v>
                </c:pt>
                <c:pt idx="12">
                  <c:v>127.03279276921641</c:v>
                </c:pt>
                <c:pt idx="13">
                  <c:v>136.673054360934</c:v>
                </c:pt>
                <c:pt idx="14">
                  <c:v>152.3950284390416</c:v>
                </c:pt>
                <c:pt idx="15">
                  <c:v>168.11700251714919</c:v>
                </c:pt>
                <c:pt idx="16">
                  <c:v>183.83897659525678</c:v>
                </c:pt>
                <c:pt idx="17">
                  <c:v>199.56095067336437</c:v>
                </c:pt>
                <c:pt idx="18">
                  <c:v>215.282924751472</c:v>
                </c:pt>
                <c:pt idx="19">
                  <c:v>238.91711118915001</c:v>
                </c:pt>
                <c:pt idx="20">
                  <c:v>262.55129762682799</c:v>
                </c:pt>
                <c:pt idx="21">
                  <c:v>286.185484064506</c:v>
                </c:pt>
                <c:pt idx="22">
                  <c:v>309.81967050218401</c:v>
                </c:pt>
                <c:pt idx="23">
                  <c:v>333.45385693986202</c:v>
                </c:pt>
                <c:pt idx="24">
                  <c:v>366.77473710987164</c:v>
                </c:pt>
                <c:pt idx="25">
                  <c:v>400.09561727988125</c:v>
                </c:pt>
                <c:pt idx="26">
                  <c:v>433.41649744989087</c:v>
                </c:pt>
                <c:pt idx="27">
                  <c:v>466.73737761990049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25-4509-8510-9AFEE08BA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ysClr val="windowText" lastClr="000000"/>
                </a:solidFill>
              </a:rPr>
              <a:t>Carbon Intensity (Scope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Market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Results!$D$22:$AH$22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f>Results!$D$24:$AH$24</c:f>
              <c:numCache>
                <c:formatCode>#,##0.00</c:formatCode>
                <c:ptCount val="31"/>
                <c:pt idx="0">
                  <c:v>0.58425955923502249</c:v>
                </c:pt>
                <c:pt idx="1">
                  <c:v>0.562620316300392</c:v>
                </c:pt>
                <c:pt idx="2">
                  <c:v>0.54098107336576162</c:v>
                </c:pt>
                <c:pt idx="3">
                  <c:v>0.51934183043113102</c:v>
                </c:pt>
                <c:pt idx="4">
                  <c:v>0.49770258749650059</c:v>
                </c:pt>
                <c:pt idx="5">
                  <c:v>0.47606334456187016</c:v>
                </c:pt>
                <c:pt idx="6">
                  <c:v>0.45442410162723973</c:v>
                </c:pt>
                <c:pt idx="7">
                  <c:v>0.43278485869260924</c:v>
                </c:pt>
                <c:pt idx="8">
                  <c:v>0.41114561575797881</c:v>
                </c:pt>
                <c:pt idx="9">
                  <c:v>0.38950637282334832</c:v>
                </c:pt>
                <c:pt idx="10">
                  <c:v>0.36786712988871784</c:v>
                </c:pt>
                <c:pt idx="11">
                  <c:v>0.3462278869540874</c:v>
                </c:pt>
                <c:pt idx="12">
                  <c:v>0.32458864401945697</c:v>
                </c:pt>
                <c:pt idx="13">
                  <c:v>0.30294940108482649</c:v>
                </c:pt>
                <c:pt idx="14">
                  <c:v>0.281310158150196</c:v>
                </c:pt>
                <c:pt idx="15">
                  <c:v>0.25967091521556551</c:v>
                </c:pt>
                <c:pt idx="16">
                  <c:v>0.23803167228093508</c:v>
                </c:pt>
                <c:pt idx="17">
                  <c:v>0.21639242934630462</c:v>
                </c:pt>
                <c:pt idx="18">
                  <c:v>0.19475318641167416</c:v>
                </c:pt>
                <c:pt idx="19">
                  <c:v>0.1731139434770437</c:v>
                </c:pt>
                <c:pt idx="20">
                  <c:v>0.15147470054241324</c:v>
                </c:pt>
                <c:pt idx="21">
                  <c:v>0.12983545760778276</c:v>
                </c:pt>
                <c:pt idx="22">
                  <c:v>0.10819621467315231</c:v>
                </c:pt>
                <c:pt idx="23">
                  <c:v>8.6556971738521851E-2</c:v>
                </c:pt>
                <c:pt idx="24">
                  <c:v>6.4917728803891378E-2</c:v>
                </c:pt>
                <c:pt idx="25">
                  <c:v>4.3278485869260926E-2</c:v>
                </c:pt>
                <c:pt idx="26">
                  <c:v>2.1639242934630463E-2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8F-4129-9155-B8C6FF3750BF}"/>
            </c:ext>
          </c:extLst>
        </c:ser>
        <c:ser>
          <c:idx val="0"/>
          <c:order val="1"/>
          <c:tx>
            <c:v>Firm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Results!$D$22:$AH$22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f>Results!$D$26:$AH$26</c:f>
              <c:numCache>
                <c:formatCode>#,##0.00</c:formatCode>
                <c:ptCount val="31"/>
                <c:pt idx="0">
                  <c:v>0.58425955923502249</c:v>
                </c:pt>
                <c:pt idx="1">
                  <c:v>0.562620316300392</c:v>
                </c:pt>
                <c:pt idx="2">
                  <c:v>0.54098107336576162</c:v>
                </c:pt>
                <c:pt idx="3">
                  <c:v>0.51934183043113102</c:v>
                </c:pt>
                <c:pt idx="4">
                  <c:v>0.49770258749650059</c:v>
                </c:pt>
                <c:pt idx="5">
                  <c:v>0.47606334456187016</c:v>
                </c:pt>
                <c:pt idx="6">
                  <c:v>0.45442410162723973</c:v>
                </c:pt>
                <c:pt idx="7">
                  <c:v>0.43278485869260924</c:v>
                </c:pt>
                <c:pt idx="8">
                  <c:v>0.41114561575797881</c:v>
                </c:pt>
                <c:pt idx="9">
                  <c:v>0.38950637282334832</c:v>
                </c:pt>
                <c:pt idx="10">
                  <c:v>0.36786712988871784</c:v>
                </c:pt>
                <c:pt idx="11">
                  <c:v>0.3462278869540874</c:v>
                </c:pt>
                <c:pt idx="12">
                  <c:v>0.32458864401945697</c:v>
                </c:pt>
                <c:pt idx="13">
                  <c:v>0.30294940108482649</c:v>
                </c:pt>
                <c:pt idx="14">
                  <c:v>0.281310158150196</c:v>
                </c:pt>
                <c:pt idx="15">
                  <c:v>0.25967091521556551</c:v>
                </c:pt>
                <c:pt idx="16">
                  <c:v>0.23803167228093508</c:v>
                </c:pt>
                <c:pt idx="17">
                  <c:v>0.21639242934630462</c:v>
                </c:pt>
                <c:pt idx="18">
                  <c:v>0.19475318641167416</c:v>
                </c:pt>
                <c:pt idx="19">
                  <c:v>0.1731139434770437</c:v>
                </c:pt>
                <c:pt idx="20">
                  <c:v>0.15147470054241324</c:v>
                </c:pt>
                <c:pt idx="21">
                  <c:v>0.12983545760778276</c:v>
                </c:pt>
                <c:pt idx="22">
                  <c:v>0.10819621467315231</c:v>
                </c:pt>
                <c:pt idx="23">
                  <c:v>8.6556971738521851E-2</c:v>
                </c:pt>
                <c:pt idx="24">
                  <c:v>6.4917728803891378E-2</c:v>
                </c:pt>
                <c:pt idx="25">
                  <c:v>4.3278485869260926E-2</c:v>
                </c:pt>
                <c:pt idx="26">
                  <c:v>2.1639242934630463E-2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8F-4129-9155-B8C6FF375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ysClr val="windowText" lastClr="000000"/>
                </a:solidFill>
              </a:rPr>
              <a:t>Carbon Price</a:t>
            </a:r>
            <a:endParaRPr lang="de-DE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Carbon Price (Firm)</c:v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Results!$D$22:$AH$22</c15:sqref>
                  </c15:fullRef>
                </c:ext>
              </c:extLst>
              <c:f>Results!$D$22:$AF$22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Results!$D$31:$AH$31</c15:sqref>
                  </c15:fullRef>
                </c:ext>
              </c:extLst>
              <c:f>Results!$D$31:$AF$31</c:f>
              <c:numCache>
                <c:formatCode>#,##0.00</c:formatCode>
                <c:ptCount val="29"/>
                <c:pt idx="0">
                  <c:v>25.389440745104398</c:v>
                </c:pt>
                <c:pt idx="1">
                  <c:v>37.530299813415596</c:v>
                </c:pt>
                <c:pt idx="2">
                  <c:v>49.671158881726797</c:v>
                </c:pt>
                <c:pt idx="3">
                  <c:v>61.812017950037998</c:v>
                </c:pt>
                <c:pt idx="4">
                  <c:v>67.143963640499592</c:v>
                </c:pt>
                <c:pt idx="5">
                  <c:v>72.475909330961187</c:v>
                </c:pt>
                <c:pt idx="6">
                  <c:v>77.807855021422782</c:v>
                </c:pt>
                <c:pt idx="7">
                  <c:v>83.139800711884376</c:v>
                </c:pt>
                <c:pt idx="8">
                  <c:v>88.471746402346</c:v>
                </c:pt>
                <c:pt idx="9">
                  <c:v>98.112007994063603</c:v>
                </c:pt>
                <c:pt idx="10">
                  <c:v>107.75226958578121</c:v>
                </c:pt>
                <c:pt idx="11">
                  <c:v>117.39253117749881</c:v>
                </c:pt>
                <c:pt idx="12">
                  <c:v>127.03279276921641</c:v>
                </c:pt>
                <c:pt idx="13">
                  <c:v>136.673054360934</c:v>
                </c:pt>
                <c:pt idx="14">
                  <c:v>152.3950284390416</c:v>
                </c:pt>
                <c:pt idx="15">
                  <c:v>168.11700251714919</c:v>
                </c:pt>
                <c:pt idx="16">
                  <c:v>183.83897659525678</c:v>
                </c:pt>
                <c:pt idx="17">
                  <c:v>199.56095067336437</c:v>
                </c:pt>
                <c:pt idx="18">
                  <c:v>215.282924751472</c:v>
                </c:pt>
                <c:pt idx="19">
                  <c:v>238.91711118915001</c:v>
                </c:pt>
                <c:pt idx="20">
                  <c:v>262.55129762682799</c:v>
                </c:pt>
                <c:pt idx="21">
                  <c:v>286.185484064506</c:v>
                </c:pt>
                <c:pt idx="22">
                  <c:v>309.81967050218401</c:v>
                </c:pt>
                <c:pt idx="23">
                  <c:v>333.45385693986202</c:v>
                </c:pt>
                <c:pt idx="24">
                  <c:v>366.77473710987164</c:v>
                </c:pt>
                <c:pt idx="25">
                  <c:v>400.09561727988125</c:v>
                </c:pt>
                <c:pt idx="26">
                  <c:v>433.41649744989087</c:v>
                </c:pt>
                <c:pt idx="27">
                  <c:v>466.73737761990049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D-4A53-AE8A-4131B00074A8}"/>
            </c:ext>
          </c:extLst>
        </c:ser>
        <c:ser>
          <c:idx val="0"/>
          <c:order val="1"/>
          <c:tx>
            <c:v>Carbon Price (Market)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29"/>
              <c:pt idx="0">
                <c:v>2023</c:v>
              </c:pt>
              <c:pt idx="1">
                <c:v>2024</c:v>
              </c:pt>
              <c:pt idx="2">
                <c:v>2025</c:v>
              </c:pt>
              <c:pt idx="3">
                <c:v>2026</c:v>
              </c:pt>
              <c:pt idx="4">
                <c:v>2027</c:v>
              </c:pt>
              <c:pt idx="5">
                <c:v>2028</c:v>
              </c:pt>
              <c:pt idx="6">
                <c:v>2029</c:v>
              </c:pt>
              <c:pt idx="7">
                <c:v>2030</c:v>
              </c:pt>
              <c:pt idx="8">
                <c:v>2031</c:v>
              </c:pt>
              <c:pt idx="9">
                <c:v>2032</c:v>
              </c:pt>
              <c:pt idx="10">
                <c:v>2033</c:v>
              </c:pt>
              <c:pt idx="11">
                <c:v>2034</c:v>
              </c:pt>
              <c:pt idx="12">
                <c:v>2035</c:v>
              </c:pt>
              <c:pt idx="13">
                <c:v>2036</c:v>
              </c:pt>
              <c:pt idx="14">
                <c:v>2037</c:v>
              </c:pt>
              <c:pt idx="15">
                <c:v>2038</c:v>
              </c:pt>
              <c:pt idx="16">
                <c:v>2039</c:v>
              </c:pt>
              <c:pt idx="17">
                <c:v>2040</c:v>
              </c:pt>
              <c:pt idx="18">
                <c:v>2041</c:v>
              </c:pt>
              <c:pt idx="19">
                <c:v>2042</c:v>
              </c:pt>
              <c:pt idx="20">
                <c:v>2043</c:v>
              </c:pt>
              <c:pt idx="21">
                <c:v>2044</c:v>
              </c:pt>
              <c:pt idx="22">
                <c:v>2045</c:v>
              </c:pt>
              <c:pt idx="23">
                <c:v>2046</c:v>
              </c:pt>
              <c:pt idx="24">
                <c:v>2047</c:v>
              </c:pt>
              <c:pt idx="25">
                <c:v>2048</c:v>
              </c:pt>
              <c:pt idx="26">
                <c:v>2049</c:v>
              </c:pt>
              <c:pt idx="27">
                <c:v>2050</c:v>
              </c:pt>
              <c:pt idx="28">
                <c:v>2050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Results!$D$32:$AH$32</c15:sqref>
                  </c15:fullRef>
                </c:ext>
              </c:extLst>
              <c:f>Results!$D$32:$AF$32</c:f>
              <c:numCache>
                <c:formatCode>#,##0.00</c:formatCode>
                <c:ptCount val="29"/>
                <c:pt idx="0">
                  <c:v>65.469516307497202</c:v>
                </c:pt>
                <c:pt idx="1">
                  <c:v>92.699462609486801</c:v>
                </c:pt>
                <c:pt idx="2">
                  <c:v>119.9294089114764</c:v>
                </c:pt>
                <c:pt idx="3">
                  <c:v>147.159355213466</c:v>
                </c:pt>
                <c:pt idx="4">
                  <c:v>156.13345781564999</c:v>
                </c:pt>
                <c:pt idx="5">
                  <c:v>165.10756041783398</c:v>
                </c:pt>
                <c:pt idx="6">
                  <c:v>174.08166302001797</c:v>
                </c:pt>
                <c:pt idx="7">
                  <c:v>183.05576562220196</c:v>
                </c:pt>
                <c:pt idx="8">
                  <c:v>192.02986822438601</c:v>
                </c:pt>
                <c:pt idx="9">
                  <c:v>205.74762901307679</c:v>
                </c:pt>
                <c:pt idx="10">
                  <c:v>219.46538980176757</c:v>
                </c:pt>
                <c:pt idx="11">
                  <c:v>233.18315059045835</c:v>
                </c:pt>
                <c:pt idx="12">
                  <c:v>246.90091137914914</c:v>
                </c:pt>
                <c:pt idx="13">
                  <c:v>260.61867216783997</c:v>
                </c:pt>
                <c:pt idx="14">
                  <c:v>276.92654087641876</c:v>
                </c:pt>
                <c:pt idx="15">
                  <c:v>293.23440958499754</c:v>
                </c:pt>
                <c:pt idx="16">
                  <c:v>309.54227829357632</c:v>
                </c:pt>
                <c:pt idx="17">
                  <c:v>325.8501470021551</c:v>
                </c:pt>
                <c:pt idx="18">
                  <c:v>342.15801571073399</c:v>
                </c:pt>
                <c:pt idx="19">
                  <c:v>362.56755237622519</c:v>
                </c:pt>
                <c:pt idx="20">
                  <c:v>382.9770890417164</c:v>
                </c:pt>
                <c:pt idx="21">
                  <c:v>403.3866257072076</c:v>
                </c:pt>
                <c:pt idx="22">
                  <c:v>423.7961623726988</c:v>
                </c:pt>
                <c:pt idx="23">
                  <c:v>444.20569903818989</c:v>
                </c:pt>
                <c:pt idx="24">
                  <c:v>469.32704171267989</c:v>
                </c:pt>
                <c:pt idx="25">
                  <c:v>494.44838438716988</c:v>
                </c:pt>
                <c:pt idx="26">
                  <c:v>519.56972706165993</c:v>
                </c:pt>
                <c:pt idx="27">
                  <c:v>544.69106973614998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C7-4EF3-B448-C51275FB3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ysClr val="windowText" lastClr="000000"/>
                </a:solidFill>
              </a:rPr>
              <a:t>P&amp;L - Revenues</a:t>
            </a:r>
            <a:endParaRPr lang="de-DE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Revenues</c:v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Results!$D$105:$AH$105</c15:sqref>
                  </c15:fullRef>
                </c:ext>
              </c:extLst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Results!$D$106:$AH$106</c15:sqref>
                  </c15:fullRef>
                </c:ext>
              </c:extLst>
              <c:f>Results!$D$106:$AF$106</c:f>
              <c:numCache>
                <c:formatCode>#,##0</c:formatCode>
                <c:ptCount val="29"/>
                <c:pt idx="0">
                  <c:v>1382519.1</c:v>
                </c:pt>
                <c:pt idx="1">
                  <c:v>1382357.7350655242</c:v>
                </c:pt>
                <c:pt idx="2">
                  <c:v>1382206.4170533733</c:v>
                </c:pt>
                <c:pt idx="3">
                  <c:v>1382065.5818657679</c:v>
                </c:pt>
                <c:pt idx="4">
                  <c:v>1382033.042089809</c:v>
                </c:pt>
                <c:pt idx="5">
                  <c:v>1382009.130491161</c:v>
                </c:pt>
                <c:pt idx="6">
                  <c:v>1381990.9216716562</c:v>
                </c:pt>
                <c:pt idx="7">
                  <c:v>1381976.9539248112</c:v>
                </c:pt>
                <c:pt idx="8">
                  <c:v>1381966.4968973075</c:v>
                </c:pt>
                <c:pt idx="9">
                  <c:v>1381953.9559490434</c:v>
                </c:pt>
                <c:pt idx="10">
                  <c:v>1381944.641555795</c:v>
                </c:pt>
                <c:pt idx="11">
                  <c:v>1381938.606923539</c:v>
                </c:pt>
                <c:pt idx="12">
                  <c:v>1381935.8784493436</c:v>
                </c:pt>
                <c:pt idx="13">
                  <c:v>1381936.4692433877</c:v>
                </c:pt>
                <c:pt idx="14">
                  <c:v>1381954.32250675</c:v>
                </c:pt>
                <c:pt idx="15">
                  <c:v>1381975.227719476</c:v>
                </c:pt>
                <c:pt idx="16">
                  <c:v>1381998.325823063</c:v>
                </c:pt>
                <c:pt idx="17">
                  <c:v>1382023.187237652</c:v>
                </c:pt>
                <c:pt idx="18">
                  <c:v>1382049.5971734177</c:v>
                </c:pt>
                <c:pt idx="19">
                  <c:v>1382086.8837279622</c:v>
                </c:pt>
                <c:pt idx="20">
                  <c:v>1382125.3017610251</c:v>
                </c:pt>
                <c:pt idx="21">
                  <c:v>1382163.9000308365</c:v>
                </c:pt>
                <c:pt idx="22">
                  <c:v>1382202.2028798414</c:v>
                </c:pt>
                <c:pt idx="23">
                  <c:v>1382239.972507806</c:v>
                </c:pt>
                <c:pt idx="24">
                  <c:v>1382282.645580566</c:v>
                </c:pt>
                <c:pt idx="25">
                  <c:v>1382324.2274035744</c:v>
                </c:pt>
                <c:pt idx="26">
                  <c:v>1382363.4849819259</c:v>
                </c:pt>
                <c:pt idx="27">
                  <c:v>1382399.8018587856</c:v>
                </c:pt>
                <c:pt idx="28">
                  <c:v>1382459.4509293928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B9-466E-BA78-E5AFB55A0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ysClr val="windowText" lastClr="000000"/>
                </a:solidFill>
              </a:rPr>
              <a:t>Cashflows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Retained CF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  <c:extLst/>
            </c:numRef>
          </c:cat>
          <c:val>
            <c:numRef>
              <c:f>Results!$D$115:$AF$115</c:f>
              <c:numCache>
                <c:formatCode>#,##0</c:formatCode>
                <c:ptCount val="29"/>
                <c:pt idx="0">
                  <c:v>252789.90000000002</c:v>
                </c:pt>
                <c:pt idx="1">
                  <c:v>254951.54828619247</c:v>
                </c:pt>
                <c:pt idx="2">
                  <c:v>256987.29324080006</c:v>
                </c:pt>
                <c:pt idx="3">
                  <c:v>258885.78213384349</c:v>
                </c:pt>
                <c:pt idx="4">
                  <c:v>259455.48810381442</c:v>
                </c:pt>
                <c:pt idx="5">
                  <c:v>259904.15991695641</c:v>
                </c:pt>
                <c:pt idx="6">
                  <c:v>260268.94450703636</c:v>
                </c:pt>
                <c:pt idx="7">
                  <c:v>260567.93805034648</c:v>
                </c:pt>
                <c:pt idx="8">
                  <c:v>260810.18049711367</c:v>
                </c:pt>
                <c:pt idx="9">
                  <c:v>261231.79663037675</c:v>
                </c:pt>
                <c:pt idx="10">
                  <c:v>261597.78262557593</c:v>
                </c:pt>
                <c:pt idx="11">
                  <c:v>261899.76810806958</c:v>
                </c:pt>
                <c:pt idx="12">
                  <c:v>262133.6609959302</c:v>
                </c:pt>
                <c:pt idx="13">
                  <c:v>262297.41739558638</c:v>
                </c:pt>
                <c:pt idx="14">
                  <c:v>262469.81302833906</c:v>
                </c:pt>
                <c:pt idx="15">
                  <c:v>262567.76597928291</c:v>
                </c:pt>
                <c:pt idx="16">
                  <c:v>262586.65519907698</c:v>
                </c:pt>
                <c:pt idx="17">
                  <c:v>262524.20271231304</c:v>
                </c:pt>
                <c:pt idx="18">
                  <c:v>262379.27079692716</c:v>
                </c:pt>
                <c:pt idx="19">
                  <c:v>262236.47108000086</c:v>
                </c:pt>
                <c:pt idx="20">
                  <c:v>262005.68800347875</c:v>
                </c:pt>
                <c:pt idx="21">
                  <c:v>261679.56937462918</c:v>
                </c:pt>
                <c:pt idx="22">
                  <c:v>261254.47412197248</c:v>
                </c:pt>
                <c:pt idx="23">
                  <c:v>260728.5839474622</c:v>
                </c:pt>
                <c:pt idx="24">
                  <c:v>260143.90054781613</c:v>
                </c:pt>
                <c:pt idx="25">
                  <c:v>259451.63619324224</c:v>
                </c:pt>
                <c:pt idx="26">
                  <c:v>258643.49586284297</c:v>
                </c:pt>
                <c:pt idx="27">
                  <c:v>257715.350377603</c:v>
                </c:pt>
                <c:pt idx="28">
                  <c:v>255254.25741351233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0-5CE2-4AFD-9B19-206A098F69D2}"/>
            </c:ext>
          </c:extLst>
        </c:ser>
        <c:ser>
          <c:idx val="0"/>
          <c:order val="1"/>
          <c:tx>
            <c:v>Free CF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  <c:extLst/>
            </c:numRef>
          </c:cat>
          <c:val>
            <c:numRef>
              <c:f>Results!$D$116:$AF$116</c:f>
              <c:numCache>
                <c:formatCode>#,##0</c:formatCode>
                <c:ptCount val="29"/>
                <c:pt idx="0">
                  <c:v>73440.299999999988</c:v>
                </c:pt>
                <c:pt idx="1">
                  <c:v>75623.680335200217</c:v>
                </c:pt>
                <c:pt idx="2">
                  <c:v>77678.039687126264</c:v>
                </c:pt>
                <c:pt idx="3">
                  <c:v>79593.833355142386</c:v>
                </c:pt>
                <c:pt idx="4">
                  <c:v>80166.371341866878</c:v>
                </c:pt>
                <c:pt idx="5">
                  <c:v>80617.79789317114</c:v>
                </c:pt>
                <c:pt idx="6">
                  <c:v>80984.668367007311</c:v>
                </c:pt>
                <c:pt idx="7">
                  <c:v>81285.24513360468</c:v>
                </c:pt>
                <c:pt idx="8">
                  <c:v>81528.651721932692</c:v>
                </c:pt>
                <c:pt idx="9">
                  <c:v>81951.758996562246</c:v>
                </c:pt>
                <c:pt idx="10">
                  <c:v>82318.655184326839</c:v>
                </c:pt>
                <c:pt idx="11">
                  <c:v>82621.154513706104</c:v>
                </c:pt>
                <c:pt idx="12">
                  <c:v>82855.168246688379</c:v>
                </c:pt>
                <c:pt idx="13">
                  <c:v>83018.654066846007</c:v>
                </c:pt>
                <c:pt idx="14">
                  <c:v>83188.511544904817</c:v>
                </c:pt>
                <c:pt idx="15">
                  <c:v>83283.508283091855</c:v>
                </c:pt>
                <c:pt idx="16">
                  <c:v>83299.20672511973</c:v>
                </c:pt>
                <c:pt idx="17">
                  <c:v>83233.390545443544</c:v>
                </c:pt>
                <c:pt idx="18">
                  <c:v>83084.952809957467</c:v>
                </c:pt>
                <c:pt idx="19">
                  <c:v>82937.249800479825</c:v>
                </c:pt>
                <c:pt idx="20">
                  <c:v>82701.409330665338</c:v>
                </c:pt>
                <c:pt idx="21">
                  <c:v>82370.280855713732</c:v>
                </c:pt>
                <c:pt idx="22">
                  <c:v>81940.29339101896</c:v>
                </c:pt>
                <c:pt idx="23">
                  <c:v>81409.663638926722</c:v>
                </c:pt>
                <c:pt idx="24">
                  <c:v>80819.662590869091</c:v>
                </c:pt>
                <c:pt idx="25">
                  <c:v>80122.275575194595</c:v>
                </c:pt>
                <c:pt idx="26">
                  <c:v>79309.413440250588</c:v>
                </c:pt>
                <c:pt idx="27">
                  <c:v>78377.036814234365</c:v>
                </c:pt>
                <c:pt idx="28">
                  <c:v>75908.668407117162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5CE2-4AFD-9B19-206A098F69D2}"/>
            </c:ext>
          </c:extLst>
        </c:ser>
        <c:ser>
          <c:idx val="2"/>
          <c:order val="2"/>
          <c:tx>
            <c:v>FFO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  <c:extLst/>
            </c:numRef>
          </c:cat>
          <c:val>
            <c:numRef>
              <c:f>Results!$D$117:$AF$117</c:f>
              <c:numCache>
                <c:formatCode>#,##0</c:formatCode>
                <c:ptCount val="29"/>
                <c:pt idx="0">
                  <c:v>396069.9</c:v>
                </c:pt>
                <c:pt idx="1">
                  <c:v>399424.46662263526</c:v>
                </c:pt>
                <c:pt idx="2">
                  <c:v>402582.67563129804</c:v>
                </c:pt>
                <c:pt idx="3">
                  <c:v>405527.93939386553</c:v>
                </c:pt>
                <c:pt idx="4">
                  <c:v>406411.1854032909</c:v>
                </c:pt>
                <c:pt idx="5">
                  <c:v>407107.2024601422</c:v>
                </c:pt>
                <c:pt idx="6">
                  <c:v>407673.09336639859</c:v>
                </c:pt>
                <c:pt idx="7">
                  <c:v>408136.92385800841</c:v>
                </c:pt>
                <c:pt idx="8">
                  <c:v>408512.71447709313</c:v>
                </c:pt>
                <c:pt idx="9">
                  <c:v>409166.89278355811</c:v>
                </c:pt>
                <c:pt idx="10">
                  <c:v>409734.66033656511</c:v>
                </c:pt>
                <c:pt idx="11">
                  <c:v>410203.13334962662</c:v>
                </c:pt>
                <c:pt idx="12">
                  <c:v>410565.96530854725</c:v>
                </c:pt>
                <c:pt idx="13">
                  <c:v>410819.9862297824</c:v>
                </c:pt>
                <c:pt idx="14">
                  <c:v>411087.44560171175</c:v>
                </c:pt>
                <c:pt idx="15">
                  <c:v>411239.37677856511</c:v>
                </c:pt>
                <c:pt idx="16">
                  <c:v>411268.64597251505</c:v>
                </c:pt>
                <c:pt idx="17">
                  <c:v>411171.72018862999</c:v>
                </c:pt>
                <c:pt idx="18">
                  <c:v>410946.83487313875</c:v>
                </c:pt>
                <c:pt idx="19">
                  <c:v>410725.2955906759</c:v>
                </c:pt>
                <c:pt idx="20">
                  <c:v>410367.217865807</c:v>
                </c:pt>
                <c:pt idx="21">
                  <c:v>409861.23273738474</c:v>
                </c:pt>
                <c:pt idx="22">
                  <c:v>409201.6931132407</c:v>
                </c:pt>
                <c:pt idx="23">
                  <c:v>408385.77889823529</c:v>
                </c:pt>
                <c:pt idx="24">
                  <c:v>407478.67149244342</c:v>
                </c:pt>
                <c:pt idx="25">
                  <c:v>406404.64044928312</c:v>
                </c:pt>
                <c:pt idx="26">
                  <c:v>405150.83506327518</c:v>
                </c:pt>
                <c:pt idx="27">
                  <c:v>403710.85118800355</c:v>
                </c:pt>
                <c:pt idx="28">
                  <c:v>399892.00781871262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2-5CE2-4AFD-9B19-206A098F69D2}"/>
            </c:ext>
          </c:extLst>
        </c:ser>
        <c:ser>
          <c:idx val="3"/>
          <c:order val="3"/>
          <c:tx>
            <c:v>CFO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  <c:extLst/>
            </c:numRef>
          </c:cat>
          <c:val>
            <c:numRef>
              <c:f>Results!$D$118:$AF$118</c:f>
              <c:numCache>
                <c:formatCode>#,##0</c:formatCode>
                <c:ptCount val="29"/>
                <c:pt idx="0">
                  <c:v>396069.9</c:v>
                </c:pt>
                <c:pt idx="1">
                  <c:v>399424.46662263526</c:v>
                </c:pt>
                <c:pt idx="2">
                  <c:v>402582.67563129804</c:v>
                </c:pt>
                <c:pt idx="3">
                  <c:v>405527.93939386553</c:v>
                </c:pt>
                <c:pt idx="4">
                  <c:v>406411.1854032909</c:v>
                </c:pt>
                <c:pt idx="5">
                  <c:v>407107.2024601422</c:v>
                </c:pt>
                <c:pt idx="6">
                  <c:v>407673.09336639859</c:v>
                </c:pt>
                <c:pt idx="7">
                  <c:v>408136.92385800841</c:v>
                </c:pt>
                <c:pt idx="8">
                  <c:v>408512.71447709313</c:v>
                </c:pt>
                <c:pt idx="9">
                  <c:v>409166.89278355811</c:v>
                </c:pt>
                <c:pt idx="10">
                  <c:v>409734.66033656511</c:v>
                </c:pt>
                <c:pt idx="11">
                  <c:v>410203.13334962662</c:v>
                </c:pt>
                <c:pt idx="12">
                  <c:v>410565.96530854725</c:v>
                </c:pt>
                <c:pt idx="13">
                  <c:v>410819.9862297824</c:v>
                </c:pt>
                <c:pt idx="14">
                  <c:v>411087.44560171175</c:v>
                </c:pt>
                <c:pt idx="15">
                  <c:v>411239.37677856511</c:v>
                </c:pt>
                <c:pt idx="16">
                  <c:v>411268.64597251505</c:v>
                </c:pt>
                <c:pt idx="17">
                  <c:v>411171.72018862999</c:v>
                </c:pt>
                <c:pt idx="18">
                  <c:v>410946.83487313875</c:v>
                </c:pt>
                <c:pt idx="19">
                  <c:v>410725.2955906759</c:v>
                </c:pt>
                <c:pt idx="20">
                  <c:v>410367.217865807</c:v>
                </c:pt>
                <c:pt idx="21">
                  <c:v>409861.23273738474</c:v>
                </c:pt>
                <c:pt idx="22">
                  <c:v>409201.6931132407</c:v>
                </c:pt>
                <c:pt idx="23">
                  <c:v>408385.77889823529</c:v>
                </c:pt>
                <c:pt idx="24">
                  <c:v>407478.67149244342</c:v>
                </c:pt>
                <c:pt idx="25">
                  <c:v>406404.64044928312</c:v>
                </c:pt>
                <c:pt idx="26">
                  <c:v>405150.83506327518</c:v>
                </c:pt>
                <c:pt idx="27">
                  <c:v>403710.85118800355</c:v>
                </c:pt>
                <c:pt idx="28">
                  <c:v>399892.00781871262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3-5CE2-4AFD-9B19-206A098F69D2}"/>
            </c:ext>
          </c:extLst>
        </c:ser>
        <c:ser>
          <c:idx val="4"/>
          <c:order val="4"/>
          <c:tx>
            <c:v>Free OCF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Results!#REF!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CE2-4AFD-9B19-206A098F69D2}"/>
            </c:ext>
          </c:extLst>
        </c:ser>
        <c:ser>
          <c:idx val="5"/>
          <c:order val="5"/>
          <c:tx>
            <c:v>Disc CF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Results!#REF!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CE2-4AFD-9B19-206A098F6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  <c:extLst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ysClr val="windowText" lastClr="000000"/>
                </a:solidFill>
              </a:rPr>
              <a:t>P&amp;L -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EBITDA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Results!$D$105:$AH$105</c15:sqref>
                  </c15:fullRef>
                </c:ext>
              </c:extLst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Results!$D$107:$AH$107</c15:sqref>
                  </c15:fullRef>
                </c:ext>
              </c:extLst>
              <c:f>Results!$D$107:$AF$107</c:f>
              <c:numCache>
                <c:formatCode>#,##0</c:formatCode>
                <c:ptCount val="29"/>
                <c:pt idx="0">
                  <c:v>402913</c:v>
                </c:pt>
                <c:pt idx="1">
                  <c:v>406267.56662263523</c:v>
                </c:pt>
                <c:pt idx="2">
                  <c:v>409424.01106297254</c:v>
                </c:pt>
                <c:pt idx="3">
                  <c:v>412367.61242397584</c:v>
                </c:pt>
                <c:pt idx="4">
                  <c:v>413249.30811016168</c:v>
                </c:pt>
                <c:pt idx="5">
                  <c:v>413944.85957707016</c:v>
                </c:pt>
                <c:pt idx="6">
                  <c:v>414510.38406876195</c:v>
                </c:pt>
                <c:pt idx="7">
                  <c:v>414973.91665775049</c:v>
                </c:pt>
                <c:pt idx="8">
                  <c:v>415349.46310354176</c:v>
                </c:pt>
                <c:pt idx="9">
                  <c:v>416003.44358156592</c:v>
                </c:pt>
                <c:pt idx="10">
                  <c:v>416570.86689815595</c:v>
                </c:pt>
                <c:pt idx="11">
                  <c:v>417039.04103553511</c:v>
                </c:pt>
                <c:pt idx="12">
                  <c:v>417401.62637848599</c:v>
                </c:pt>
                <c:pt idx="13">
                  <c:v>417655.45628623955</c:v>
                </c:pt>
                <c:pt idx="14">
                  <c:v>417922.78191677341</c:v>
                </c:pt>
                <c:pt idx="15">
                  <c:v>418074.57231973193</c:v>
                </c:pt>
                <c:pt idx="16">
                  <c:v>418103.76150543179</c:v>
                </c:pt>
                <c:pt idx="17">
                  <c:v>418006.8202745344</c:v>
                </c:pt>
                <c:pt idx="18">
                  <c:v>417781.98593410547</c:v>
                </c:pt>
                <c:pt idx="19">
                  <c:v>417560.56497815205</c:v>
                </c:pt>
                <c:pt idx="20">
                  <c:v>417202.60386250884</c:v>
                </c:pt>
                <c:pt idx="21">
                  <c:v>416696.80716413964</c:v>
                </c:pt>
                <c:pt idx="22">
                  <c:v>416037.53381790099</c:v>
                </c:pt>
                <c:pt idx="23">
                  <c:v>415221.96670296509</c:v>
                </c:pt>
                <c:pt idx="24">
                  <c:v>414315.28870472236</c:v>
                </c:pt>
                <c:pt idx="25">
                  <c:v>413241.73509083048</c:v>
                </c:pt>
                <c:pt idx="26">
                  <c:v>411988.4949697358</c:v>
                </c:pt>
                <c:pt idx="27">
                  <c:v>410549.17098004551</c:v>
                </c:pt>
                <c:pt idx="28">
                  <c:v>406731.08549002279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A-41D1-B610-370D105F1F0E}"/>
            </c:ext>
          </c:extLst>
        </c:ser>
        <c:ser>
          <c:idx val="0"/>
          <c:order val="1"/>
          <c:tx>
            <c:v>EBITA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Results!$D$105:$AH$105</c15:sqref>
                  </c15:fullRef>
                </c:ext>
              </c:extLst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Results!$D$109:$AH$109</c15:sqref>
                  </c15:fullRef>
                </c:ext>
              </c:extLst>
              <c:f>Results!$D$109:$AF$109</c:f>
              <c:numCache>
                <c:formatCode>#,##0</c:formatCode>
                <c:ptCount val="29"/>
                <c:pt idx="0">
                  <c:v>402483.6</c:v>
                </c:pt>
                <c:pt idx="1">
                  <c:v>405838.16662263521</c:v>
                </c:pt>
                <c:pt idx="2">
                  <c:v>408994.61106297252</c:v>
                </c:pt>
                <c:pt idx="3">
                  <c:v>411938.21242397581</c:v>
                </c:pt>
                <c:pt idx="4">
                  <c:v>412819.90811016166</c:v>
                </c:pt>
                <c:pt idx="5">
                  <c:v>413515.45957707014</c:v>
                </c:pt>
                <c:pt idx="6">
                  <c:v>414080.98406876193</c:v>
                </c:pt>
                <c:pt idx="7">
                  <c:v>414544.51665775047</c:v>
                </c:pt>
                <c:pt idx="8">
                  <c:v>414920.06310354173</c:v>
                </c:pt>
                <c:pt idx="9">
                  <c:v>415574.0435815659</c:v>
                </c:pt>
                <c:pt idx="10">
                  <c:v>416141.46689815592</c:v>
                </c:pt>
                <c:pt idx="11">
                  <c:v>416609.64103553508</c:v>
                </c:pt>
                <c:pt idx="12">
                  <c:v>416972.22637848597</c:v>
                </c:pt>
                <c:pt idx="13">
                  <c:v>417226.05628623953</c:v>
                </c:pt>
                <c:pt idx="14">
                  <c:v>417493.38191677339</c:v>
                </c:pt>
                <c:pt idx="15">
                  <c:v>417645.17231973191</c:v>
                </c:pt>
                <c:pt idx="16">
                  <c:v>417674.36150543176</c:v>
                </c:pt>
                <c:pt idx="17">
                  <c:v>417577.42027453438</c:v>
                </c:pt>
                <c:pt idx="18">
                  <c:v>417352.58593410545</c:v>
                </c:pt>
                <c:pt idx="19">
                  <c:v>417131.16497815202</c:v>
                </c:pt>
                <c:pt idx="20">
                  <c:v>416773.20386250882</c:v>
                </c:pt>
                <c:pt idx="21">
                  <c:v>416267.40716413961</c:v>
                </c:pt>
                <c:pt idx="22">
                  <c:v>415608.13381790096</c:v>
                </c:pt>
                <c:pt idx="23">
                  <c:v>414792.56670296506</c:v>
                </c:pt>
                <c:pt idx="24">
                  <c:v>413885.88870472234</c:v>
                </c:pt>
                <c:pt idx="25">
                  <c:v>412812.33509083046</c:v>
                </c:pt>
                <c:pt idx="26">
                  <c:v>411559.09496973577</c:v>
                </c:pt>
                <c:pt idx="27">
                  <c:v>410119.77098004549</c:v>
                </c:pt>
                <c:pt idx="28">
                  <c:v>406301.68549002276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BA-41D1-B610-370D105F1F0E}"/>
            </c:ext>
          </c:extLst>
        </c:ser>
        <c:ser>
          <c:idx val="2"/>
          <c:order val="2"/>
          <c:tx>
            <c:v>EBIT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Results!$D$105:$AH$105</c15:sqref>
                  </c15:fullRef>
                </c:ext>
              </c:extLst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Results!$D$111:$AH$111</c15:sqref>
                  </c15:fullRef>
                </c:ext>
              </c:extLst>
              <c:f>Results!$D$111:$AF$111</c:f>
              <c:numCache>
                <c:formatCode>#,##0</c:formatCode>
                <c:ptCount val="29"/>
                <c:pt idx="0">
                  <c:v>356160.3</c:v>
                </c:pt>
                <c:pt idx="1">
                  <c:v>359514.86662263522</c:v>
                </c:pt>
                <c:pt idx="2">
                  <c:v>362671.31106297253</c:v>
                </c:pt>
                <c:pt idx="3">
                  <c:v>365614.91242397582</c:v>
                </c:pt>
                <c:pt idx="4">
                  <c:v>366496.60811016167</c:v>
                </c:pt>
                <c:pt idx="5">
                  <c:v>367192.15957707015</c:v>
                </c:pt>
                <c:pt idx="6">
                  <c:v>367757.68406876194</c:v>
                </c:pt>
                <c:pt idx="7">
                  <c:v>368221.21665775048</c:v>
                </c:pt>
                <c:pt idx="8">
                  <c:v>368596.76310354174</c:v>
                </c:pt>
                <c:pt idx="9">
                  <c:v>369250.74358156591</c:v>
                </c:pt>
                <c:pt idx="10">
                  <c:v>369818.16689815593</c:v>
                </c:pt>
                <c:pt idx="11">
                  <c:v>370286.34103553509</c:v>
                </c:pt>
                <c:pt idx="12">
                  <c:v>370648.92637848598</c:v>
                </c:pt>
                <c:pt idx="13">
                  <c:v>370902.75628623954</c:v>
                </c:pt>
                <c:pt idx="14">
                  <c:v>371170.0819167734</c:v>
                </c:pt>
                <c:pt idx="15">
                  <c:v>371321.87231973192</c:v>
                </c:pt>
                <c:pt idx="16">
                  <c:v>371351.06150543178</c:v>
                </c:pt>
                <c:pt idx="17">
                  <c:v>371254.12027453439</c:v>
                </c:pt>
                <c:pt idx="18">
                  <c:v>371029.28593410546</c:v>
                </c:pt>
                <c:pt idx="19">
                  <c:v>370807.86497815204</c:v>
                </c:pt>
                <c:pt idx="20">
                  <c:v>370449.90386250883</c:v>
                </c:pt>
                <c:pt idx="21">
                  <c:v>369944.10716413963</c:v>
                </c:pt>
                <c:pt idx="22">
                  <c:v>369284.83381790097</c:v>
                </c:pt>
                <c:pt idx="23">
                  <c:v>368469.26670296508</c:v>
                </c:pt>
                <c:pt idx="24">
                  <c:v>367562.58870472235</c:v>
                </c:pt>
                <c:pt idx="25">
                  <c:v>366489.03509083047</c:v>
                </c:pt>
                <c:pt idx="26">
                  <c:v>365235.79496973578</c:v>
                </c:pt>
                <c:pt idx="27">
                  <c:v>363796.4709800455</c:v>
                </c:pt>
                <c:pt idx="28">
                  <c:v>359978.38549002277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BA-41D1-B610-370D105F1F0E}"/>
            </c:ext>
          </c:extLst>
        </c:ser>
        <c:ser>
          <c:idx val="3"/>
          <c:order val="3"/>
          <c:tx>
            <c:v>Net Income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Results!$D$105:$AH$105</c15:sqref>
                  </c15:fullRef>
                </c:ext>
              </c:extLst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Results!$D$113:$AH$113</c15:sqref>
                  </c15:fullRef>
                </c:ext>
              </c:extLst>
              <c:f>Results!$D$113:$AF$113</c:f>
              <c:numCache>
                <c:formatCode>#,##0</c:formatCode>
                <c:ptCount val="29"/>
                <c:pt idx="0">
                  <c:v>227056.18000000002</c:v>
                </c:pt>
                <c:pt idx="1">
                  <c:v>229236.64830471293</c:v>
                </c:pt>
                <c:pt idx="2">
                  <c:v>231289.48416034374</c:v>
                </c:pt>
                <c:pt idx="3">
                  <c:v>233203.90560601259</c:v>
                </c:pt>
                <c:pt idx="4">
                  <c:v>233778.0155121391</c:v>
                </c:pt>
                <c:pt idx="5">
                  <c:v>234230.42659909243</c:v>
                </c:pt>
                <c:pt idx="6">
                  <c:v>234598.25568815909</c:v>
                </c:pt>
                <c:pt idx="7">
                  <c:v>234899.74550770546</c:v>
                </c:pt>
                <c:pt idx="8">
                  <c:v>235144.00941011054</c:v>
                </c:pt>
                <c:pt idx="9">
                  <c:v>235569.22530931272</c:v>
                </c:pt>
                <c:pt idx="10">
                  <c:v>235938.27421876733</c:v>
                </c:pt>
                <c:pt idx="11">
                  <c:v>236242.7816772573</c:v>
                </c:pt>
                <c:pt idx="12">
                  <c:v>236478.6224505557</c:v>
                </c:pt>
                <c:pt idx="13">
                  <c:v>236643.73604935856</c:v>
                </c:pt>
                <c:pt idx="14">
                  <c:v>236817.58464111263</c:v>
                </c:pt>
                <c:pt idx="15">
                  <c:v>236916.33990606733</c:v>
                </c:pt>
                <c:pt idx="16">
                  <c:v>236935.36488213477</c:v>
                </c:pt>
                <c:pt idx="17">
                  <c:v>236872.3631226095</c:v>
                </c:pt>
                <c:pt idx="18">
                  <c:v>236726.18766754019</c:v>
                </c:pt>
                <c:pt idx="19">
                  <c:v>236582.18713393933</c:v>
                </c:pt>
                <c:pt idx="20">
                  <c:v>236349.43661277456</c:v>
                </c:pt>
                <c:pt idx="21">
                  <c:v>236020.54627930009</c:v>
                </c:pt>
                <c:pt idx="22">
                  <c:v>235591.84552360646</c:v>
                </c:pt>
                <c:pt idx="23">
                  <c:v>235061.50128385294</c:v>
                </c:pt>
                <c:pt idx="24">
                  <c:v>234471.88147008824</c:v>
                </c:pt>
                <c:pt idx="25">
                  <c:v>233773.76129203403</c:v>
                </c:pt>
                <c:pt idx="26">
                  <c:v>232958.78779112888</c:v>
                </c:pt>
                <c:pt idx="27">
                  <c:v>232022.79827220232</c:v>
                </c:pt>
                <c:pt idx="28">
                  <c:v>229540.55008216322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BA-41D1-B610-370D105F1F0E}"/>
            </c:ext>
          </c:extLst>
        </c:ser>
        <c:ser>
          <c:idx val="4"/>
          <c:order val="4"/>
          <c:tx>
            <c:v>Interest Expenses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Lit>
              <c:ptCount val="29"/>
              <c:pt idx="0">
                <c:v>2023</c:v>
              </c:pt>
              <c:pt idx="1">
                <c:v>2024</c:v>
              </c:pt>
              <c:pt idx="2">
                <c:v>2025</c:v>
              </c:pt>
              <c:pt idx="3">
                <c:v>2026</c:v>
              </c:pt>
              <c:pt idx="4">
                <c:v>2027</c:v>
              </c:pt>
              <c:pt idx="5">
                <c:v>2028</c:v>
              </c:pt>
              <c:pt idx="6">
                <c:v>2029</c:v>
              </c:pt>
              <c:pt idx="7">
                <c:v>2030</c:v>
              </c:pt>
              <c:pt idx="8">
                <c:v>2031</c:v>
              </c:pt>
              <c:pt idx="9">
                <c:v>2032</c:v>
              </c:pt>
              <c:pt idx="10">
                <c:v>2033</c:v>
              </c:pt>
              <c:pt idx="11">
                <c:v>2034</c:v>
              </c:pt>
              <c:pt idx="12">
                <c:v>2035</c:v>
              </c:pt>
              <c:pt idx="13">
                <c:v>2036</c:v>
              </c:pt>
              <c:pt idx="14">
                <c:v>2037</c:v>
              </c:pt>
              <c:pt idx="15">
                <c:v>2038</c:v>
              </c:pt>
              <c:pt idx="16">
                <c:v>2039</c:v>
              </c:pt>
              <c:pt idx="17">
                <c:v>2040</c:v>
              </c:pt>
              <c:pt idx="18">
                <c:v>2041</c:v>
              </c:pt>
              <c:pt idx="19">
                <c:v>2042</c:v>
              </c:pt>
              <c:pt idx="20">
                <c:v>2043</c:v>
              </c:pt>
              <c:pt idx="21">
                <c:v>2044</c:v>
              </c:pt>
              <c:pt idx="22">
                <c:v>2045</c:v>
              </c:pt>
              <c:pt idx="23">
                <c:v>2046</c:v>
              </c:pt>
              <c:pt idx="24">
                <c:v>2047</c:v>
              </c:pt>
              <c:pt idx="25">
                <c:v>2048</c:v>
              </c:pt>
              <c:pt idx="26">
                <c:v>2049</c:v>
              </c:pt>
              <c:pt idx="27">
                <c:v>2050</c:v>
              </c:pt>
              <c:pt idx="28">
                <c:v>2050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Results!$D$112:$AH$112</c15:sqref>
                  </c15:fullRef>
                </c:ext>
              </c:extLst>
              <c:f>Results!$D$112:$AF$112</c:f>
              <c:numCache>
                <c:formatCode>#,##0</c:formatCode>
                <c:ptCount val="29"/>
                <c:pt idx="0">
                  <c:v>6843.0999999999995</c:v>
                </c:pt>
                <c:pt idx="1">
                  <c:v>6843.1</c:v>
                </c:pt>
                <c:pt idx="2">
                  <c:v>6841.3354316745153</c:v>
                </c:pt>
                <c:pt idx="3">
                  <c:v>6839.673030110308</c:v>
                </c:pt>
                <c:pt idx="4">
                  <c:v>6838.1227068708049</c:v>
                </c:pt>
                <c:pt idx="5">
                  <c:v>6837.6571169279378</c:v>
                </c:pt>
                <c:pt idx="6">
                  <c:v>6837.2907023633552</c:v>
                </c:pt>
                <c:pt idx="7">
                  <c:v>6836.99279974209</c:v>
                </c:pt>
                <c:pt idx="8">
                  <c:v>6836.7486264486497</c:v>
                </c:pt>
                <c:pt idx="9">
                  <c:v>6836.5507980078401</c:v>
                </c:pt>
                <c:pt idx="10">
                  <c:v>6836.2065615908386</c:v>
                </c:pt>
                <c:pt idx="11">
                  <c:v>6835.9076859085071</c:v>
                </c:pt>
                <c:pt idx="12">
                  <c:v>6835.6610699387611</c:v>
                </c:pt>
                <c:pt idx="13">
                  <c:v>6835.4700564571449</c:v>
                </c:pt>
                <c:pt idx="14">
                  <c:v>6835.336315061666</c:v>
                </c:pt>
                <c:pt idx="15">
                  <c:v>6835.1955411668223</c:v>
                </c:pt>
                <c:pt idx="16">
                  <c:v>6835.1155329167623</c:v>
                </c:pt>
                <c:pt idx="17">
                  <c:v>6835.1000859044216</c:v>
                </c:pt>
                <c:pt idx="18">
                  <c:v>6835.1510609666975</c:v>
                </c:pt>
                <c:pt idx="19">
                  <c:v>6835.2693874761326</c:v>
                </c:pt>
                <c:pt idx="20">
                  <c:v>6835.3859967018288</c:v>
                </c:pt>
                <c:pt idx="21">
                  <c:v>6835.5744267548789</c:v>
                </c:pt>
                <c:pt idx="22">
                  <c:v>6835.8407046602961</c:v>
                </c:pt>
                <c:pt idx="23">
                  <c:v>6836.1878047297678</c:v>
                </c:pt>
                <c:pt idx="24">
                  <c:v>6836.6172122789658</c:v>
                </c:pt>
                <c:pt idx="25">
                  <c:v>6837.0946415473327</c:v>
                </c:pt>
                <c:pt idx="26">
                  <c:v>6837.6599064606098</c:v>
                </c:pt>
                <c:pt idx="27">
                  <c:v>6838.3197920419398</c:v>
                </c:pt>
                <c:pt idx="28">
                  <c:v>6839.0776713101432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5-4F48-8658-5F67253A5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ysClr val="windowText" lastClr="000000"/>
                </a:solidFill>
              </a:rPr>
              <a:t>Balance Sheet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Equity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Results!$D$105:$AH$105</c15:sqref>
                  </c15:fullRef>
                </c:ext>
              </c:extLst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Results!$D$121:$AH$121</c15:sqref>
                  </c15:fullRef>
                </c:ext>
              </c:extLst>
              <c:f>Results!$D$121:$AF$121</c:f>
              <c:numCache>
                <c:formatCode>#,##0</c:formatCode>
                <c:ptCount val="29"/>
                <c:pt idx="0">
                  <c:v>580155.69999999995</c:v>
                </c:pt>
                <c:pt idx="1">
                  <c:v>581143.24996827007</c:v>
                </c:pt>
                <c:pt idx="2">
                  <c:v>582073.62176984572</c:v>
                </c:pt>
                <c:pt idx="3">
                  <c:v>582941.26834599045</c:v>
                </c:pt>
                <c:pt idx="4">
                  <c:v>583201.83821266249</c:v>
                </c:pt>
                <c:pt idx="5">
                  <c:v>583406.90405590658</c:v>
                </c:pt>
                <c:pt idx="6">
                  <c:v>583573.6268287967</c:v>
                </c:pt>
                <c:pt idx="7">
                  <c:v>583710.27970004349</c:v>
                </c:pt>
                <c:pt idx="8">
                  <c:v>583820.99543013098</c:v>
                </c:pt>
                <c:pt idx="9">
                  <c:v>584013.6491561312</c:v>
                </c:pt>
                <c:pt idx="10">
                  <c:v>584180.91650777799</c:v>
                </c:pt>
                <c:pt idx="11">
                  <c:v>584318.93643570016</c:v>
                </c:pt>
                <c:pt idx="12">
                  <c:v>584425.83813793852</c:v>
                </c:pt>
                <c:pt idx="13">
                  <c:v>584500.68721516244</c:v>
                </c:pt>
                <c:pt idx="14">
                  <c:v>584579.47206773981</c:v>
                </c:pt>
                <c:pt idx="15">
                  <c:v>584624.24910678505</c:v>
                </c:pt>
                <c:pt idx="16">
                  <c:v>584632.89410869661</c:v>
                </c:pt>
                <c:pt idx="17">
                  <c:v>584604.36564629246</c:v>
                </c:pt>
                <c:pt idx="18">
                  <c:v>584538.14359132852</c:v>
                </c:pt>
                <c:pt idx="19">
                  <c:v>584472.88262326422</c:v>
                </c:pt>
                <c:pt idx="20">
                  <c:v>584367.4267504462</c:v>
                </c:pt>
                <c:pt idx="21">
                  <c:v>584218.40291654447</c:v>
                </c:pt>
                <c:pt idx="22">
                  <c:v>584024.14653233823</c:v>
                </c:pt>
                <c:pt idx="23">
                  <c:v>583783.82633307972</c:v>
                </c:pt>
                <c:pt idx="24">
                  <c:v>583516.63052546093</c:v>
                </c:pt>
                <c:pt idx="25">
                  <c:v>583200.27703599306</c:v>
                </c:pt>
                <c:pt idx="26">
                  <c:v>582830.96859069658</c:v>
                </c:pt>
                <c:pt idx="27">
                  <c:v>582406.81746180158</c:v>
                </c:pt>
                <c:pt idx="28">
                  <c:v>581282.3196769628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A5-47B1-A8C3-B37143C34509}"/>
            </c:ext>
          </c:extLst>
        </c:ser>
        <c:ser>
          <c:idx val="0"/>
          <c:order val="1"/>
          <c:tx>
            <c:v>Total Assets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Results!$D$105:$AH$105</c15:sqref>
                  </c15:fullRef>
                </c:ext>
              </c:extLst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Results!$D$122:$AH$122</c15:sqref>
                  </c15:fullRef>
                </c:ext>
              </c:extLst>
              <c:f>Results!$D$122:$AF$122</c:f>
              <c:numCache>
                <c:formatCode>#,##0</c:formatCode>
                <c:ptCount val="29"/>
                <c:pt idx="0">
                  <c:v>2112066.5</c:v>
                </c:pt>
                <c:pt idx="1">
                  <c:v>2112659.0299809622</c:v>
                </c:pt>
                <c:pt idx="2">
                  <c:v>2113217.2530619074</c:v>
                </c:pt>
                <c:pt idx="3">
                  <c:v>2113737.8410075945</c:v>
                </c:pt>
                <c:pt idx="4">
                  <c:v>2113894.1829275973</c:v>
                </c:pt>
                <c:pt idx="5">
                  <c:v>2114017.2224335438</c:v>
                </c:pt>
                <c:pt idx="6">
                  <c:v>2114117.2560972781</c:v>
                </c:pt>
                <c:pt idx="7">
                  <c:v>2114199.2478200262</c:v>
                </c:pt>
                <c:pt idx="8">
                  <c:v>2114265.6772580785</c:v>
                </c:pt>
                <c:pt idx="9">
                  <c:v>2114381.2694936786</c:v>
                </c:pt>
                <c:pt idx="10">
                  <c:v>2114481.6299046669</c:v>
                </c:pt>
                <c:pt idx="11">
                  <c:v>2114564.4418614199</c:v>
                </c:pt>
                <c:pt idx="12">
                  <c:v>2114628.5828827634</c:v>
                </c:pt>
                <c:pt idx="13">
                  <c:v>2114673.4923290974</c:v>
                </c:pt>
                <c:pt idx="14">
                  <c:v>2114720.7632406438</c:v>
                </c:pt>
                <c:pt idx="15">
                  <c:v>2114747.6294640712</c:v>
                </c:pt>
                <c:pt idx="16">
                  <c:v>2114752.8164652181</c:v>
                </c:pt>
                <c:pt idx="17">
                  <c:v>2114735.6993877757</c:v>
                </c:pt>
                <c:pt idx="18">
                  <c:v>2114695.966154797</c:v>
                </c:pt>
                <c:pt idx="19">
                  <c:v>2114656.8095739586</c:v>
                </c:pt>
                <c:pt idx="20">
                  <c:v>2114593.5360502675</c:v>
                </c:pt>
                <c:pt idx="21">
                  <c:v>2114504.1217499268</c:v>
                </c:pt>
                <c:pt idx="22">
                  <c:v>2114387.5679194028</c:v>
                </c:pt>
                <c:pt idx="23">
                  <c:v>2114243.3757998478</c:v>
                </c:pt>
                <c:pt idx="24">
                  <c:v>2114083.0583152766</c:v>
                </c:pt>
                <c:pt idx="25">
                  <c:v>2113893.2462215959</c:v>
                </c:pt>
                <c:pt idx="26">
                  <c:v>2113671.6611544178</c:v>
                </c:pt>
                <c:pt idx="27">
                  <c:v>2113417.1704770811</c:v>
                </c:pt>
                <c:pt idx="28">
                  <c:v>2112742.4718061779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A5-47B1-A8C3-B37143C34509}"/>
            </c:ext>
          </c:extLst>
        </c:ser>
        <c:ser>
          <c:idx val="2"/>
          <c:order val="2"/>
          <c:tx>
            <c:v>Total Debt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Results!$D$105:$AH$105</c15:sqref>
                  </c15:fullRef>
                </c:ext>
              </c:extLst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Results!$D$123:$AH$123</c15:sqref>
                  </c15:fullRef>
                </c:ext>
              </c:extLst>
              <c:f>Results!$D$123:$AF$123</c:f>
              <c:numCache>
                <c:formatCode>#,##0</c:formatCode>
                <c:ptCount val="29"/>
                <c:pt idx="0">
                  <c:v>1531910.8</c:v>
                </c:pt>
                <c:pt idx="1">
                  <c:v>1531515.7800126921</c:v>
                </c:pt>
                <c:pt idx="2">
                  <c:v>1531143.6312920616</c:v>
                </c:pt>
                <c:pt idx="3">
                  <c:v>1530796.5726616038</c:v>
                </c:pt>
                <c:pt idx="4">
                  <c:v>1530692.3447149349</c:v>
                </c:pt>
                <c:pt idx="5">
                  <c:v>1530610.3183776373</c:v>
                </c:pt>
                <c:pt idx="6">
                  <c:v>1530543.6292684814</c:v>
                </c:pt>
                <c:pt idx="7">
                  <c:v>1530488.9681199826</c:v>
                </c:pt>
                <c:pt idx="8">
                  <c:v>1530444.6818279477</c:v>
                </c:pt>
                <c:pt idx="9">
                  <c:v>1530367.6203375475</c:v>
                </c:pt>
                <c:pt idx="10">
                  <c:v>1530300.7133968889</c:v>
                </c:pt>
                <c:pt idx="11">
                  <c:v>1530245.50542572</c:v>
                </c:pt>
                <c:pt idx="12">
                  <c:v>1530202.7447448247</c:v>
                </c:pt>
                <c:pt idx="13">
                  <c:v>1530172.8051139351</c:v>
                </c:pt>
                <c:pt idx="14">
                  <c:v>1530141.2911729042</c:v>
                </c:pt>
                <c:pt idx="15">
                  <c:v>1530123.380357286</c:v>
                </c:pt>
                <c:pt idx="16">
                  <c:v>1530119.9223565215</c:v>
                </c:pt>
                <c:pt idx="17">
                  <c:v>1530131.333741483</c:v>
                </c:pt>
                <c:pt idx="18">
                  <c:v>1530157.8225634687</c:v>
                </c:pt>
                <c:pt idx="19">
                  <c:v>1530183.9269506943</c:v>
                </c:pt>
                <c:pt idx="20">
                  <c:v>1530226.1092998215</c:v>
                </c:pt>
                <c:pt idx="21">
                  <c:v>1530285.7188333822</c:v>
                </c:pt>
                <c:pt idx="22">
                  <c:v>1530363.4213870647</c:v>
                </c:pt>
                <c:pt idx="23">
                  <c:v>1530459.549466768</c:v>
                </c:pt>
                <c:pt idx="24">
                  <c:v>1530566.4277898157</c:v>
                </c:pt>
                <c:pt idx="25">
                  <c:v>1530692.9691856029</c:v>
                </c:pt>
                <c:pt idx="26">
                  <c:v>1530840.6925637214</c:v>
                </c:pt>
                <c:pt idx="27">
                  <c:v>1531010.3530152794</c:v>
                </c:pt>
                <c:pt idx="28">
                  <c:v>1531460.152129215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A5-47B1-A8C3-B37143C34509}"/>
            </c:ext>
          </c:extLst>
        </c:ser>
        <c:ser>
          <c:idx val="3"/>
          <c:order val="3"/>
          <c:tx>
            <c:v>Net Debt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Results!$D$105:$AH$105</c15:sqref>
                  </c15:fullRef>
                </c:ext>
              </c:extLst>
              <c:f>Results!$D$105:$AF$105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Results!$D$126:$AH$126</c15:sqref>
                  </c15:fullRef>
                </c:ext>
              </c:extLst>
              <c:f>Results!$D$126:$AF$126</c:f>
              <c:numCache>
                <c:formatCode>#,##0</c:formatCode>
                <c:ptCount val="29"/>
                <c:pt idx="0">
                  <c:v>1520512.9000000001</c:v>
                </c:pt>
                <c:pt idx="1">
                  <c:v>1520114.6823873001</c:v>
                </c:pt>
                <c:pt idx="2">
                  <c:v>1519739.521180626</c:v>
                </c:pt>
                <c:pt idx="3">
                  <c:v>1519389.6531645043</c:v>
                </c:pt>
                <c:pt idx="4">
                  <c:v>1519284.5815088092</c:v>
                </c:pt>
                <c:pt idx="5">
                  <c:v>1519201.891181062</c:v>
                </c:pt>
                <c:pt idx="6">
                  <c:v>1519134.6622339343</c:v>
                </c:pt>
                <c:pt idx="7">
                  <c:v>1519079.5586119355</c:v>
                </c:pt>
                <c:pt idx="8">
                  <c:v>1519034.913829251</c:v>
                </c:pt>
                <c:pt idx="9">
                  <c:v>1518957.2285380648</c:v>
                </c:pt>
                <c:pt idx="10">
                  <c:v>1518889.7799961222</c:v>
                </c:pt>
                <c:pt idx="11">
                  <c:v>1518834.1251250086</c:v>
                </c:pt>
                <c:pt idx="12">
                  <c:v>1518791.0183030488</c:v>
                </c:pt>
                <c:pt idx="13">
                  <c:v>1518760.836315501</c:v>
                </c:pt>
                <c:pt idx="14">
                  <c:v>1518729.0672740163</c:v>
                </c:pt>
                <c:pt idx="15">
                  <c:v>1518711.0114731297</c:v>
                </c:pt>
                <c:pt idx="16">
                  <c:v>1518707.5254803868</c:v>
                </c:pt>
                <c:pt idx="17">
                  <c:v>1518719.0292387358</c:v>
                </c:pt>
                <c:pt idx="18">
                  <c:v>1518745.7324836177</c:v>
                </c:pt>
                <c:pt idx="19">
                  <c:v>1518772.0481817999</c:v>
                </c:pt>
                <c:pt idx="20">
                  <c:v>1518814.5719904862</c:v>
                </c:pt>
                <c:pt idx="21">
                  <c:v>1518874.6640539549</c:v>
                </c:pt>
                <c:pt idx="22">
                  <c:v>1518952.9955977309</c:v>
                </c:pt>
                <c:pt idx="23">
                  <c:v>1519049.9018192962</c:v>
                </c:pt>
                <c:pt idx="24">
                  <c:v>1519157.6453057548</c:v>
                </c:pt>
                <c:pt idx="25">
                  <c:v>1519285.2110344702</c:v>
                </c:pt>
                <c:pt idx="26">
                  <c:v>1519434.1302103715</c:v>
                </c:pt>
                <c:pt idx="27">
                  <c:v>1519605.1640369112</c:v>
                </c:pt>
                <c:pt idx="28">
                  <c:v>1520058.6042047534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A5-47B1-A8C3-B37143C34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ysClr val="windowText" lastClr="000000"/>
                </a:solidFill>
              </a:rPr>
              <a:t>PD</a:t>
            </a:r>
            <a:endParaRPr lang="de-DE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Results!$D$270:$AH$270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Results!$D$286:$AH$286</c:f>
              <c:numCache>
                <c:formatCode>0.00%</c:formatCode>
                <c:ptCount val="31"/>
                <c:pt idx="0">
                  <c:v>0.99999722439172012</c:v>
                </c:pt>
                <c:pt idx="1">
                  <c:v>0.99999743168025357</c:v>
                </c:pt>
                <c:pt idx="2">
                  <c:v>0.99999761892405425</c:v>
                </c:pt>
                <c:pt idx="3">
                  <c:v>0.99999778169759124</c:v>
                </c:pt>
                <c:pt idx="4">
                  <c:v>0.99999783158608413</c:v>
                </c:pt>
                <c:pt idx="5">
                  <c:v>0.99999786787766032</c:v>
                </c:pt>
                <c:pt idx="6">
                  <c:v>0.99999789691629215</c:v>
                </c:pt>
                <c:pt idx="7">
                  <c:v>0.99999792042594937</c:v>
                </c:pt>
                <c:pt idx="8">
                  <c:v>0.99999793929541791</c:v>
                </c:pt>
                <c:pt idx="9">
                  <c:v>0.99999797109776201</c:v>
                </c:pt>
                <c:pt idx="10">
                  <c:v>0.99999799880325724</c:v>
                </c:pt>
                <c:pt idx="11">
                  <c:v>0.99999802142988248</c:v>
                </c:pt>
                <c:pt idx="12">
                  <c:v>0.99999803882645588</c:v>
                </c:pt>
                <c:pt idx="13">
                  <c:v>0.99999805096869143</c:v>
                </c:pt>
                <c:pt idx="14">
                  <c:v>0.9999980634877913</c:v>
                </c:pt>
                <c:pt idx="15">
                  <c:v>0.99999807074166758</c:v>
                </c:pt>
                <c:pt idx="16">
                  <c:v>0.99999807227951987</c:v>
                </c:pt>
                <c:pt idx="17">
                  <c:v>0.99999806794435686</c:v>
                </c:pt>
                <c:pt idx="18">
                  <c:v>0.99999805761246074</c:v>
                </c:pt>
                <c:pt idx="19">
                  <c:v>0.99999804719187824</c:v>
                </c:pt>
                <c:pt idx="20">
                  <c:v>0.99999803044550339</c:v>
                </c:pt>
                <c:pt idx="21">
                  <c:v>0.99999800647942072</c:v>
                </c:pt>
                <c:pt idx="22">
                  <c:v>0.99999797475850105</c:v>
                </c:pt>
                <c:pt idx="23">
                  <c:v>0.99999793479062526</c:v>
                </c:pt>
                <c:pt idx="24">
                  <c:v>0.99999788933179812</c:v>
                </c:pt>
                <c:pt idx="25">
                  <c:v>0.99999783435350975</c:v>
                </c:pt>
                <c:pt idx="26">
                  <c:v>0.99999776839955445</c:v>
                </c:pt>
                <c:pt idx="27">
                  <c:v>0.99999769022681584</c:v>
                </c:pt>
                <c:pt idx="28">
                  <c:v>0.99999747337334899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D8B-44E1-8E84-D0C80AFD8128}"/>
            </c:ext>
          </c:extLst>
        </c:ser>
        <c:ser>
          <c:idx val="1"/>
          <c:order val="1"/>
          <c:tx>
            <c:strRef>
              <c:f>Results!$B$278</c:f>
              <c:strCache>
                <c:ptCount val="1"/>
                <c:pt idx="0">
                  <c:v>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Results!$D$270:$AH$270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Results!$D$278:$AF$278</c:f>
              <c:numCache>
                <c:formatCode>0.00%</c:formatCode>
                <c:ptCount val="29"/>
                <c:pt idx="0">
                  <c:v>1.0000000000000001E-5</c:v>
                </c:pt>
                <c:pt idx="1">
                  <c:v>1.003528880401474E-5</c:v>
                </c:pt>
                <c:pt idx="2">
                  <c:v>1.0069575290479918E-5</c:v>
                </c:pt>
                <c:pt idx="3" formatCode="0.000000%">
                  <c:v>1.0102074892595486E-5</c:v>
                </c:pt>
                <c:pt idx="4" formatCode="0.000000%">
                  <c:v>1.0112221669536646E-5</c:v>
                </c:pt>
                <c:pt idx="5" formatCode="0.000000%">
                  <c:v>1.0120046704784811E-5</c:v>
                </c:pt>
                <c:pt idx="6" formatCode="0.000000%">
                  <c:v>1.012642803334539E-5</c:v>
                </c:pt>
                <c:pt idx="7" formatCode="0.000000%">
                  <c:v>1.0131673089502217E-5</c:v>
                </c:pt>
                <c:pt idx="8" formatCode="0.000000%">
                  <c:v>1.0135933828048954E-5</c:v>
                </c:pt>
                <c:pt idx="9" formatCode="0.000000%">
                  <c:v>1.014331723254349E-5</c:v>
                </c:pt>
                <c:pt idx="10" formatCode="0.000000%">
                  <c:v>1.0149795157524844E-5</c:v>
                </c:pt>
                <c:pt idx="11" formatCode="0.000000%">
                  <c:v>1.0155160866592664E-5</c:v>
                </c:pt>
                <c:pt idx="12" formatCode="0.000000%">
                  <c:v>1.0159332665578851E-5</c:v>
                </c:pt>
                <c:pt idx="13" formatCode="0.000000%">
                  <c:v>1.01622671722509E-5</c:v>
                </c:pt>
                <c:pt idx="14" formatCode="0.000000%">
                  <c:v>1.0165371616124537E-5</c:v>
                </c:pt>
                <c:pt idx="15" formatCode="0.000000%">
                  <c:v>1.0167173272633017E-5</c:v>
                </c:pt>
                <c:pt idx="16" formatCode="0.000000%">
                  <c:v>1.0167567782857822E-5</c:v>
                </c:pt>
                <c:pt idx="17" formatCode="0.000000%">
                  <c:v>1.0166512596692049E-5</c:v>
                </c:pt>
                <c:pt idx="18" formatCode="0.000000%">
                  <c:v>1.0163988860486971E-5</c:v>
                </c:pt>
                <c:pt idx="19" formatCode="0.000000%">
                  <c:v>1.0161505850360214E-5</c:v>
                </c:pt>
                <c:pt idx="20" formatCode="0.000000%">
                  <c:v>1.0157481742957123E-5</c:v>
                </c:pt>
                <c:pt idx="21" formatCode="0.000000%">
                  <c:v>1.0151774386000768E-5</c:v>
                </c:pt>
                <c:pt idx="22" formatCode="0.000000%">
                  <c:v>1.0144330407849809E-5</c:v>
                </c:pt>
                <c:pt idx="23" formatCode="0.000000%">
                  <c:v>1.0135134154875748E-5</c:v>
                </c:pt>
                <c:pt idx="24" formatCode="0.000000%">
                  <c:v>1.0124943583229531E-5</c:v>
                </c:pt>
                <c:pt idx="25" formatCode="0.000000%">
                  <c:v>1.0112931328539229E-5</c:v>
                </c:pt>
                <c:pt idx="26" formatCode="0.000000%">
                  <c:v>1.0098973331671724E-5</c:v>
                </c:pt>
                <c:pt idx="27" formatCode="0.000000%">
                  <c:v>1.0083035374528869E-5</c:v>
                </c:pt>
                <c:pt idx="28" formatCode="0.000000%">
                  <c:v>1.0041544397164627E-5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17-452A-818B-8B48D92CA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  <c:extLst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>
                <a:solidFill>
                  <a:sysClr val="windowText" lastClr="000000"/>
                </a:solidFill>
              </a:rPr>
              <a:t>Selected Ratios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Results!$B$247</c:f>
              <c:strCache>
                <c:ptCount val="1"/>
                <c:pt idx="0">
                  <c:v>Revenues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Results!$D$247:$AH$247</c15:sqref>
                  </c15:fullRef>
                </c:ext>
              </c:extLst>
              <c:f>Results!$D$247:$AF$247</c:f>
              <c:numCache>
                <c:formatCode>0.0%</c:formatCode>
                <c:ptCount val="29"/>
                <c:pt idx="0">
                  <c:v>1</c:v>
                </c:pt>
                <c:pt idx="1">
                  <c:v>0.99988328194925058</c:v>
                </c:pt>
                <c:pt idx="2">
                  <c:v>0.99977383101135697</c:v>
                </c:pt>
                <c:pt idx="3">
                  <c:v>0.99967196248194179</c:v>
                </c:pt>
                <c:pt idx="4">
                  <c:v>0.99964842589864333</c:v>
                </c:pt>
                <c:pt idx="5">
                  <c:v>0.99963113022536976</c:v>
                </c:pt>
                <c:pt idx="6">
                  <c:v>0.99961795947098031</c:v>
                </c:pt>
                <c:pt idx="7">
                  <c:v>0.99960785635786964</c:v>
                </c:pt>
                <c:pt idx="8">
                  <c:v>0.99960029260883809</c:v>
                </c:pt>
                <c:pt idx="9">
                  <c:v>0.9995912215238425</c:v>
                </c:pt>
                <c:pt idx="10">
                  <c:v>0.99958448426194979</c:v>
                </c:pt>
                <c:pt idx="11">
                  <c:v>0.99958011930796409</c:v>
                </c:pt>
                <c:pt idx="12">
                  <c:v>0.99957814575534154</c:v>
                </c:pt>
                <c:pt idx="13">
                  <c:v>0.99957857308690179</c:v>
                </c:pt>
                <c:pt idx="14">
                  <c:v>0.99959148666137776</c:v>
                </c:pt>
                <c:pt idx="15">
                  <c:v>0.99960660776366561</c:v>
                </c:pt>
                <c:pt idx="16">
                  <c:v>0.99962331502187773</c:v>
                </c:pt>
                <c:pt idx="17">
                  <c:v>0.99964129771346533</c:v>
                </c:pt>
                <c:pt idx="18">
                  <c:v>0.99966040047722859</c:v>
                </c:pt>
                <c:pt idx="19">
                  <c:v>0.9996873704876571</c:v>
                </c:pt>
                <c:pt idx="20">
                  <c:v>0.99971515891608675</c:v>
                </c:pt>
                <c:pt idx="21">
                  <c:v>0.99974307771287674</c:v>
                </c:pt>
                <c:pt idx="22">
                  <c:v>0.99977078282668319</c:v>
                </c:pt>
                <c:pt idx="23">
                  <c:v>0.99979810225247956</c:v>
                </c:pt>
                <c:pt idx="24">
                  <c:v>0.99982896842478775</c:v>
                </c:pt>
                <c:pt idx="25">
                  <c:v>0.99985904527725833</c:v>
                </c:pt>
                <c:pt idx="26">
                  <c:v>0.99988744096332982</c:v>
                </c:pt>
                <c:pt idx="27">
                  <c:v>0.99991370958910131</c:v>
                </c:pt>
                <c:pt idx="28">
                  <c:v>0.99995685479455076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3-462E-BDCF-103E9FEA0FAA}"/>
            </c:ext>
          </c:extLst>
        </c:ser>
        <c:ser>
          <c:idx val="0"/>
          <c:order val="1"/>
          <c:tx>
            <c:strRef>
              <c:f>Results!$B$248</c:f>
              <c:strCache>
                <c:ptCount val="1"/>
                <c:pt idx="0">
                  <c:v>EBIT / Revenues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Results!$D$248:$AH$248</c15:sqref>
                  </c15:fullRef>
                </c:ext>
              </c:extLst>
              <c:f>Results!$D$248:$AF$248</c:f>
              <c:numCache>
                <c:formatCode>0.0%</c:formatCode>
                <c:ptCount val="29"/>
                <c:pt idx="0">
                  <c:v>1</c:v>
                </c:pt>
                <c:pt idx="1">
                  <c:v>1.0095365300269645</c:v>
                </c:pt>
                <c:pt idx="2">
                  <c:v>1.0185114809885165</c:v>
                </c:pt>
                <c:pt idx="3">
                  <c:v>1.0268828030205401</c:v>
                </c:pt>
                <c:pt idx="4">
                  <c:v>1.0293834100609052</c:v>
                </c:pt>
                <c:pt idx="5">
                  <c:v>1.0313548580417975</c:v>
                </c:pt>
                <c:pt idx="6">
                  <c:v>1.0329568907750502</c:v>
                </c:pt>
                <c:pt idx="7">
                  <c:v>1.0342693133198555</c:v>
                </c:pt>
                <c:pt idx="8">
                  <c:v>1.0353319919903772</c:v>
                </c:pt>
                <c:pt idx="9">
                  <c:v>1.0371783353305268</c:v>
                </c:pt>
                <c:pt idx="10">
                  <c:v>1.0387791565865099</c:v>
                </c:pt>
                <c:pt idx="11">
                  <c:v>1.0400987488765276</c:v>
                </c:pt>
                <c:pt idx="12">
                  <c:v>1.0411192718285824</c:v>
                </c:pt>
                <c:pt idx="13">
                  <c:v>1.0418318116595844</c:v>
                </c:pt>
                <c:pt idx="14">
                  <c:v>1.0425692358566636</c:v>
                </c:pt>
                <c:pt idx="15">
                  <c:v>1.042979818213668</c:v>
                </c:pt>
                <c:pt idx="16">
                  <c:v>1.043044372388928</c:v>
                </c:pt>
                <c:pt idx="17">
                  <c:v>1.0427533269760263</c:v>
                </c:pt>
                <c:pt idx="18">
                  <c:v>1.0421019133999043</c:v>
                </c:pt>
                <c:pt idx="19">
                  <c:v>1.0414519156492561</c:v>
                </c:pt>
                <c:pt idx="20">
                  <c:v>1.040417624534433</c:v>
                </c:pt>
                <c:pt idx="21">
                  <c:v>1.0389680671208974</c:v>
                </c:pt>
                <c:pt idx="22">
                  <c:v>1.0370877934753546</c:v>
                </c:pt>
                <c:pt idx="23">
                  <c:v>1.0347691049248846</c:v>
                </c:pt>
                <c:pt idx="24">
                  <c:v>1.032191022601239</c:v>
                </c:pt>
                <c:pt idx="25">
                  <c:v>1.0291453054528423</c:v>
                </c:pt>
                <c:pt idx="26">
                  <c:v>1.0255969297725329</c:v>
                </c:pt>
                <c:pt idx="27">
                  <c:v>1.0215284124482289</c:v>
                </c:pt>
                <c:pt idx="28">
                  <c:v>1.0107637417801869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3-462E-BDCF-103E9FEA0FAA}"/>
            </c:ext>
          </c:extLst>
        </c:ser>
        <c:ser>
          <c:idx val="2"/>
          <c:order val="2"/>
          <c:tx>
            <c:strRef>
              <c:f>Results!$B$249</c:f>
              <c:strCache>
                <c:ptCount val="1"/>
                <c:pt idx="0">
                  <c:v>EBIT / Tangible Assets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Results!$D$249:$AH$249</c15:sqref>
                  </c15:fullRef>
                </c:ext>
              </c:extLst>
              <c:f>Results!$D$249:$AF$249</c:f>
              <c:numCache>
                <c:formatCode>0.0%</c:formatCode>
                <c:ptCount val="29"/>
                <c:pt idx="0">
                  <c:v>1</c:v>
                </c:pt>
                <c:pt idx="1">
                  <c:v>1.0091355908106581</c:v>
                </c:pt>
                <c:pt idx="2">
                  <c:v>1.0177266199977988</c:v>
                </c:pt>
                <c:pt idx="3">
                  <c:v>1.0257342529277955</c:v>
                </c:pt>
                <c:pt idx="4">
                  <c:v>1.0281318086437055</c:v>
                </c:pt>
                <c:pt idx="5">
                  <c:v>1.0300230843993066</c:v>
                </c:pt>
                <c:pt idx="6">
                  <c:v>1.0315606435295701</c:v>
                </c:pt>
                <c:pt idx="7">
                  <c:v>1.0328207970233036</c:v>
                </c:pt>
                <c:pt idx="8">
                  <c:v>1.0338416803577957</c:v>
                </c:pt>
                <c:pt idx="9">
                  <c:v>1.0356193475060331</c:v>
                </c:pt>
                <c:pt idx="10">
                  <c:v>1.0371615421820788</c:v>
                </c:pt>
                <c:pt idx="11">
                  <c:v>1.0384338753505167</c:v>
                </c:pt>
                <c:pt idx="12">
                  <c:v>1.039419183815657</c:v>
                </c:pt>
                <c:pt idx="13">
                  <c:v>1.0401089154543961</c:v>
                </c:pt>
                <c:pt idx="14">
                  <c:v>1.0408353002711024</c:v>
                </c:pt>
                <c:pt idx="15">
                  <c:v>1.0412477225727887</c:v>
                </c:pt>
                <c:pt idx="16">
                  <c:v>1.0413270197183826</c:v>
                </c:pt>
                <c:pt idx="17">
                  <c:v>1.0410636076989634</c:v>
                </c:pt>
                <c:pt idx="18">
                  <c:v>1.0404526804013736</c:v>
                </c:pt>
                <c:pt idx="19">
                  <c:v>1.0398510186918959</c:v>
                </c:pt>
                <c:pt idx="20">
                  <c:v>1.038878278330567</c:v>
                </c:pt>
                <c:pt idx="21">
                  <c:v>1.037503707891188</c:v>
                </c:pt>
                <c:pt idx="22">
                  <c:v>1.0357118734795634</c:v>
                </c:pt>
                <c:pt idx="23">
                  <c:v>1.0334949793367261</c:v>
                </c:pt>
                <c:pt idx="24">
                  <c:v>1.0310300787086069</c:v>
                </c:pt>
                <c:pt idx="25">
                  <c:v>1.0281110196510428</c:v>
                </c:pt>
                <c:pt idx="26">
                  <c:v>1.0247027200564278</c:v>
                </c:pt>
                <c:pt idx="27">
                  <c:v>1.0207874688462035</c:v>
                </c:pt>
                <c:pt idx="28">
                  <c:v>1.0103967523352464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93-462E-BDCF-103E9FEA0FAA}"/>
            </c:ext>
          </c:extLst>
        </c:ser>
        <c:ser>
          <c:idx val="8"/>
          <c:order val="3"/>
          <c:tx>
            <c:strRef>
              <c:f>Results!$B$250</c:f>
              <c:strCache>
                <c:ptCount val="1"/>
                <c:pt idx="0">
                  <c:v>Total Debt / EBITDA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Results!$D$250:$AH$250</c15:sqref>
                  </c15:fullRef>
                </c:ext>
              </c:extLst>
              <c:f>Results!$D$250:$AF$250</c:f>
              <c:numCache>
                <c:formatCode>0.0%</c:formatCode>
                <c:ptCount val="29"/>
                <c:pt idx="0">
                  <c:v>1</c:v>
                </c:pt>
                <c:pt idx="1">
                  <c:v>0.99148723048758236</c:v>
                </c:pt>
                <c:pt idx="2">
                  <c:v>0.98360431606896559</c:v>
                </c:pt>
                <c:pt idx="3">
                  <c:v>0.97636170057619498</c:v>
                </c:pt>
                <c:pt idx="4">
                  <c:v>0.97421222996820112</c:v>
                </c:pt>
                <c:pt idx="5">
                  <c:v>0.97252314324160227</c:v>
                </c:pt>
                <c:pt idx="6">
                  <c:v>0.97115399591879925</c:v>
                </c:pt>
                <c:pt idx="7">
                  <c:v>0.9700345565529126</c:v>
                </c:pt>
                <c:pt idx="8">
                  <c:v>0.96912943700978238</c:v>
                </c:pt>
                <c:pt idx="9">
                  <c:v>0.96755719056867073</c:v>
                </c:pt>
                <c:pt idx="10">
                  <c:v>0.96619700920683393</c:v>
                </c:pt>
                <c:pt idx="11">
                  <c:v>0.96507752436455663</c:v>
                </c:pt>
                <c:pt idx="12">
                  <c:v>0.96421224360738778</c:v>
                </c:pt>
                <c:pt idx="13">
                  <c:v>0.96360738995629003</c:v>
                </c:pt>
                <c:pt idx="14">
                  <c:v>0.96297118261849746</c:v>
                </c:pt>
                <c:pt idx="15">
                  <c:v>0.96261028870732912</c:v>
                </c:pt>
                <c:pt idx="16">
                  <c:v>0.9625409104487983</c:v>
                </c:pt>
                <c:pt idx="17">
                  <c:v>0.96277131637192548</c:v>
                </c:pt>
                <c:pt idx="18">
                  <c:v>0.96330611915275233</c:v>
                </c:pt>
                <c:pt idx="19">
                  <c:v>0.96383337671183333</c:v>
                </c:pt>
                <c:pt idx="20">
                  <c:v>0.96468694135576516</c:v>
                </c:pt>
                <c:pt idx="21">
                  <c:v>0.9658955265061363</c:v>
                </c:pt>
                <c:pt idx="22">
                  <c:v>0.9674752541312589</c:v>
                </c:pt>
                <c:pt idx="23">
                  <c:v>0.96943643161197046</c:v>
                </c:pt>
                <c:pt idx="24">
                  <c:v>0.97162577179408105</c:v>
                </c:pt>
                <c:pt idx="25">
                  <c:v>0.97423048071960316</c:v>
                </c:pt>
                <c:pt idx="26">
                  <c:v>0.97728832811678457</c:v>
                </c:pt>
                <c:pt idx="27">
                  <c:v>0.98082324574118651</c:v>
                </c:pt>
                <c:pt idx="28">
                  <c:v>0.99032133997338134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93-462E-BDCF-103E9FEA0FAA}"/>
            </c:ext>
          </c:extLst>
        </c:ser>
        <c:ser>
          <c:idx val="3"/>
          <c:order val="4"/>
          <c:tx>
            <c:strRef>
              <c:f>Results!$B$251</c:f>
              <c:strCache>
                <c:ptCount val="1"/>
                <c:pt idx="0">
                  <c:v>Total Debt / Book Capitalization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Results!$D$251:$AH$251</c15:sqref>
                  </c15:fullRef>
                </c:ext>
              </c:extLst>
              <c:f>Results!$D$251:$AF$251</c:f>
              <c:numCache>
                <c:formatCode>0.0%</c:formatCode>
                <c:ptCount val="29"/>
                <c:pt idx="0">
                  <c:v>1</c:v>
                </c:pt>
                <c:pt idx="1">
                  <c:v>0.99946174491148554</c:v>
                </c:pt>
                <c:pt idx="2">
                  <c:v>0.99895493039674077</c:v>
                </c:pt>
                <c:pt idx="3">
                  <c:v>0.99848252630516865</c:v>
                </c:pt>
                <c:pt idx="4">
                  <c:v>0.9983407002942043</c:v>
                </c:pt>
                <c:pt idx="5">
                  <c:v>0.99822909941224724</c:v>
                </c:pt>
                <c:pt idx="6">
                  <c:v>0.99813837516032433</c:v>
                </c:pt>
                <c:pt idx="7">
                  <c:v>0.99806402021828711</c:v>
                </c:pt>
                <c:pt idx="8">
                  <c:v>0.99800378230513898</c:v>
                </c:pt>
                <c:pt idx="9">
                  <c:v>0.99789897281370055</c:v>
                </c:pt>
                <c:pt idx="10">
                  <c:v>0.99780798357639433</c:v>
                </c:pt>
                <c:pt idx="11">
                  <c:v>0.99773291070654579</c:v>
                </c:pt>
                <c:pt idx="12">
                  <c:v>0.99767476794422827</c:v>
                </c:pt>
                <c:pt idx="13">
                  <c:v>0.99763406038211166</c:v>
                </c:pt>
                <c:pt idx="14">
                  <c:v>0.99759121416943453</c:v>
                </c:pt>
                <c:pt idx="15">
                  <c:v>0.99756686355866253</c:v>
                </c:pt>
                <c:pt idx="16">
                  <c:v>0.99756216231243344</c:v>
                </c:pt>
                <c:pt idx="17">
                  <c:v>0.99757767648863527</c:v>
                </c:pt>
                <c:pt idx="18">
                  <c:v>0.9976136899349306</c:v>
                </c:pt>
                <c:pt idx="19">
                  <c:v>0.99764918203872566</c:v>
                </c:pt>
                <c:pt idx="20">
                  <c:v>0.99770653687419841</c:v>
                </c:pt>
                <c:pt idx="21">
                  <c:v>0.99778759309648768</c:v>
                </c:pt>
                <c:pt idx="22">
                  <c:v>0.99789326225072028</c:v>
                </c:pt>
                <c:pt idx="23">
                  <c:v>0.99802400474423192</c:v>
                </c:pt>
                <c:pt idx="24">
                  <c:v>0.99816938943546762</c:v>
                </c:pt>
                <c:pt idx="25">
                  <c:v>0.99834154996721014</c:v>
                </c:pt>
                <c:pt idx="26">
                  <c:v>0.99854256786483442</c:v>
                </c:pt>
                <c:pt idx="27">
                  <c:v>0.99877348913322317</c:v>
                </c:pt>
                <c:pt idx="28">
                  <c:v>0.99938597048900435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93-462E-BDCF-103E9FEA0FAA}"/>
            </c:ext>
          </c:extLst>
        </c:ser>
        <c:ser>
          <c:idx val="4"/>
          <c:order val="5"/>
          <c:tx>
            <c:strRef>
              <c:f>Results!$B$252</c:f>
              <c:strCache>
                <c:ptCount val="1"/>
                <c:pt idx="0">
                  <c:v>(Cash Flow from Operations - Dividends) / Total Debt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Results!$D$252:$AH$252</c15:sqref>
                  </c15:fullRef>
                </c:ext>
              </c:extLst>
              <c:f>Results!$D$252:$AF$252</c:f>
              <c:numCache>
                <c:formatCode>0.0%</c:formatCode>
                <c:ptCount val="29"/>
                <c:pt idx="0">
                  <c:v>1</c:v>
                </c:pt>
                <c:pt idx="1">
                  <c:v>1.0088112986060722</c:v>
                </c:pt>
                <c:pt idx="2">
                  <c:v>1.0171136382821278</c:v>
                </c:pt>
                <c:pt idx="3">
                  <c:v>1.0248598477103279</c:v>
                </c:pt>
                <c:pt idx="4">
                  <c:v>1.0271851002381007</c:v>
                </c:pt>
                <c:pt idx="5">
                  <c:v>1.0290165360357384</c:v>
                </c:pt>
                <c:pt idx="6">
                  <c:v>1.0305056961937311</c:v>
                </c:pt>
                <c:pt idx="7">
                  <c:v>1.0317263742087048</c:v>
                </c:pt>
                <c:pt idx="8">
                  <c:v>1.0327154229601845</c:v>
                </c:pt>
                <c:pt idx="9">
                  <c:v>1.0344369590170313</c:v>
                </c:pt>
                <c:pt idx="10">
                  <c:v>1.0359314966088604</c:v>
                </c:pt>
                <c:pt idx="11">
                  <c:v>1.0371647813850795</c:v>
                </c:pt>
                <c:pt idx="12">
                  <c:v>1.0381200433490541</c:v>
                </c:pt>
                <c:pt idx="13">
                  <c:v>1.0387888876158489</c:v>
                </c:pt>
                <c:pt idx="14">
                  <c:v>1.039493042587958</c:v>
                </c:pt>
                <c:pt idx="15">
                  <c:v>1.0398931505864872</c:v>
                </c:pt>
                <c:pt idx="16">
                  <c:v>1.0399703111546734</c:v>
                </c:pt>
                <c:pt idx="17">
                  <c:v>1.039715215038121</c:v>
                </c:pt>
                <c:pt idx="18">
                  <c:v>1.0391232300010966</c:v>
                </c:pt>
                <c:pt idx="19">
                  <c:v>1.0385399705595393</c:v>
                </c:pt>
                <c:pt idx="20">
                  <c:v>1.0375973927615043</c:v>
                </c:pt>
                <c:pt idx="21">
                  <c:v>1.0362655272605703</c:v>
                </c:pt>
                <c:pt idx="22">
                  <c:v>1.0345295968219022</c:v>
                </c:pt>
                <c:pt idx="23">
                  <c:v>1.0323823005172874</c:v>
                </c:pt>
                <c:pt idx="24">
                  <c:v>1.0299952561589962</c:v>
                </c:pt>
                <c:pt idx="25">
                  <c:v>1.0271694314615678</c:v>
                </c:pt>
                <c:pt idx="26">
                  <c:v>1.0238711913691896</c:v>
                </c:pt>
                <c:pt idx="27">
                  <c:v>1.0200839623760856</c:v>
                </c:pt>
                <c:pt idx="28">
                  <c:v>1.0100457676475141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93-462E-BDCF-103E9FEA0FAA}"/>
            </c:ext>
          </c:extLst>
        </c:ser>
        <c:ser>
          <c:idx val="5"/>
          <c:order val="6"/>
          <c:tx>
            <c:strRef>
              <c:f>Results!$B$253</c:f>
              <c:strCache>
                <c:ptCount val="1"/>
                <c:pt idx="0">
                  <c:v>EBIT / Interest Expenses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Results!$D$253:$AH$253</c15:sqref>
                  </c15:fullRef>
                </c:ext>
              </c:extLst>
              <c:f>Results!$D$253:$AF$253</c:f>
              <c:numCache>
                <c:formatCode>0.0%</c:formatCode>
                <c:ptCount val="29"/>
                <c:pt idx="0">
                  <c:v>1</c:v>
                </c:pt>
                <c:pt idx="1">
                  <c:v>1.0094186988910194</c:v>
                </c:pt>
                <c:pt idx="2">
                  <c:v>1.0185437679492733</c:v>
                </c:pt>
                <c:pt idx="3">
                  <c:v>1.0270602905347053</c:v>
                </c:pt>
                <c:pt idx="4">
                  <c:v>1.0297705037238509</c:v>
                </c:pt>
                <c:pt idx="5">
                  <c:v>1.0317950943331591</c:v>
                </c:pt>
                <c:pt idx="6">
                  <c:v>1.0334395749339</c:v>
                </c:pt>
                <c:pt idx="7">
                  <c:v>1.0347872384968371</c:v>
                </c:pt>
                <c:pt idx="8">
                  <c:v>1.035879606271991</c:v>
                </c:pt>
                <c:pt idx="9">
                  <c:v>1.0377475374240321</c:v>
                </c:pt>
                <c:pt idx="10">
                  <c:v>1.039394567938873</c:v>
                </c:pt>
                <c:pt idx="11">
                  <c:v>1.0407558987934886</c:v>
                </c:pt>
                <c:pt idx="12">
                  <c:v>1.0418125946665007</c:v>
                </c:pt>
                <c:pt idx="13">
                  <c:v>1.0425551875201462</c:v>
                </c:pt>
                <c:pt idx="14">
                  <c:v>1.0433270155780225</c:v>
                </c:pt>
                <c:pt idx="15">
                  <c:v>1.0437751818514436</c:v>
                </c:pt>
                <c:pt idx="16">
                  <c:v>1.0438694506601705</c:v>
                </c:pt>
                <c:pt idx="17">
                  <c:v>1.043599306919244</c:v>
                </c:pt>
                <c:pt idx="18">
                  <c:v>1.0429595169590438</c:v>
                </c:pt>
                <c:pt idx="19">
                  <c:v>1.0423190608483863</c:v>
                </c:pt>
                <c:pt idx="20">
                  <c:v>1.0412950888203951</c:v>
                </c:pt>
                <c:pt idx="21">
                  <c:v>1.0398446831158026</c:v>
                </c:pt>
                <c:pt idx="22">
                  <c:v>1.0379511541825275</c:v>
                </c:pt>
                <c:pt idx="23">
                  <c:v>1.0356062502140027</c:v>
                </c:pt>
                <c:pt idx="24">
                  <c:v>1.0329930878649154</c:v>
                </c:pt>
                <c:pt idx="25">
                  <c:v>1.0299040643790227</c:v>
                </c:pt>
                <c:pt idx="26">
                  <c:v>1.0262973703396223</c:v>
                </c:pt>
                <c:pt idx="27">
                  <c:v>1.0221542843099498</c:v>
                </c:pt>
                <c:pt idx="28">
                  <c:v>1.0113145761559439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993-462E-BDCF-103E9FEA0FAA}"/>
            </c:ext>
          </c:extLst>
        </c:ser>
        <c:ser>
          <c:idx val="7"/>
          <c:order val="7"/>
          <c:tx>
            <c:strRef>
              <c:f>Results!$B$254</c:f>
              <c:strCache>
                <c:ptCount val="1"/>
                <c:pt idx="0">
                  <c:v>NA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Results!$D$254:$AH$254</c15:sqref>
                  </c15:fullRef>
                </c:ext>
              </c:extLst>
              <c:f>Results!$D$254:$AF$254</c:f>
              <c:numCache>
                <c:formatCode>0.0%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993-462E-BDCF-103E9FEA0FAA}"/>
            </c:ext>
          </c:extLst>
        </c:ser>
        <c:ser>
          <c:idx val="6"/>
          <c:order val="8"/>
          <c:tx>
            <c:strRef>
              <c:f>Results!$B$255</c:f>
              <c:strCache>
                <c:ptCount val="1"/>
                <c:pt idx="0">
                  <c:v>NA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Results!$D$255:$AH$255</c15:sqref>
                  </c15:fullRef>
                </c:ext>
              </c:extLst>
              <c:f>Results!$D$255:$AF$255</c:f>
              <c:numCache>
                <c:formatCode>0.0%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993-462E-BDCF-103E9FEA0FAA}"/>
            </c:ext>
          </c:extLst>
        </c:ser>
        <c:ser>
          <c:idx val="9"/>
          <c:order val="9"/>
          <c:tx>
            <c:strRef>
              <c:f>Results!$B$256</c:f>
              <c:strCache>
                <c:ptCount val="1"/>
                <c:pt idx="0">
                  <c:v>NA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Results!$D$246:$AH$246</c15:sqref>
                  </c15:fullRef>
                </c:ext>
              </c:extLst>
              <c:f>Results!$D$246:$AF$246</c:f>
              <c:numCache>
                <c:formatCode>General</c:formatCode>
                <c:ptCount val="29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Results!$D$256:$AH$256</c15:sqref>
                  </c15:fullRef>
                </c:ext>
              </c:extLst>
              <c:f>Results!$D$256:$AF$256</c:f>
              <c:numCache>
                <c:formatCode>0.0%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993-462E-BDCF-103E9FEA0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592480"/>
        <c:axId val="836588872"/>
        <c:extLst/>
      </c:lineChart>
      <c:catAx>
        <c:axId val="836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88872"/>
        <c:crosses val="autoZero"/>
        <c:auto val="1"/>
        <c:lblAlgn val="ctr"/>
        <c:lblOffset val="100"/>
        <c:noMultiLvlLbl val="0"/>
      </c:catAx>
      <c:valAx>
        <c:axId val="83658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5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Results!$D$31:$AF$31</c:f>
              <c:numCache>
                <c:formatCode>#,##0.00</c:formatCode>
                <c:ptCount val="29"/>
                <c:pt idx="0">
                  <c:v>25.389440745104398</c:v>
                </c:pt>
                <c:pt idx="1">
                  <c:v>37.530299813415596</c:v>
                </c:pt>
                <c:pt idx="2">
                  <c:v>49.671158881726797</c:v>
                </c:pt>
                <c:pt idx="3">
                  <c:v>61.812017950037998</c:v>
                </c:pt>
                <c:pt idx="4">
                  <c:v>67.143963640499592</c:v>
                </c:pt>
                <c:pt idx="5">
                  <c:v>72.475909330961187</c:v>
                </c:pt>
                <c:pt idx="6">
                  <c:v>77.807855021422782</c:v>
                </c:pt>
                <c:pt idx="7">
                  <c:v>83.139800711884376</c:v>
                </c:pt>
                <c:pt idx="8">
                  <c:v>88.471746402346</c:v>
                </c:pt>
                <c:pt idx="9">
                  <c:v>98.112007994063603</c:v>
                </c:pt>
                <c:pt idx="10">
                  <c:v>107.75226958578121</c:v>
                </c:pt>
                <c:pt idx="11">
                  <c:v>117.39253117749881</c:v>
                </c:pt>
                <c:pt idx="12">
                  <c:v>127.03279276921641</c:v>
                </c:pt>
                <c:pt idx="13">
                  <c:v>136.673054360934</c:v>
                </c:pt>
                <c:pt idx="14">
                  <c:v>152.3950284390416</c:v>
                </c:pt>
                <c:pt idx="15">
                  <c:v>168.11700251714919</c:v>
                </c:pt>
                <c:pt idx="16">
                  <c:v>183.83897659525678</c:v>
                </c:pt>
                <c:pt idx="17">
                  <c:v>199.56095067336437</c:v>
                </c:pt>
                <c:pt idx="18">
                  <c:v>215.282924751472</c:v>
                </c:pt>
                <c:pt idx="19">
                  <c:v>238.91711118915001</c:v>
                </c:pt>
                <c:pt idx="20">
                  <c:v>262.55129762682799</c:v>
                </c:pt>
                <c:pt idx="21">
                  <c:v>286.185484064506</c:v>
                </c:pt>
                <c:pt idx="22">
                  <c:v>309.81967050218401</c:v>
                </c:pt>
                <c:pt idx="23">
                  <c:v>333.45385693986202</c:v>
                </c:pt>
                <c:pt idx="24">
                  <c:v>366.77473710987164</c:v>
                </c:pt>
                <c:pt idx="25">
                  <c:v>400.09561727988125</c:v>
                </c:pt>
                <c:pt idx="26">
                  <c:v>433.41649744989087</c:v>
                </c:pt>
                <c:pt idx="27">
                  <c:v>466.73737761990049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84-431D-B4AE-FC45506CFB0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Results!$D$32:$AF$32</c:f>
              <c:numCache>
                <c:formatCode>#,##0.00</c:formatCode>
                <c:ptCount val="29"/>
                <c:pt idx="0">
                  <c:v>65.469516307497202</c:v>
                </c:pt>
                <c:pt idx="1">
                  <c:v>92.699462609486801</c:v>
                </c:pt>
                <c:pt idx="2">
                  <c:v>119.9294089114764</c:v>
                </c:pt>
                <c:pt idx="3">
                  <c:v>147.159355213466</c:v>
                </c:pt>
                <c:pt idx="4">
                  <c:v>156.13345781564999</c:v>
                </c:pt>
                <c:pt idx="5">
                  <c:v>165.10756041783398</c:v>
                </c:pt>
                <c:pt idx="6">
                  <c:v>174.08166302001797</c:v>
                </c:pt>
                <c:pt idx="7">
                  <c:v>183.05576562220196</c:v>
                </c:pt>
                <c:pt idx="8">
                  <c:v>192.02986822438601</c:v>
                </c:pt>
                <c:pt idx="9">
                  <c:v>205.74762901307679</c:v>
                </c:pt>
                <c:pt idx="10">
                  <c:v>219.46538980176757</c:v>
                </c:pt>
                <c:pt idx="11">
                  <c:v>233.18315059045835</c:v>
                </c:pt>
                <c:pt idx="12">
                  <c:v>246.90091137914914</c:v>
                </c:pt>
                <c:pt idx="13">
                  <c:v>260.61867216783997</c:v>
                </c:pt>
                <c:pt idx="14">
                  <c:v>276.92654087641876</c:v>
                </c:pt>
                <c:pt idx="15">
                  <c:v>293.23440958499754</c:v>
                </c:pt>
                <c:pt idx="16">
                  <c:v>309.54227829357632</c:v>
                </c:pt>
                <c:pt idx="17">
                  <c:v>325.8501470021551</c:v>
                </c:pt>
                <c:pt idx="18">
                  <c:v>342.15801571073399</c:v>
                </c:pt>
                <c:pt idx="19">
                  <c:v>362.56755237622519</c:v>
                </c:pt>
                <c:pt idx="20">
                  <c:v>382.9770890417164</c:v>
                </c:pt>
                <c:pt idx="21">
                  <c:v>403.3866257072076</c:v>
                </c:pt>
                <c:pt idx="22">
                  <c:v>423.7961623726988</c:v>
                </c:pt>
                <c:pt idx="23">
                  <c:v>444.20569903818989</c:v>
                </c:pt>
                <c:pt idx="24">
                  <c:v>469.32704171267989</c:v>
                </c:pt>
                <c:pt idx="25">
                  <c:v>494.44838438716988</c:v>
                </c:pt>
                <c:pt idx="26">
                  <c:v>519.56972706165993</c:v>
                </c:pt>
                <c:pt idx="27">
                  <c:v>544.69106973614998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84-431D-B4AE-FC45506CF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4479888"/>
        <c:axId val="2064482384"/>
      </c:lineChart>
      <c:catAx>
        <c:axId val="2064479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482384"/>
        <c:crosses val="autoZero"/>
        <c:auto val="1"/>
        <c:lblAlgn val="ctr"/>
        <c:lblOffset val="100"/>
        <c:noMultiLvlLbl val="0"/>
      </c:catAx>
      <c:valAx>
        <c:axId val="20644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47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804332</xdr:colOff>
      <xdr:row>47</xdr:row>
      <xdr:rowOff>33867</xdr:rowOff>
    </xdr:from>
    <xdr:to>
      <xdr:col>9</xdr:col>
      <xdr:colOff>287866</xdr:colOff>
      <xdr:row>62</xdr:row>
      <xdr:rowOff>59266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380999</xdr:colOff>
      <xdr:row>47</xdr:row>
      <xdr:rowOff>42334</xdr:rowOff>
    </xdr:from>
    <xdr:to>
      <xdr:col>21</xdr:col>
      <xdr:colOff>152399</xdr:colOff>
      <xdr:row>62</xdr:row>
      <xdr:rowOff>59266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795867</xdr:colOff>
      <xdr:row>62</xdr:row>
      <xdr:rowOff>175419</xdr:rowOff>
    </xdr:from>
    <xdr:to>
      <xdr:col>9</xdr:col>
      <xdr:colOff>287867</xdr:colOff>
      <xdr:row>77</xdr:row>
      <xdr:rowOff>110067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384174</xdr:colOff>
      <xdr:row>63</xdr:row>
      <xdr:rowOff>3971</xdr:rowOff>
    </xdr:from>
    <xdr:to>
      <xdr:col>21</xdr:col>
      <xdr:colOff>135468</xdr:colOff>
      <xdr:row>77</xdr:row>
      <xdr:rowOff>110067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826557</xdr:colOff>
      <xdr:row>78</xdr:row>
      <xdr:rowOff>78583</xdr:rowOff>
    </xdr:from>
    <xdr:to>
      <xdr:col>9</xdr:col>
      <xdr:colOff>313266</xdr:colOff>
      <xdr:row>92</xdr:row>
      <xdr:rowOff>33865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386026</xdr:colOff>
      <xdr:row>78</xdr:row>
      <xdr:rowOff>74880</xdr:rowOff>
    </xdr:from>
    <xdr:to>
      <xdr:col>21</xdr:col>
      <xdr:colOff>160867</xdr:colOff>
      <xdr:row>92</xdr:row>
      <xdr:rowOff>50799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347134</xdr:colOff>
      <xdr:row>0</xdr:row>
      <xdr:rowOff>93134</xdr:rowOff>
    </xdr:from>
    <xdr:to>
      <xdr:col>0</xdr:col>
      <xdr:colOff>2091267</xdr:colOff>
      <xdr:row>0</xdr:row>
      <xdr:rowOff>431800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134" y="93134"/>
          <a:ext cx="1744133" cy="338666"/>
        </a:xfrm>
        <a:prstGeom prst="rect">
          <a:avLst/>
        </a:prstGeom>
      </xdr:spPr>
    </xdr:pic>
    <xdr:clientData/>
  </xdr:twoCellAnchor>
  <xdr:twoCellAnchor>
    <xdr:from>
      <xdr:col>3</xdr:col>
      <xdr:colOff>504976</xdr:colOff>
      <xdr:row>30</xdr:row>
      <xdr:rowOff>123371</xdr:rowOff>
    </xdr:from>
    <xdr:to>
      <xdr:col>13</xdr:col>
      <xdr:colOff>330201</xdr:colOff>
      <xdr:row>45</xdr:row>
      <xdr:rowOff>169333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50799</xdr:colOff>
      <xdr:row>11</xdr:row>
      <xdr:rowOff>177800</xdr:rowOff>
    </xdr:from>
    <xdr:to>
      <xdr:col>20</xdr:col>
      <xdr:colOff>279399</xdr:colOff>
      <xdr:row>27</xdr:row>
      <xdr:rowOff>59267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1334105</xdr:colOff>
      <xdr:row>12</xdr:row>
      <xdr:rowOff>0</xdr:rowOff>
    </xdr:from>
    <xdr:to>
      <xdr:col>9</xdr:col>
      <xdr:colOff>948266</xdr:colOff>
      <xdr:row>27</xdr:row>
      <xdr:rowOff>50800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1329267</xdr:colOff>
      <xdr:row>126</xdr:row>
      <xdr:rowOff>42334</xdr:rowOff>
    </xdr:from>
    <xdr:to>
      <xdr:col>9</xdr:col>
      <xdr:colOff>508000</xdr:colOff>
      <xdr:row>140</xdr:row>
      <xdr:rowOff>177800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558799</xdr:colOff>
      <xdr:row>126</xdr:row>
      <xdr:rowOff>33868</xdr:rowOff>
    </xdr:from>
    <xdr:to>
      <xdr:col>20</xdr:col>
      <xdr:colOff>406400</xdr:colOff>
      <xdr:row>140</xdr:row>
      <xdr:rowOff>169334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1337732</xdr:colOff>
      <xdr:row>141</xdr:row>
      <xdr:rowOff>50800</xdr:rowOff>
    </xdr:from>
    <xdr:to>
      <xdr:col>9</xdr:col>
      <xdr:colOff>524932</xdr:colOff>
      <xdr:row>155</xdr:row>
      <xdr:rowOff>135466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558799</xdr:colOff>
      <xdr:row>141</xdr:row>
      <xdr:rowOff>42334</xdr:rowOff>
    </xdr:from>
    <xdr:to>
      <xdr:col>20</xdr:col>
      <xdr:colOff>296334</xdr:colOff>
      <xdr:row>155</xdr:row>
      <xdr:rowOff>135466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1329267</xdr:colOff>
      <xdr:row>156</xdr:row>
      <xdr:rowOff>8467</xdr:rowOff>
    </xdr:from>
    <xdr:to>
      <xdr:col>9</xdr:col>
      <xdr:colOff>516466</xdr:colOff>
      <xdr:row>170</xdr:row>
      <xdr:rowOff>76200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558799</xdr:colOff>
      <xdr:row>156</xdr:row>
      <xdr:rowOff>0</xdr:rowOff>
    </xdr:from>
    <xdr:to>
      <xdr:col>20</xdr:col>
      <xdr:colOff>338667</xdr:colOff>
      <xdr:row>170</xdr:row>
      <xdr:rowOff>67733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1320799</xdr:colOff>
      <xdr:row>170</xdr:row>
      <xdr:rowOff>118533</xdr:rowOff>
    </xdr:from>
    <xdr:to>
      <xdr:col>9</xdr:col>
      <xdr:colOff>516465</xdr:colOff>
      <xdr:row>185</xdr:row>
      <xdr:rowOff>25400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8466</xdr:colOff>
      <xdr:row>170</xdr:row>
      <xdr:rowOff>110066</xdr:rowOff>
    </xdr:from>
    <xdr:to>
      <xdr:col>20</xdr:col>
      <xdr:colOff>304799</xdr:colOff>
      <xdr:row>185</xdr:row>
      <xdr:rowOff>25400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1315356</xdr:colOff>
      <xdr:row>9</xdr:row>
      <xdr:rowOff>134056</xdr:rowOff>
    </xdr:from>
    <xdr:to>
      <xdr:col>20</xdr:col>
      <xdr:colOff>272142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15356" y="2483556"/>
          <a:ext cx="13262429" cy="37394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Below charts display Probability of Defaults</a:t>
          </a:r>
          <a:r>
            <a:rPr lang="en-US" sz="1400" b="1" baseline="0"/>
            <a:t> (PDs) forecasted till 2050 for different climate scenarios generated by Carbon Elasticity Model (CEM)</a:t>
          </a:r>
          <a:endParaRPr lang="en-US" sz="1400" b="1"/>
        </a:p>
      </xdr:txBody>
    </xdr:sp>
    <xdr:clientData/>
  </xdr:twoCellAnchor>
  <xdr:twoCellAnchor>
    <xdr:from>
      <xdr:col>0</xdr:col>
      <xdr:colOff>1397000</xdr:colOff>
      <xdr:row>123</xdr:row>
      <xdr:rowOff>127000</xdr:rowOff>
    </xdr:from>
    <xdr:to>
      <xdr:col>20</xdr:col>
      <xdr:colOff>353786</xdr:colOff>
      <xdr:row>125</xdr:row>
      <xdr:rowOff>138087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397000" y="23458714"/>
          <a:ext cx="13262429" cy="37394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Below charts display P&amp;L data</a:t>
          </a:r>
          <a:r>
            <a:rPr lang="en-US" sz="1400" b="1" baseline="0"/>
            <a:t> forecasted till 2050 for different climate scenarios generated by Carbon Elasticity Model (CEM)</a:t>
          </a:r>
          <a:endParaRPr lang="en-US" sz="1400" b="1"/>
        </a:p>
      </xdr:txBody>
    </xdr:sp>
    <xdr:clientData/>
  </xdr:twoCellAnchor>
  <xdr:twoCellAnchor>
    <xdr:from>
      <xdr:col>10</xdr:col>
      <xdr:colOff>-1</xdr:colOff>
      <xdr:row>3</xdr:row>
      <xdr:rowOff>0</xdr:rowOff>
    </xdr:from>
    <xdr:to>
      <xdr:col>11</xdr:col>
      <xdr:colOff>1012371</xdr:colOff>
      <xdr:row>4</xdr:row>
      <xdr:rowOff>0</xdr:rowOff>
    </xdr:to>
    <xdr:sp macro="[0]!CopySheets" textlink="">
      <xdr:nvSpPr>
        <xdr:cNvPr id="5" name="Rectangle 4">
          <a:extLst>
            <a:ext uri="{FF2B5EF4-FFF2-40B4-BE49-F238E27FC236}">
              <a16:creationId xmlns:a16="http://schemas.microsoft.com/office/drawing/2014/main" id="{48D2E30E-7B88-B1D0-6808-47CD769CD523}"/>
            </a:ext>
          </a:extLst>
        </xdr:cNvPr>
        <xdr:cNvSpPr/>
      </xdr:nvSpPr>
      <xdr:spPr>
        <a:xfrm>
          <a:off x="8207828" y="936171"/>
          <a:ext cx="1567543" cy="304800"/>
        </a:xfrm>
        <a:prstGeom prst="rect">
          <a:avLst/>
        </a:prstGeom>
        <a:solidFill>
          <a:srgbClr val="BDD7E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Click Here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59</xdr:row>
      <xdr:rowOff>0</xdr:rowOff>
    </xdr:from>
    <xdr:to>
      <xdr:col>5</xdr:col>
      <xdr:colOff>320000</xdr:colOff>
      <xdr:row>71</xdr:row>
      <xdr:rowOff>139725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59</xdr:row>
      <xdr:rowOff>0</xdr:rowOff>
    </xdr:from>
    <xdr:to>
      <xdr:col>14</xdr:col>
      <xdr:colOff>523200</xdr:colOff>
      <xdr:row>71</xdr:row>
      <xdr:rowOff>145440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72</xdr:row>
      <xdr:rowOff>0</xdr:rowOff>
    </xdr:from>
    <xdr:to>
      <xdr:col>14</xdr:col>
      <xdr:colOff>526375</xdr:colOff>
      <xdr:row>84</xdr:row>
      <xdr:rowOff>142265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59</xdr:row>
      <xdr:rowOff>0</xdr:rowOff>
    </xdr:from>
    <xdr:to>
      <xdr:col>23</xdr:col>
      <xdr:colOff>526375</xdr:colOff>
      <xdr:row>71</xdr:row>
      <xdr:rowOff>142265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59</xdr:row>
      <xdr:rowOff>0</xdr:rowOff>
    </xdr:from>
    <xdr:to>
      <xdr:col>32</xdr:col>
      <xdr:colOff>523200</xdr:colOff>
      <xdr:row>71</xdr:row>
      <xdr:rowOff>145440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72</xdr:row>
      <xdr:rowOff>0</xdr:rowOff>
    </xdr:from>
    <xdr:to>
      <xdr:col>32</xdr:col>
      <xdr:colOff>523200</xdr:colOff>
      <xdr:row>84</xdr:row>
      <xdr:rowOff>145440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72</xdr:row>
      <xdr:rowOff>0</xdr:rowOff>
    </xdr:from>
    <xdr:to>
      <xdr:col>23</xdr:col>
      <xdr:colOff>523200</xdr:colOff>
      <xdr:row>84</xdr:row>
      <xdr:rowOff>145440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71</xdr:row>
      <xdr:rowOff>173989</xdr:rowOff>
    </xdr:from>
    <xdr:to>
      <xdr:col>5</xdr:col>
      <xdr:colOff>317500</xdr:colOff>
      <xdr:row>84</xdr:row>
      <xdr:rowOff>130810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132</xdr:row>
      <xdr:rowOff>0</xdr:rowOff>
    </xdr:from>
    <xdr:to>
      <xdr:col>5</xdr:col>
      <xdr:colOff>326350</xdr:colOff>
      <xdr:row>144</xdr:row>
      <xdr:rowOff>143535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132</xdr:row>
      <xdr:rowOff>0</xdr:rowOff>
    </xdr:from>
    <xdr:to>
      <xdr:col>23</xdr:col>
      <xdr:colOff>523200</xdr:colOff>
      <xdr:row>144</xdr:row>
      <xdr:rowOff>145440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0</xdr:colOff>
      <xdr:row>132</xdr:row>
      <xdr:rowOff>0</xdr:rowOff>
    </xdr:from>
    <xdr:to>
      <xdr:col>14</xdr:col>
      <xdr:colOff>523200</xdr:colOff>
      <xdr:row>144</xdr:row>
      <xdr:rowOff>145440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0</xdr:colOff>
      <xdr:row>132</xdr:row>
      <xdr:rowOff>0</xdr:rowOff>
    </xdr:from>
    <xdr:to>
      <xdr:col>32</xdr:col>
      <xdr:colOff>523200</xdr:colOff>
      <xdr:row>144</xdr:row>
      <xdr:rowOff>145440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287</xdr:row>
      <xdr:rowOff>0</xdr:rowOff>
    </xdr:from>
    <xdr:to>
      <xdr:col>8</xdr:col>
      <xdr:colOff>165100</xdr:colOff>
      <xdr:row>312</xdr:row>
      <xdr:rowOff>94665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552450</xdr:colOff>
      <xdr:row>287</xdr:row>
      <xdr:rowOff>28575</xdr:rowOff>
    </xdr:from>
    <xdr:to>
      <xdr:col>23</xdr:col>
      <xdr:colOff>106552</xdr:colOff>
      <xdr:row>312</xdr:row>
      <xdr:rowOff>126891</xdr:rowOff>
    </xdr:to>
    <xdr:graphicFrame macro="">
      <xdr:nvGraphicFramePr>
        <xdr:cNvPr id="5" name="Chart 28">
          <a:extLst>
            <a:ext uri="{FF2B5EF4-FFF2-40B4-BE49-F238E27FC236}">
              <a16:creationId xmlns:a16="http://schemas.microsoft.com/office/drawing/2014/main" id="{00000000-0008-0000-0300-000005000000}"/>
            </a:ext>
            <a:ext uri="{147F2762-F138-4A5C-976F-8EAC2B608ADB}">
              <a16:predDERef xmlns:a16="http://schemas.microsoft.com/office/drawing/2014/main" pre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847725</xdr:colOff>
      <xdr:row>5</xdr:row>
      <xdr:rowOff>8467</xdr:rowOff>
    </xdr:from>
    <xdr:to>
      <xdr:col>27</xdr:col>
      <xdr:colOff>88900</xdr:colOff>
      <xdr:row>19</xdr:row>
      <xdr:rowOff>14817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198898</xdr:colOff>
      <xdr:row>7</xdr:row>
      <xdr:rowOff>158750</xdr:rowOff>
    </xdr:from>
    <xdr:to>
      <xdr:col>17</xdr:col>
      <xdr:colOff>386522</xdr:colOff>
      <xdr:row>34</xdr:row>
      <xdr:rowOff>133910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C842D7-8481-4718-A760-01FD9A436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898" y="1463261"/>
          <a:ext cx="10513276" cy="50068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3-10-16T14:24:10.11" personId="{00000000-0000-0000-0000-000000000000}" id="{34799B54-E476-4637-8EB4-0A5F4FC3BB57}">
    <text>Rationale for Price Elasticity needs to be provided.</text>
  </threadedComment>
  <threadedComment ref="E35" dT="2023-10-17T13:00:02.95" personId="{00000000-0000-0000-0000-000000000000}" id="{0FDF260F-B7D8-4AEA-AF23-E91AFDB184C0}">
    <text>Carbon Price Change * Carbon Intensity - Carbon Intensity Change* Carbon Reduction (Scope1/2) - Carbon Intensity Change* Carbon Reduction (Scope 3).</text>
  </threadedComment>
  <threadedComment ref="F35" dT="2023-10-17T13:01:33.73" personId="{00000000-0000-0000-0000-000000000000}" id="{11B281BE-16D7-437C-8C35-69F3AFE41E06}">
    <text>Base Carbon Price is the previous year.</text>
  </threadedComment>
  <threadedComment ref="F36" dT="2023-10-17T13:02:11.39" personId="{00000000-0000-0000-0000-000000000000}" id="{CDDD860B-D080-4D56-B9A6-C1C8E06F23A8}">
    <text>Base Carbon Price is the 2022 Carbon Price (Cell - D31)</text>
  </threadedComment>
  <threadedComment ref="E37" dT="2023-10-17T13:03:29.49" personId="{00000000-0000-0000-0000-000000000000}" id="{C5CEEA94-7AF3-4F54-81B6-7903B19EA6E9}">
    <text>Carbon Price Change* Carbon Intensity (Scope3)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2E360-C1FD-41BE-B88C-38B2594D20E7}">
  <sheetPr codeName="sh_admin">
    <tabColor theme="0" tint="-0.34998626667073579"/>
  </sheetPr>
  <dimension ref="B1:J11"/>
  <sheetViews>
    <sheetView workbookViewId="0">
      <selection activeCell="E8" sqref="E8"/>
    </sheetView>
  </sheetViews>
  <sheetFormatPr defaultRowHeight="14.45"/>
  <cols>
    <col min="1" max="1" width="1.140625" customWidth="1"/>
    <col min="2" max="2" width="38" bestFit="1" customWidth="1"/>
    <col min="3" max="3" width="15.140625" bestFit="1" customWidth="1"/>
    <col min="4" max="4" width="6" bestFit="1" customWidth="1"/>
    <col min="5" max="5" width="19.5703125" bestFit="1" customWidth="1"/>
    <col min="6" max="6" width="23.85546875" bestFit="1" customWidth="1"/>
    <col min="7" max="7" width="15.85546875" bestFit="1" customWidth="1"/>
    <col min="9" max="9" width="27.140625" bestFit="1" customWidth="1"/>
  </cols>
  <sheetData>
    <row r="1" spans="2:10">
      <c r="B1" s="51" t="s">
        <v>0</v>
      </c>
      <c r="C1" s="51" t="s">
        <v>1</v>
      </c>
      <c r="D1" s="52" t="s">
        <v>2</v>
      </c>
      <c r="E1" s="53" t="s">
        <v>3</v>
      </c>
      <c r="F1" s="53" t="s">
        <v>4</v>
      </c>
      <c r="G1" s="54" t="s">
        <v>5</v>
      </c>
      <c r="I1" s="55" t="s">
        <v>6</v>
      </c>
      <c r="J1" s="55" t="s">
        <v>7</v>
      </c>
    </row>
    <row r="2" spans="2:10">
      <c r="B2" s="56" t="s">
        <v>8</v>
      </c>
      <c r="C2" t="s">
        <v>9</v>
      </c>
      <c r="D2" s="57">
        <v>1</v>
      </c>
      <c r="E2" t="s">
        <v>10</v>
      </c>
      <c r="F2" t="str">
        <f>IF(E2&lt;&gt;"",CONCATENATE(D2,".Tables ",E2),"")</f>
        <v>1.Tables Coal India</v>
      </c>
      <c r="G2" s="58" t="str">
        <f>IF(E2&lt;&gt;"",_xlfn.CONCAT(D2,".Input data ",E2),"")</f>
        <v>1.Input data Coal India</v>
      </c>
      <c r="H2" t="s">
        <v>11</v>
      </c>
      <c r="I2" t="str">
        <f>VLOOKUP(Results!C5,Admin!$E$2:$F$11,2,0)</f>
        <v>1.Tables Coal India</v>
      </c>
      <c r="J2" t="str">
        <f>VLOOKUP(I2,$F$2:$G$11,2,0)</f>
        <v>1.Input data Coal India</v>
      </c>
    </row>
    <row r="3" spans="2:10">
      <c r="B3" s="56" t="s">
        <v>12</v>
      </c>
      <c r="C3" t="s">
        <v>13</v>
      </c>
      <c r="D3" s="57">
        <v>2</v>
      </c>
      <c r="E3" t="s">
        <v>14</v>
      </c>
      <c r="F3" t="str">
        <f t="shared" ref="F3:F11" si="0">IF(E3&lt;&gt;"",CONCATENATE(D3,".Tables ",E3),"")</f>
        <v>2.Tables NLC CIL</v>
      </c>
      <c r="G3" s="58" t="str">
        <f t="shared" ref="G3:G11" si="1">IF(E3&lt;&gt;"",_xlfn.CONCAT(D3,".Input data ",E3),"")</f>
        <v>2.Input data NLC CIL</v>
      </c>
      <c r="H3" t="s">
        <v>11</v>
      </c>
    </row>
    <row r="4" spans="2:10">
      <c r="B4" s="56" t="s">
        <v>15</v>
      </c>
      <c r="C4" t="s">
        <v>16</v>
      </c>
      <c r="D4" s="57">
        <v>3</v>
      </c>
      <c r="E4" t="s">
        <v>17</v>
      </c>
      <c r="F4" t="str">
        <f t="shared" si="0"/>
        <v>3.Tables Bharat Petroleum</v>
      </c>
      <c r="G4" s="58" t="str">
        <f t="shared" si="1"/>
        <v>3.Input data Bharat Petroleum</v>
      </c>
      <c r="H4" t="s">
        <v>18</v>
      </c>
    </row>
    <row r="5" spans="2:10">
      <c r="B5" s="56" t="s">
        <v>19</v>
      </c>
      <c r="D5" s="57">
        <v>4</v>
      </c>
      <c r="E5" t="s">
        <v>20</v>
      </c>
      <c r="F5" t="str">
        <f t="shared" si="0"/>
        <v>4.Tables HPCL</v>
      </c>
      <c r="G5" s="58" t="str">
        <f t="shared" si="1"/>
        <v>4.Input data HPCL</v>
      </c>
      <c r="H5" t="s">
        <v>21</v>
      </c>
    </row>
    <row r="6" spans="2:10">
      <c r="B6" s="56" t="s">
        <v>22</v>
      </c>
      <c r="D6" s="57">
        <v>5</v>
      </c>
      <c r="E6" t="s">
        <v>23</v>
      </c>
      <c r="F6" t="str">
        <f t="shared" si="0"/>
        <v>5.Tables Ultratech Cement ltd</v>
      </c>
      <c r="G6" s="58" t="str">
        <f t="shared" si="1"/>
        <v>5.Input data Ultratech Cement ltd</v>
      </c>
    </row>
    <row r="7" spans="2:10">
      <c r="B7" s="56" t="s">
        <v>24</v>
      </c>
      <c r="D7" s="57">
        <v>6</v>
      </c>
      <c r="F7" t="str">
        <f t="shared" si="0"/>
        <v/>
      </c>
      <c r="G7" s="58" t="str">
        <f t="shared" si="1"/>
        <v/>
      </c>
    </row>
    <row r="8" spans="2:10">
      <c r="B8" s="56" t="s">
        <v>25</v>
      </c>
      <c r="D8" s="57">
        <v>7</v>
      </c>
      <c r="F8" t="str">
        <f t="shared" si="0"/>
        <v/>
      </c>
      <c r="G8" s="58" t="str">
        <f t="shared" si="1"/>
        <v/>
      </c>
    </row>
    <row r="9" spans="2:10">
      <c r="B9" s="56"/>
      <c r="D9" s="57">
        <v>8</v>
      </c>
      <c r="F9" t="str">
        <f t="shared" si="0"/>
        <v/>
      </c>
      <c r="G9" s="58" t="str">
        <f t="shared" si="1"/>
        <v/>
      </c>
    </row>
    <row r="10" spans="2:10">
      <c r="B10" s="56"/>
      <c r="D10" s="57">
        <v>9</v>
      </c>
      <c r="F10" t="str">
        <f t="shared" si="0"/>
        <v/>
      </c>
      <c r="G10" s="58" t="str">
        <f t="shared" si="1"/>
        <v/>
      </c>
    </row>
    <row r="11" spans="2:10">
      <c r="B11" s="56"/>
      <c r="D11" s="57">
        <v>10</v>
      </c>
      <c r="F11" t="str">
        <f t="shared" si="0"/>
        <v/>
      </c>
      <c r="G11" s="58" t="str">
        <f t="shared" si="1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F51C5-18E4-419F-A21D-C2F8AE84719A}">
  <sheetPr codeName="sh_pd"/>
  <dimension ref="A1:XFA268"/>
  <sheetViews>
    <sheetView showGridLines="0" tabSelected="1" zoomScale="70" zoomScaleNormal="70" workbookViewId="0">
      <pane ySplit="1" topLeftCell="A2" activePane="bottomLeft" state="frozen"/>
      <selection pane="bottomLeft" activeCell="K8" sqref="K8:L8"/>
    </sheetView>
  </sheetViews>
  <sheetFormatPr defaultRowHeight="14.45"/>
  <cols>
    <col min="1" max="1" width="40.42578125" bestFit="1" customWidth="1"/>
    <col min="7" max="7" width="1.85546875" customWidth="1"/>
    <col min="10" max="10" width="16.42578125" customWidth="1"/>
    <col min="11" max="11" width="8.140625" customWidth="1"/>
    <col min="12" max="12" width="15" customWidth="1"/>
  </cols>
  <sheetData>
    <row r="1" spans="1:23" ht="44.45" customHeight="1">
      <c r="A1" s="183" t="s">
        <v>26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</row>
    <row r="4" spans="1:23" ht="24" customHeight="1">
      <c r="H4" s="178" t="s">
        <v>27</v>
      </c>
      <c r="I4" s="179"/>
      <c r="J4" s="180"/>
      <c r="K4" s="186"/>
      <c r="L4" s="187"/>
    </row>
    <row r="6" spans="1:23" ht="24" customHeight="1">
      <c r="H6" s="178" t="s">
        <v>28</v>
      </c>
      <c r="I6" s="179"/>
      <c r="J6" s="180"/>
      <c r="K6" s="184" t="s">
        <v>29</v>
      </c>
      <c r="L6" s="185"/>
    </row>
    <row r="7" spans="1:23" ht="14.45" customHeight="1">
      <c r="H7" s="59"/>
      <c r="I7" s="59"/>
      <c r="J7" s="59"/>
      <c r="K7" s="59"/>
      <c r="L7" s="59"/>
    </row>
    <row r="8" spans="1:23" ht="24" customHeight="1">
      <c r="H8" s="178" t="s">
        <v>30</v>
      </c>
      <c r="I8" s="179"/>
      <c r="J8" s="180"/>
      <c r="K8" s="181" t="e">
        <f>VLOOKUP(K6,Admin!E2:H5,4,0)</f>
        <v>#N/A</v>
      </c>
      <c r="L8" s="182"/>
    </row>
    <row r="9" spans="1:23" ht="25.7" customHeight="1"/>
    <row r="10" spans="1:23" ht="25.7" customHeight="1"/>
    <row r="12" spans="1:23" hidden="1"/>
    <row r="13" spans="1:23" hidden="1"/>
    <row r="14" spans="1:23" hidden="1"/>
    <row r="15" spans="1:23" hidden="1"/>
    <row r="16" spans="1:23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95" spans="1:30" s="35" customFormat="1">
      <c r="A95" s="60" t="s">
        <v>31</v>
      </c>
    </row>
    <row r="96" spans="1:30" s="35" customFormat="1">
      <c r="A96" s="61" t="s">
        <v>32</v>
      </c>
      <c r="B96" s="38">
        <v>2022</v>
      </c>
      <c r="C96" s="38">
        <v>2023</v>
      </c>
      <c r="D96" s="38">
        <v>2024</v>
      </c>
      <c r="E96" s="38">
        <v>2025</v>
      </c>
      <c r="F96" s="38">
        <v>2026</v>
      </c>
      <c r="G96" s="38">
        <v>2027</v>
      </c>
      <c r="H96" s="38">
        <v>2028</v>
      </c>
      <c r="I96" s="38">
        <v>2029</v>
      </c>
      <c r="J96" s="38">
        <v>2030</v>
      </c>
      <c r="K96" s="38">
        <v>2031</v>
      </c>
      <c r="L96" s="38">
        <v>2032</v>
      </c>
      <c r="M96" s="38">
        <v>2033</v>
      </c>
      <c r="N96" s="38">
        <v>2034</v>
      </c>
      <c r="O96" s="38">
        <v>2035</v>
      </c>
      <c r="P96" s="38">
        <v>2036</v>
      </c>
      <c r="Q96" s="38">
        <v>2037</v>
      </c>
      <c r="R96" s="38">
        <v>2038</v>
      </c>
      <c r="S96" s="38">
        <v>2039</v>
      </c>
      <c r="T96" s="38">
        <v>2040</v>
      </c>
      <c r="U96" s="38">
        <v>2041</v>
      </c>
      <c r="V96" s="38">
        <v>2042</v>
      </c>
      <c r="W96" s="38">
        <v>2043</v>
      </c>
      <c r="X96" s="38">
        <v>2044</v>
      </c>
      <c r="Y96" s="38">
        <v>2045</v>
      </c>
      <c r="Z96" s="38">
        <v>2046</v>
      </c>
      <c r="AA96" s="38">
        <v>2047</v>
      </c>
      <c r="AB96" s="38">
        <v>2048</v>
      </c>
      <c r="AC96" s="38">
        <v>2049</v>
      </c>
      <c r="AD96" s="38">
        <v>2050</v>
      </c>
    </row>
    <row r="97" spans="1:30" s="35" customFormat="1">
      <c r="A97" s="62" t="s">
        <v>33</v>
      </c>
      <c r="B97" s="63">
        <v>3.7141701647138386E-3</v>
      </c>
      <c r="C97" s="63">
        <v>4.073662206714691E-3</v>
      </c>
      <c r="D97" s="63">
        <v>4.4503519120501281E-3</v>
      </c>
      <c r="E97" s="63">
        <v>4.8328031598185639E-3</v>
      </c>
      <c r="F97" s="63">
        <v>5.0074967598352678E-3</v>
      </c>
      <c r="G97" s="63">
        <v>5.1575896770218238E-3</v>
      </c>
      <c r="H97" s="63">
        <v>5.2901288155798943E-3</v>
      </c>
      <c r="I97" s="63">
        <v>5.407453423491553E-3</v>
      </c>
      <c r="J97" s="63">
        <v>5.5103440263453551E-3</v>
      </c>
      <c r="K97" s="63">
        <v>5.5126703435265396E-3</v>
      </c>
      <c r="L97" s="63">
        <v>5.5003168646422769E-3</v>
      </c>
      <c r="M97" s="63">
        <v>5.4778247386790095E-3</v>
      </c>
      <c r="N97" s="63">
        <v>5.4471120522625134E-3</v>
      </c>
      <c r="O97" s="63">
        <v>5.4092144430576477E-3</v>
      </c>
      <c r="P97" s="63">
        <v>5.2872984187301054E-3</v>
      </c>
      <c r="Q97" s="63">
        <v>5.1640332379154956E-3</v>
      </c>
      <c r="R97" s="63">
        <v>5.0442707298100449E-3</v>
      </c>
      <c r="S97" s="63">
        <v>4.9297719110818318E-3</v>
      </c>
      <c r="T97" s="63">
        <v>4.8211828782138942E-3</v>
      </c>
      <c r="U97" s="63">
        <v>4.6664276567513121E-3</v>
      </c>
      <c r="V97" s="63">
        <v>4.5232737769648774E-3</v>
      </c>
      <c r="W97" s="63">
        <v>4.3951443388189045E-3</v>
      </c>
      <c r="X97" s="63">
        <v>4.2826166251764648E-3</v>
      </c>
      <c r="Y97" s="63">
        <v>4.185227181417079E-3</v>
      </c>
      <c r="Z97" s="63">
        <v>4.0785443924964216E-3</v>
      </c>
      <c r="AA97" s="63">
        <v>3.9888005863824979E-3</v>
      </c>
      <c r="AB97" s="63">
        <v>3.9180160733808707E-3</v>
      </c>
      <c r="AC97" s="63">
        <v>3.8661232321169792E-3</v>
      </c>
      <c r="AD97" s="63">
        <v>3.8324653920181759E-3</v>
      </c>
    </row>
    <row r="98" spans="1:30" s="35" customFormat="1">
      <c r="A98" s="62" t="s">
        <v>34</v>
      </c>
      <c r="B98" s="63">
        <v>3.7141701647138386E-3</v>
      </c>
      <c r="C98" s="63">
        <v>3.6586026726502922E-3</v>
      </c>
      <c r="D98" s="63">
        <v>3.5881406889900231E-3</v>
      </c>
      <c r="E98" s="63">
        <v>3.5184423204138397E-3</v>
      </c>
      <c r="F98" s="63">
        <v>3.5093968748691595E-3</v>
      </c>
      <c r="G98" s="63">
        <v>3.5027334161055819E-3</v>
      </c>
      <c r="H98" s="63">
        <v>3.4976037119054553E-3</v>
      </c>
      <c r="I98" s="63">
        <v>3.4937764238712589E-3</v>
      </c>
      <c r="J98" s="63">
        <v>3.4911308839285465E-3</v>
      </c>
      <c r="K98" s="63">
        <v>3.4913332170923451E-3</v>
      </c>
      <c r="L98" s="63">
        <v>3.4925911900867235E-3</v>
      </c>
      <c r="M98" s="63">
        <v>3.4948217976688623E-3</v>
      </c>
      <c r="N98" s="63">
        <v>3.4979985571218404E-3</v>
      </c>
      <c r="O98" s="63">
        <v>3.5021193269746649E-3</v>
      </c>
      <c r="P98" s="63">
        <v>3.5082522988454674E-3</v>
      </c>
      <c r="Q98" s="63">
        <v>3.5153604734290762E-3</v>
      </c>
      <c r="R98" s="63">
        <v>3.5234127438362834E-3</v>
      </c>
      <c r="S98" s="63">
        <v>3.5324144158986577E-3</v>
      </c>
      <c r="T98" s="63">
        <v>3.5423865371556431E-3</v>
      </c>
      <c r="U98" s="63">
        <v>3.5541695137134041E-3</v>
      </c>
      <c r="V98" s="63">
        <v>3.5669811290862533E-3</v>
      </c>
      <c r="W98" s="63">
        <v>3.5807906543894202E-3</v>
      </c>
      <c r="X98" s="63">
        <v>3.5956023160871693E-3</v>
      </c>
      <c r="Y98" s="63">
        <v>3.6114357641483168E-3</v>
      </c>
      <c r="Z98" s="63">
        <v>3.6283764044597279E-3</v>
      </c>
      <c r="AA98" s="63">
        <v>3.6463937942243525E-3</v>
      </c>
      <c r="AB98" s="63">
        <v>3.6655135780292738E-3</v>
      </c>
      <c r="AC98" s="63">
        <v>3.685766898388107E-3</v>
      </c>
      <c r="AD98" s="63">
        <v>3.7071877939998089E-3</v>
      </c>
    </row>
    <row r="99" spans="1:30" s="35" customFormat="1">
      <c r="A99" s="62" t="s">
        <v>19</v>
      </c>
      <c r="B99" s="63">
        <v>3.7141701647138386E-3</v>
      </c>
      <c r="C99" s="63">
        <v>3.6586026726502922E-3</v>
      </c>
      <c r="D99" s="63">
        <v>3.5881406889900231E-3</v>
      </c>
      <c r="E99" s="63">
        <v>3.5184423204138397E-3</v>
      </c>
      <c r="F99" s="63">
        <v>3.5093968748691595E-3</v>
      </c>
      <c r="G99" s="63">
        <v>3.5027334161055819E-3</v>
      </c>
      <c r="H99" s="63">
        <v>3.4976037119054553E-3</v>
      </c>
      <c r="I99" s="63">
        <v>3.4937764238712589E-3</v>
      </c>
      <c r="J99" s="63">
        <v>3.4911308839285465E-3</v>
      </c>
      <c r="K99" s="63">
        <v>5.5127150874003019E-3</v>
      </c>
      <c r="L99" s="63">
        <v>9.2355122248384044E-3</v>
      </c>
      <c r="M99" s="63">
        <v>1.512558423500307E-2</v>
      </c>
      <c r="N99" s="63">
        <v>2.3801132356290101E-2</v>
      </c>
      <c r="O99" s="63">
        <v>3.5763039338674862E-2</v>
      </c>
      <c r="P99" s="63">
        <v>4.1989804924780424E-2</v>
      </c>
      <c r="Q99" s="63">
        <v>4.6802952366669835E-2</v>
      </c>
      <c r="R99" s="63">
        <v>5.0289952351339956E-2</v>
      </c>
      <c r="S99" s="63">
        <v>5.2326812591129833E-2</v>
      </c>
      <c r="T99" s="63">
        <v>5.2840558760022735E-2</v>
      </c>
      <c r="U99" s="63">
        <v>5.0629837476148701E-2</v>
      </c>
      <c r="V99" s="63">
        <v>4.7180344935266627E-2</v>
      </c>
      <c r="W99" s="63">
        <v>4.2889976460897393E-2</v>
      </c>
      <c r="X99" s="63">
        <v>3.8080039888628091E-2</v>
      </c>
      <c r="Y99" s="63">
        <v>3.3041211078823012E-2</v>
      </c>
      <c r="Z99" s="63">
        <v>2.7671649271862185E-2</v>
      </c>
      <c r="AA99" s="63">
        <v>2.2681468751342363E-2</v>
      </c>
      <c r="AB99" s="63">
        <v>1.8239246439070024E-2</v>
      </c>
      <c r="AC99" s="63">
        <v>1.4403688958294284E-2</v>
      </c>
      <c r="AD99" s="63">
        <v>1.1176391191695148E-2</v>
      </c>
    </row>
    <row r="100" spans="1:30" s="35" customFormat="1">
      <c r="A100" s="62" t="s">
        <v>22</v>
      </c>
      <c r="B100" s="63">
        <v>3.7141701647138386E-3</v>
      </c>
      <c r="C100" s="63">
        <v>1.1126752007503822E-2</v>
      </c>
      <c r="D100" s="63">
        <v>3.3503349359623048E-2</v>
      </c>
      <c r="E100" s="63">
        <v>9.5492194471267014E-2</v>
      </c>
      <c r="F100" s="63">
        <v>0.1294977925313085</v>
      </c>
      <c r="G100" s="63">
        <v>0.15966436699358755</v>
      </c>
      <c r="H100" s="63">
        <v>0.18866922988944348</v>
      </c>
      <c r="I100" s="63">
        <v>0.21590624390312624</v>
      </c>
      <c r="J100" s="63">
        <v>0.24047324673101658</v>
      </c>
      <c r="K100" s="63">
        <v>0.22685288930614869</v>
      </c>
      <c r="L100" s="63">
        <v>0.20827365010039595</v>
      </c>
      <c r="M100" s="63">
        <v>0.18880843772368205</v>
      </c>
      <c r="N100" s="63">
        <v>0.16949817079841017</v>
      </c>
      <c r="O100" s="63">
        <v>0.15089797889707762</v>
      </c>
      <c r="P100" s="63">
        <v>0.11851386644921102</v>
      </c>
      <c r="Q100" s="63">
        <v>9.2461489192714102E-2</v>
      </c>
      <c r="R100" s="63">
        <v>7.2522897308887183E-2</v>
      </c>
      <c r="S100" s="63">
        <v>5.7328387819459543E-2</v>
      </c>
      <c r="T100" s="63">
        <v>4.5712987328942752E-2</v>
      </c>
      <c r="U100" s="63">
        <v>3.4854999810041934E-2</v>
      </c>
      <c r="V100" s="63">
        <v>2.6862443124405305E-2</v>
      </c>
      <c r="W100" s="63">
        <v>2.1040909377978666E-2</v>
      </c>
      <c r="X100" s="63">
        <v>1.6773561167880782E-2</v>
      </c>
      <c r="Y100" s="63">
        <v>1.3614237287098714E-2</v>
      </c>
      <c r="Z100" s="63">
        <v>1.0690110708657911E-2</v>
      </c>
      <c r="AA100" s="63">
        <v>8.5849659730640199E-3</v>
      </c>
      <c r="AB100" s="63">
        <v>7.1112152096156431E-3</v>
      </c>
      <c r="AC100" s="63">
        <v>6.0959769448166289E-3</v>
      </c>
      <c r="AD100" s="63">
        <v>5.4140505031768284E-3</v>
      </c>
    </row>
    <row r="101" spans="1:30" s="35" customFormat="1">
      <c r="A101" s="62" t="s">
        <v>35</v>
      </c>
      <c r="B101" s="63">
        <v>3.7141701647138386E-3</v>
      </c>
      <c r="C101" s="63">
        <v>4.320801141312715E-3</v>
      </c>
      <c r="D101" s="63">
        <v>5.0365216835996617E-3</v>
      </c>
      <c r="E101" s="63">
        <v>5.8305241455570006E-3</v>
      </c>
      <c r="F101" s="63">
        <v>6.4217582656030314E-3</v>
      </c>
      <c r="G101" s="63">
        <v>6.9999074931956888E-3</v>
      </c>
      <c r="H101" s="63">
        <v>7.5636454919406531E-3</v>
      </c>
      <c r="I101" s="63">
        <v>8.10630622781797E-3</v>
      </c>
      <c r="J101" s="63">
        <v>8.619475817271181E-3</v>
      </c>
      <c r="K101" s="63">
        <v>8.2009946513405194E-3</v>
      </c>
      <c r="L101" s="63">
        <v>7.7536068975715749E-3</v>
      </c>
      <c r="M101" s="63">
        <v>7.3238651296708337E-3</v>
      </c>
      <c r="N101" s="63">
        <v>6.924990813308626E-3</v>
      </c>
      <c r="O101" s="63">
        <v>6.5607744766849486E-3</v>
      </c>
      <c r="P101" s="63">
        <v>6.2485490048891593E-3</v>
      </c>
      <c r="Q101" s="63">
        <v>5.9664806285482531E-3</v>
      </c>
      <c r="R101" s="63">
        <v>5.7114068273089354E-3</v>
      </c>
      <c r="S101" s="63">
        <v>5.4807925769488515E-3</v>
      </c>
      <c r="T101" s="63">
        <v>5.2724248254595076E-3</v>
      </c>
      <c r="U101" s="63">
        <v>5.0952359462989099E-3</v>
      </c>
      <c r="V101" s="63">
        <v>4.9352851409942356E-3</v>
      </c>
      <c r="W101" s="63">
        <v>4.7903404172537998E-3</v>
      </c>
      <c r="X101" s="63">
        <v>4.6588929890267455E-3</v>
      </c>
      <c r="Y101" s="63">
        <v>4.5397747154202134E-3</v>
      </c>
      <c r="Z101" s="63">
        <v>4.4324181071183156E-3</v>
      </c>
      <c r="AA101" s="63">
        <v>4.3355287252955614E-3</v>
      </c>
      <c r="AB101" s="63">
        <v>4.2483144040960825E-3</v>
      </c>
      <c r="AC101" s="63">
        <v>4.1700934278850821E-3</v>
      </c>
      <c r="AD101" s="63">
        <v>4.1002607109474187E-3</v>
      </c>
    </row>
    <row r="102" spans="1:30" s="35" customFormat="1">
      <c r="A102" s="62" t="s">
        <v>25</v>
      </c>
      <c r="B102" s="63">
        <v>3.7141701647138386E-3</v>
      </c>
      <c r="C102" s="63">
        <v>5.6963573748441331E-3</v>
      </c>
      <c r="D102" s="63">
        <v>8.8622570867191146E-3</v>
      </c>
      <c r="E102" s="63">
        <v>1.3463547973626675E-2</v>
      </c>
      <c r="F102" s="63">
        <v>1.5048909185630158E-2</v>
      </c>
      <c r="G102" s="63">
        <v>1.6309492556493606E-2</v>
      </c>
      <c r="H102" s="63">
        <v>1.737926588013293E-2</v>
      </c>
      <c r="I102" s="63">
        <v>1.8285843597070233E-2</v>
      </c>
      <c r="J102" s="63">
        <v>1.9037113358317606E-2</v>
      </c>
      <c r="K102" s="63">
        <v>2.3765526607170545E-2</v>
      </c>
      <c r="L102" s="63">
        <v>2.9401704258940634E-2</v>
      </c>
      <c r="M102" s="63">
        <v>3.5636936056910984E-2</v>
      </c>
      <c r="N102" s="63">
        <v>4.2168645900714848E-2</v>
      </c>
      <c r="O102" s="63">
        <v>4.8620852896342888E-2</v>
      </c>
      <c r="P102" s="63">
        <v>5.1078424314047188E-2</v>
      </c>
      <c r="Q102" s="63">
        <v>5.2185954193421508E-2</v>
      </c>
      <c r="R102" s="63">
        <v>5.2134062363155494E-2</v>
      </c>
      <c r="S102" s="63">
        <v>5.1005858197730812E-2</v>
      </c>
      <c r="T102" s="63">
        <v>4.8909695441801265E-2</v>
      </c>
      <c r="U102" s="63">
        <v>4.4524547167187067E-2</v>
      </c>
      <c r="V102" s="63">
        <v>3.9781064084357123E-2</v>
      </c>
      <c r="W102" s="63">
        <v>3.5015595741303279E-2</v>
      </c>
      <c r="X102" s="63">
        <v>3.0404056624167824E-2</v>
      </c>
      <c r="Y102" s="63">
        <v>2.6059468125673928E-2</v>
      </c>
      <c r="Z102" s="63">
        <v>2.1530417253574852E-2</v>
      </c>
      <c r="AA102" s="63">
        <v>1.7598936108211814E-2</v>
      </c>
      <c r="AB102" s="63">
        <v>1.4293518480946421E-2</v>
      </c>
      <c r="AC102" s="63">
        <v>1.15553710496541E-2</v>
      </c>
      <c r="AD102" s="63">
        <v>9.3069453335360101E-3</v>
      </c>
    </row>
    <row r="103" spans="1:30" s="35" customFormat="1"/>
    <row r="104" spans="1:30" s="35" customFormat="1"/>
    <row r="105" spans="1:30" s="35" customFormat="1">
      <c r="A105" s="64" t="s">
        <v>13</v>
      </c>
      <c r="B105" s="38">
        <v>2022</v>
      </c>
      <c r="C105" s="38">
        <v>2023</v>
      </c>
      <c r="D105" s="38">
        <v>2024</v>
      </c>
      <c r="E105" s="38">
        <v>2025</v>
      </c>
      <c r="F105" s="38">
        <v>2026</v>
      </c>
      <c r="G105" s="38">
        <v>2027</v>
      </c>
      <c r="H105" s="38">
        <v>2028</v>
      </c>
      <c r="I105" s="38">
        <v>2029</v>
      </c>
      <c r="J105" s="38">
        <v>2030</v>
      </c>
      <c r="K105" s="38">
        <v>2031</v>
      </c>
      <c r="L105" s="38">
        <v>2032</v>
      </c>
      <c r="M105" s="38">
        <v>2033</v>
      </c>
      <c r="N105" s="38">
        <v>2034</v>
      </c>
      <c r="O105" s="38">
        <v>2035</v>
      </c>
      <c r="P105" s="38">
        <v>2036</v>
      </c>
      <c r="Q105" s="38">
        <v>2037</v>
      </c>
      <c r="R105" s="38">
        <v>2038</v>
      </c>
      <c r="S105" s="38">
        <v>2039</v>
      </c>
      <c r="T105" s="38">
        <v>2040</v>
      </c>
      <c r="U105" s="38">
        <v>2041</v>
      </c>
      <c r="V105" s="38">
        <v>2042</v>
      </c>
      <c r="W105" s="38">
        <v>2043</v>
      </c>
      <c r="X105" s="38">
        <v>2044</v>
      </c>
      <c r="Y105" s="38">
        <v>2045</v>
      </c>
      <c r="Z105" s="38">
        <v>2046</v>
      </c>
      <c r="AA105" s="38">
        <v>2047</v>
      </c>
      <c r="AB105" s="38">
        <v>2048</v>
      </c>
      <c r="AC105" s="38">
        <v>2049</v>
      </c>
      <c r="AD105" s="38">
        <v>2050</v>
      </c>
    </row>
    <row r="106" spans="1:30" s="35" customFormat="1">
      <c r="A106" s="65" t="s">
        <v>33</v>
      </c>
      <c r="B106" s="63">
        <v>3.7141701647138386E-3</v>
      </c>
      <c r="C106" s="63">
        <v>4.073662206714691E-3</v>
      </c>
      <c r="D106" s="63">
        <v>4.5050699743520474E-3</v>
      </c>
      <c r="E106" s="63">
        <v>5.0026177440907222E-3</v>
      </c>
      <c r="F106" s="63">
        <v>5.3424218793053776E-3</v>
      </c>
      <c r="G106" s="63">
        <v>5.7073571779029889E-3</v>
      </c>
      <c r="H106" s="63">
        <v>6.1007466560040746E-3</v>
      </c>
      <c r="I106" s="63">
        <v>6.524172258050135E-3</v>
      </c>
      <c r="J106" s="63">
        <v>6.9794096010028723E-3</v>
      </c>
      <c r="K106" s="63">
        <v>7.3489105623699615E-3</v>
      </c>
      <c r="L106" s="63">
        <v>7.7363550799852965E-3</v>
      </c>
      <c r="M106" s="63">
        <v>8.1441201970997423E-3</v>
      </c>
      <c r="N106" s="63">
        <v>8.5731565268051969E-3</v>
      </c>
      <c r="O106" s="63">
        <v>9.0244537803063143E-3</v>
      </c>
      <c r="P106" s="63">
        <v>9.3532515458576108E-3</v>
      </c>
      <c r="Q106" s="63">
        <v>9.6900442723048697E-3</v>
      </c>
      <c r="R106" s="63">
        <v>1.003738879868302E-2</v>
      </c>
      <c r="S106" s="63">
        <v>1.0395577222410746E-2</v>
      </c>
      <c r="T106" s="63">
        <v>1.0764883027313257E-2</v>
      </c>
      <c r="U106" s="63">
        <v>1.1008633390845868E-2</v>
      </c>
      <c r="V106" s="63">
        <v>1.1252798675874615E-2</v>
      </c>
      <c r="W106" s="63">
        <v>1.1499847434863783E-2</v>
      </c>
      <c r="X106" s="63">
        <v>1.1749773667242376E-2</v>
      </c>
      <c r="Y106" s="63">
        <v>1.2002542162206494E-2</v>
      </c>
      <c r="Z106" s="63">
        <v>1.2173189958801104E-2</v>
      </c>
      <c r="AA106" s="63">
        <v>1.2341075872328683E-2</v>
      </c>
      <c r="AB106" s="63">
        <v>1.2507797771776675E-2</v>
      </c>
      <c r="AC106" s="63">
        <v>1.2673276301396825E-2</v>
      </c>
      <c r="AD106" s="63">
        <v>1.2837413762571094E-2</v>
      </c>
    </row>
    <row r="107" spans="1:30" s="35" customFormat="1">
      <c r="A107" s="65" t="s">
        <v>34</v>
      </c>
      <c r="B107" s="63">
        <v>3.7141701647138386E-3</v>
      </c>
      <c r="C107" s="63">
        <v>3.6586026726502922E-3</v>
      </c>
      <c r="D107" s="63">
        <v>3.6056018852063348E-3</v>
      </c>
      <c r="E107" s="63">
        <v>3.5557833826792688E-3</v>
      </c>
      <c r="F107" s="63">
        <v>3.5677869130994362E-3</v>
      </c>
      <c r="G107" s="63">
        <v>3.5804510173707083E-3</v>
      </c>
      <c r="H107" s="63">
        <v>3.5933235517417875E-3</v>
      </c>
      <c r="I107" s="63">
        <v>3.6063954622250192E-3</v>
      </c>
      <c r="J107" s="63">
        <v>3.6196626505293483E-3</v>
      </c>
      <c r="K107" s="63">
        <v>3.6352595131612358E-3</v>
      </c>
      <c r="L107" s="63">
        <v>3.6511256757196047E-3</v>
      </c>
      <c r="M107" s="63">
        <v>3.6672404570892003E-3</v>
      </c>
      <c r="N107" s="63">
        <v>3.6835988196422401E-3</v>
      </c>
      <c r="O107" s="63">
        <v>3.7001961844314799E-3</v>
      </c>
      <c r="P107" s="63">
        <v>3.7183925594708712E-3</v>
      </c>
      <c r="Q107" s="63">
        <v>3.7368686443834428E-3</v>
      </c>
      <c r="R107" s="63">
        <v>3.7556097841115804E-3</v>
      </c>
      <c r="S107" s="63">
        <v>3.7746114274914803E-3</v>
      </c>
      <c r="T107" s="63">
        <v>3.7938694124558391E-3</v>
      </c>
      <c r="U107" s="63">
        <v>3.8144227445564816E-3</v>
      </c>
      <c r="V107" s="63">
        <v>3.8352595891264513E-3</v>
      </c>
      <c r="W107" s="63">
        <v>3.8563682868945448E-3</v>
      </c>
      <c r="X107" s="63">
        <v>3.8777450412230746E-3</v>
      </c>
      <c r="Y107" s="63">
        <v>3.8993863856107997E-3</v>
      </c>
      <c r="Z107" s="63">
        <v>3.9213602091243355E-3</v>
      </c>
      <c r="AA107" s="63">
        <v>3.9435926252498242E-3</v>
      </c>
      <c r="AB107" s="63">
        <v>3.9660801898729944E-3</v>
      </c>
      <c r="AC107" s="63">
        <v>3.9888201849790647E-3</v>
      </c>
      <c r="AD107" s="63">
        <v>4.0118100810865092E-3</v>
      </c>
    </row>
    <row r="108" spans="1:30" s="35" customFormat="1">
      <c r="A108" s="65" t="s">
        <v>19</v>
      </c>
      <c r="B108" s="63">
        <v>3.7141701647138386E-3</v>
      </c>
      <c r="C108" s="63">
        <v>3.6586026726502922E-3</v>
      </c>
      <c r="D108" s="63">
        <v>3.6056018852063348E-3</v>
      </c>
      <c r="E108" s="63">
        <v>3.5557833826792688E-3</v>
      </c>
      <c r="F108" s="63">
        <v>3.5677869130994362E-3</v>
      </c>
      <c r="G108" s="63">
        <v>3.5804510173707083E-3</v>
      </c>
      <c r="H108" s="63">
        <v>3.5933235517417875E-3</v>
      </c>
      <c r="I108" s="63">
        <v>3.6063954622250192E-3</v>
      </c>
      <c r="J108" s="63">
        <v>3.6196626505293483E-3</v>
      </c>
      <c r="K108" s="63">
        <v>5.8459451992161644E-3</v>
      </c>
      <c r="L108" s="63">
        <v>1.0030959053802187E-2</v>
      </c>
      <c r="M108" s="63">
        <v>1.7442200488217145E-2</v>
      </c>
      <c r="N108" s="63">
        <v>3.0589227786947469E-2</v>
      </c>
      <c r="O108" s="63">
        <v>5.415752214446104E-2</v>
      </c>
      <c r="P108" s="63">
        <v>7.9060891111441101E-2</v>
      </c>
      <c r="Q108" s="63">
        <v>0.11508688728001851</v>
      </c>
      <c r="R108" s="63">
        <v>0.16856356909620634</v>
      </c>
      <c r="S108" s="63">
        <v>0.248652670277515</v>
      </c>
      <c r="T108" s="63">
        <v>0.3697474691477261</v>
      </c>
      <c r="U108" s="63">
        <v>0.54017627295224646</v>
      </c>
      <c r="V108" s="63">
        <v>0.79435060190181728</v>
      </c>
      <c r="W108" s="63">
        <v>1</v>
      </c>
      <c r="X108" s="63">
        <v>1</v>
      </c>
      <c r="Y108" s="63">
        <v>1</v>
      </c>
      <c r="Z108" s="63">
        <v>1</v>
      </c>
      <c r="AA108" s="63">
        <v>1</v>
      </c>
      <c r="AB108" s="63">
        <v>1</v>
      </c>
      <c r="AC108" s="63">
        <v>1</v>
      </c>
      <c r="AD108" s="63">
        <v>1</v>
      </c>
    </row>
    <row r="109" spans="1:30" s="35" customFormat="1">
      <c r="A109" s="65" t="s">
        <v>22</v>
      </c>
      <c r="B109" s="63">
        <v>3.7141701647138386E-3</v>
      </c>
      <c r="C109" s="63">
        <v>1.1126752007503822E-2</v>
      </c>
      <c r="D109" s="63">
        <v>3.6666113531997752E-2</v>
      </c>
      <c r="E109" s="63">
        <v>0.12681540391056009</v>
      </c>
      <c r="F109" s="63">
        <v>0.22795179138241631</v>
      </c>
      <c r="G109" s="63">
        <v>0.40109175654744617</v>
      </c>
      <c r="H109" s="63">
        <v>0.71892945343896353</v>
      </c>
      <c r="I109" s="63">
        <v>1</v>
      </c>
      <c r="J109" s="63">
        <v>1</v>
      </c>
      <c r="K109" s="63">
        <v>1</v>
      </c>
      <c r="L109" s="63">
        <v>1</v>
      </c>
      <c r="M109" s="63">
        <v>1</v>
      </c>
      <c r="N109" s="63">
        <v>1</v>
      </c>
      <c r="O109" s="63">
        <v>1</v>
      </c>
      <c r="P109" s="63">
        <v>1</v>
      </c>
      <c r="Q109" s="63">
        <v>1</v>
      </c>
      <c r="R109" s="63">
        <v>1</v>
      </c>
      <c r="S109" s="63">
        <v>1</v>
      </c>
      <c r="T109" s="63">
        <v>1</v>
      </c>
      <c r="U109" s="63">
        <v>1</v>
      </c>
      <c r="V109" s="63">
        <v>1</v>
      </c>
      <c r="W109" s="63">
        <v>1</v>
      </c>
      <c r="X109" s="63">
        <v>1</v>
      </c>
      <c r="Y109" s="63">
        <v>1</v>
      </c>
      <c r="Z109" s="63">
        <v>1</v>
      </c>
      <c r="AA109" s="63">
        <v>1</v>
      </c>
      <c r="AB109" s="63">
        <v>1</v>
      </c>
      <c r="AC109" s="63">
        <v>1</v>
      </c>
      <c r="AD109" s="63">
        <v>1</v>
      </c>
    </row>
    <row r="110" spans="1:30" s="35" customFormat="1">
      <c r="A110" s="65" t="s">
        <v>35</v>
      </c>
      <c r="B110" s="63">
        <v>3.7141701647138386E-3</v>
      </c>
      <c r="C110" s="63">
        <v>4.320801141312715E-3</v>
      </c>
      <c r="D110" s="63">
        <v>5.1207439373725351E-3</v>
      </c>
      <c r="E110" s="63">
        <v>6.1207416250998866E-3</v>
      </c>
      <c r="F110" s="63">
        <v>7.0549212657077479E-3</v>
      </c>
      <c r="G110" s="63">
        <v>8.1447569207019031E-3</v>
      </c>
      <c r="H110" s="63">
        <v>9.4179573530188306E-3</v>
      </c>
      <c r="I110" s="63">
        <v>1.0904393464339655E-2</v>
      </c>
      <c r="J110" s="63">
        <v>1.2639572627212473E-2</v>
      </c>
      <c r="K110" s="63">
        <v>1.3183840471862808E-2</v>
      </c>
      <c r="L110" s="63">
        <v>1.3721775677688161E-2</v>
      </c>
      <c r="M110" s="63">
        <v>1.4280812536661141E-2</v>
      </c>
      <c r="N110" s="63">
        <v>1.4862071946840652E-2</v>
      </c>
      <c r="O110" s="63">
        <v>1.5466409834881451E-2</v>
      </c>
      <c r="P110" s="63">
        <v>1.6142930371998002E-2</v>
      </c>
      <c r="Q110" s="63">
        <v>1.6849680752124681E-2</v>
      </c>
      <c r="R110" s="63">
        <v>1.7586845051268816E-2</v>
      </c>
      <c r="S110" s="63">
        <v>1.8355694448594001E-2</v>
      </c>
      <c r="T110" s="63">
        <v>1.9157567182501854E-2</v>
      </c>
      <c r="U110" s="63">
        <v>2.0041058905646256E-2</v>
      </c>
      <c r="V110" s="63">
        <v>2.096606934933453E-2</v>
      </c>
      <c r="W110" s="63">
        <v>2.1933275776699943E-2</v>
      </c>
      <c r="X110" s="63">
        <v>2.2944576988354275E-2</v>
      </c>
      <c r="Y110" s="63">
        <v>2.4001973321450047E-2</v>
      </c>
      <c r="Z110" s="63">
        <v>2.5110184898627902E-2</v>
      </c>
      <c r="AA110" s="63">
        <v>2.6269105170143241E-2</v>
      </c>
      <c r="AB110" s="63">
        <v>2.7480973230969985E-2</v>
      </c>
      <c r="AC110" s="63">
        <v>2.8748207034343564E-2</v>
      </c>
      <c r="AD110" s="63">
        <v>3.0073338389858355E-2</v>
      </c>
    </row>
    <row r="111" spans="1:30" s="35" customFormat="1">
      <c r="A111" s="65" t="s">
        <v>25</v>
      </c>
      <c r="B111" s="63">
        <v>3.7141701647138386E-3</v>
      </c>
      <c r="C111" s="63">
        <v>5.6963573748441331E-3</v>
      </c>
      <c r="D111" s="63">
        <v>9.1654617059473715E-3</v>
      </c>
      <c r="E111" s="63">
        <v>1.49186299260579E-2</v>
      </c>
      <c r="F111" s="63">
        <v>1.8435295420303626E-2</v>
      </c>
      <c r="G111" s="63">
        <v>2.2659160733607246E-2</v>
      </c>
      <c r="H111" s="63">
        <v>2.7877717612125912E-2</v>
      </c>
      <c r="I111" s="63">
        <v>3.433685728745068E-2</v>
      </c>
      <c r="J111" s="63">
        <v>4.2345060470539167E-2</v>
      </c>
      <c r="K111" s="63">
        <v>6.3739302131798972E-2</v>
      </c>
      <c r="L111" s="63">
        <v>9.7322473818774097E-2</v>
      </c>
      <c r="M111" s="63">
        <v>0.1498132156695183</v>
      </c>
      <c r="N111" s="63">
        <v>0.23275588204151978</v>
      </c>
      <c r="O111" s="63">
        <v>0.36544193944165704</v>
      </c>
      <c r="P111" s="63">
        <v>0.53922523500039898</v>
      </c>
      <c r="Q111" s="63">
        <v>0.79860753115453575</v>
      </c>
      <c r="R111" s="63">
        <v>1</v>
      </c>
      <c r="S111" s="63">
        <v>1</v>
      </c>
      <c r="T111" s="63">
        <v>1</v>
      </c>
      <c r="U111" s="63">
        <v>1</v>
      </c>
      <c r="V111" s="63">
        <v>1</v>
      </c>
      <c r="W111" s="63">
        <v>1</v>
      </c>
      <c r="X111" s="63">
        <v>1</v>
      </c>
      <c r="Y111" s="63">
        <v>1</v>
      </c>
      <c r="Z111" s="63">
        <v>1</v>
      </c>
      <c r="AA111" s="63">
        <v>1</v>
      </c>
      <c r="AB111" s="63">
        <v>1</v>
      </c>
      <c r="AC111" s="63">
        <v>1</v>
      </c>
      <c r="AD111" s="63">
        <v>1</v>
      </c>
    </row>
    <row r="112" spans="1:30" s="35" customFormat="1"/>
    <row r="113" spans="1:30" s="35" customFormat="1"/>
    <row r="114" spans="1:30" s="35" customFormat="1">
      <c r="A114" s="64" t="s">
        <v>16</v>
      </c>
      <c r="B114" s="38">
        <v>2022</v>
      </c>
      <c r="C114" s="38">
        <v>2023</v>
      </c>
      <c r="D114" s="38">
        <v>2024</v>
      </c>
      <c r="E114" s="38">
        <v>2025</v>
      </c>
      <c r="F114" s="38">
        <v>2026</v>
      </c>
      <c r="G114" s="38">
        <v>2027</v>
      </c>
      <c r="H114" s="38">
        <v>2028</v>
      </c>
      <c r="I114" s="38">
        <v>2029</v>
      </c>
      <c r="J114" s="38">
        <v>2030</v>
      </c>
      <c r="K114" s="38">
        <v>2031</v>
      </c>
      <c r="L114" s="38">
        <v>2032</v>
      </c>
      <c r="M114" s="38">
        <v>2033</v>
      </c>
      <c r="N114" s="38">
        <v>2034</v>
      </c>
      <c r="O114" s="38">
        <v>2035</v>
      </c>
      <c r="P114" s="38">
        <v>2036</v>
      </c>
      <c r="Q114" s="38">
        <v>2037</v>
      </c>
      <c r="R114" s="38">
        <v>2038</v>
      </c>
      <c r="S114" s="38">
        <v>2039</v>
      </c>
      <c r="T114" s="38">
        <v>2040</v>
      </c>
      <c r="U114" s="38">
        <v>2041</v>
      </c>
      <c r="V114" s="38">
        <v>2042</v>
      </c>
      <c r="W114" s="38">
        <v>2043</v>
      </c>
      <c r="X114" s="38">
        <v>2044</v>
      </c>
      <c r="Y114" s="38">
        <v>2045</v>
      </c>
      <c r="Z114" s="38">
        <v>2046</v>
      </c>
      <c r="AA114" s="38">
        <v>2047</v>
      </c>
      <c r="AB114" s="38">
        <v>2048</v>
      </c>
      <c r="AC114" s="38">
        <v>2049</v>
      </c>
      <c r="AD114" s="38">
        <v>2050</v>
      </c>
    </row>
    <row r="115" spans="1:30" s="35" customFormat="1">
      <c r="A115" s="65" t="s">
        <v>33</v>
      </c>
      <c r="B115" s="63">
        <v>3.7141701647138386E-3</v>
      </c>
      <c r="C115" s="63">
        <v>4.073662206714691E-3</v>
      </c>
      <c r="D115" s="63">
        <v>4.396586402138118E-3</v>
      </c>
      <c r="E115" s="63">
        <v>4.7287670039746861E-3</v>
      </c>
      <c r="F115" s="63">
        <v>4.8621339833413687E-3</v>
      </c>
      <c r="G115" s="63">
        <v>4.9777208378792605E-3</v>
      </c>
      <c r="H115" s="63">
        <v>5.0828117292339861E-3</v>
      </c>
      <c r="I115" s="63">
        <v>5.1764630586704557E-3</v>
      </c>
      <c r="J115" s="63">
        <v>5.2577645781951383E-3</v>
      </c>
      <c r="K115" s="63">
        <v>5.2451365591888541E-3</v>
      </c>
      <c r="L115" s="63">
        <v>5.2211749285270195E-3</v>
      </c>
      <c r="M115" s="63">
        <v>5.1910802999148957E-3</v>
      </c>
      <c r="N115" s="63">
        <v>5.1550320566441463E-3</v>
      </c>
      <c r="O115" s="63">
        <v>5.1131802117787405E-3</v>
      </c>
      <c r="P115" s="63">
        <v>4.9938370184144116E-3</v>
      </c>
      <c r="Q115" s="63">
        <v>4.8760304774941839E-3</v>
      </c>
      <c r="R115" s="63">
        <v>4.7652375604757624E-3</v>
      </c>
      <c r="S115" s="63">
        <v>4.6611048498752354E-3</v>
      </c>
      <c r="T115" s="63">
        <v>4.5632533134634546E-3</v>
      </c>
      <c r="U115" s="63">
        <v>4.4231156914053349E-3</v>
      </c>
      <c r="V115" s="63">
        <v>4.2961970244370633E-3</v>
      </c>
      <c r="W115" s="63">
        <v>4.1865032814075451E-3</v>
      </c>
      <c r="X115" s="63">
        <v>4.0925105315572415E-3</v>
      </c>
      <c r="Y115" s="63">
        <v>4.012827426554697E-3</v>
      </c>
      <c r="Z115" s="63">
        <v>3.9244217965448613E-3</v>
      </c>
      <c r="AA115" s="63">
        <v>3.8534055840936596E-3</v>
      </c>
      <c r="AB115" s="63">
        <v>3.8025033156823419E-3</v>
      </c>
      <c r="AC115" s="63">
        <v>3.7700335973887425E-3</v>
      </c>
      <c r="AD115" s="63">
        <v>3.754927141987914E-3</v>
      </c>
    </row>
    <row r="116" spans="1:30" s="35" customFormat="1">
      <c r="A116" s="65" t="s">
        <v>34</v>
      </c>
      <c r="B116" s="63">
        <v>3.7141701647138386E-3</v>
      </c>
      <c r="C116" s="63">
        <v>3.6586026726502922E-3</v>
      </c>
      <c r="D116" s="63">
        <v>3.5710605748040226E-3</v>
      </c>
      <c r="E116" s="63">
        <v>3.4981712343391458E-3</v>
      </c>
      <c r="F116" s="63">
        <v>3.4897817284607921E-3</v>
      </c>
      <c r="G116" s="63">
        <v>3.4851328919181597E-3</v>
      </c>
      <c r="H116" s="63">
        <v>3.4815917604925813E-3</v>
      </c>
      <c r="I116" s="63">
        <v>3.479112290909608E-3</v>
      </c>
      <c r="J116" s="63">
        <v>3.4776763471741803E-3</v>
      </c>
      <c r="K116" s="63">
        <v>3.4789604005755793E-3</v>
      </c>
      <c r="L116" s="63">
        <v>3.4812120886892912E-3</v>
      </c>
      <c r="M116" s="63">
        <v>3.4843471272722505E-3</v>
      </c>
      <c r="N116" s="63">
        <v>3.4883824527109013E-3</v>
      </c>
      <c r="O116" s="63">
        <v>3.4933405479023109E-3</v>
      </c>
      <c r="P116" s="63">
        <v>3.5002897890186761E-3</v>
      </c>
      <c r="Q116" s="63">
        <v>3.5081864325225121E-3</v>
      </c>
      <c r="R116" s="63">
        <v>3.5169879796169493E-3</v>
      </c>
      <c r="S116" s="63">
        <v>3.5267294741738184E-3</v>
      </c>
      <c r="T116" s="63">
        <v>3.5374486468859882E-3</v>
      </c>
      <c r="U116" s="63">
        <v>3.5499914919043681E-3</v>
      </c>
      <c r="V116" s="63">
        <v>3.5635468806307774E-3</v>
      </c>
      <c r="W116" s="63">
        <v>3.5780653056369871E-3</v>
      </c>
      <c r="X116" s="63">
        <v>3.5935815715817643E-3</v>
      </c>
      <c r="Y116" s="63">
        <v>3.6101316945199068E-3</v>
      </c>
      <c r="Z116" s="63">
        <v>3.6278098882809333E-3</v>
      </c>
      <c r="AA116" s="63">
        <v>3.6465848061079981E-3</v>
      </c>
      <c r="AB116" s="63">
        <v>3.666482416115128E-3</v>
      </c>
      <c r="AC116" s="63">
        <v>3.687539382779324E-3</v>
      </c>
      <c r="AD116" s="63">
        <v>3.7097929376312408E-3</v>
      </c>
    </row>
    <row r="117" spans="1:30" s="35" customFormat="1">
      <c r="A117" s="65" t="s">
        <v>19</v>
      </c>
      <c r="B117" s="63">
        <v>3.7141701647138386E-3</v>
      </c>
      <c r="C117" s="63">
        <v>3.6586026726502922E-3</v>
      </c>
      <c r="D117" s="63">
        <v>3.5710605748040226E-3</v>
      </c>
      <c r="E117" s="63">
        <v>3.4981712343391458E-3</v>
      </c>
      <c r="F117" s="63">
        <v>3.4897817284607921E-3</v>
      </c>
      <c r="G117" s="63">
        <v>3.4851328919181597E-3</v>
      </c>
      <c r="H117" s="63">
        <v>3.4815917604925813E-3</v>
      </c>
      <c r="I117" s="63">
        <v>3.479112290909608E-3</v>
      </c>
      <c r="J117" s="63">
        <v>3.4776763471741803E-3</v>
      </c>
      <c r="K117" s="63">
        <v>5.4846225112922167E-3</v>
      </c>
      <c r="L117" s="63">
        <v>9.0433564990664746E-3</v>
      </c>
      <c r="M117" s="63">
        <v>1.4271191976119596E-2</v>
      </c>
      <c r="N117" s="63">
        <v>2.1409183222623453E-2</v>
      </c>
      <c r="O117" s="63">
        <v>3.050431099546114E-2</v>
      </c>
      <c r="P117" s="63">
        <v>3.4026293791162981E-2</v>
      </c>
      <c r="Q117" s="63">
        <v>3.6214621503506038E-2</v>
      </c>
      <c r="R117" s="63">
        <v>3.7489295116546327E-2</v>
      </c>
      <c r="S117" s="63">
        <v>3.7764219320753523E-2</v>
      </c>
      <c r="T117" s="63">
        <v>3.7016095064739331E-2</v>
      </c>
      <c r="U117" s="63">
        <v>3.4504930341893648E-2</v>
      </c>
      <c r="V117" s="63">
        <v>3.134402194323508E-2</v>
      </c>
      <c r="W117" s="63">
        <v>2.7840221435155375E-2</v>
      </c>
      <c r="X117" s="63">
        <v>2.4182223084133467E-2</v>
      </c>
      <c r="Y117" s="63">
        <v>2.0541982294843567E-2</v>
      </c>
      <c r="Z117" s="63">
        <v>1.6855146946013325E-2</v>
      </c>
      <c r="AA117" s="63">
        <v>1.3555514847880271E-2</v>
      </c>
      <c r="AB117" s="63">
        <v>1.0718284661904054E-2</v>
      </c>
      <c r="AC117" s="63">
        <v>8.335745440163073E-3</v>
      </c>
      <c r="AD117" s="63">
        <v>6.3848369975023191E-3</v>
      </c>
    </row>
    <row r="118" spans="1:30" s="35" customFormat="1">
      <c r="A118" s="65" t="s">
        <v>22</v>
      </c>
      <c r="B118" s="63">
        <v>3.7141701647138386E-3</v>
      </c>
      <c r="C118" s="63">
        <v>1.1126752007503822E-2</v>
      </c>
      <c r="D118" s="63">
        <v>3.0610367726959211E-2</v>
      </c>
      <c r="E118" s="63">
        <v>7.9045545867933262E-2</v>
      </c>
      <c r="F118" s="63">
        <v>9.8915289195213266E-2</v>
      </c>
      <c r="G118" s="63">
        <v>0.11417663896777647</v>
      </c>
      <c r="H118" s="63">
        <v>0.1288322045246412</v>
      </c>
      <c r="I118" s="63">
        <v>0.14231943064789077</v>
      </c>
      <c r="J118" s="63">
        <v>0.15389175469894212</v>
      </c>
      <c r="K118" s="63">
        <v>0.14233496479785168</v>
      </c>
      <c r="L118" s="63">
        <v>0.12872185214629506</v>
      </c>
      <c r="M118" s="63">
        <v>0.11555491092958108</v>
      </c>
      <c r="N118" s="63">
        <v>0.10302168329640458</v>
      </c>
      <c r="O118" s="63">
        <v>9.1217438791005995E-2</v>
      </c>
      <c r="P118" s="63">
        <v>7.1660716037891897E-2</v>
      </c>
      <c r="Q118" s="63">
        <v>5.6105403419127321E-2</v>
      </c>
      <c r="R118" s="63">
        <v>4.4367409203519247E-2</v>
      </c>
      <c r="S118" s="63">
        <v>3.5432569614891045E-2</v>
      </c>
      <c r="T118" s="63">
        <v>2.856306202481879E-2</v>
      </c>
      <c r="U118" s="63">
        <v>2.2052453848811816E-2</v>
      </c>
      <c r="V118" s="63">
        <v>1.7243294469627315E-2</v>
      </c>
      <c r="W118" s="63">
        <v>1.374730575103039E-2</v>
      </c>
      <c r="X118" s="63">
        <v>1.1169723207861052E-2</v>
      </c>
      <c r="Y118" s="63">
        <v>9.2443202427879376E-3</v>
      </c>
      <c r="Z118" s="63">
        <v>7.4115516672400919E-3</v>
      </c>
      <c r="AA118" s="63">
        <v>6.110446948638543E-3</v>
      </c>
      <c r="AB118" s="63">
        <v>5.237722315620817E-3</v>
      </c>
      <c r="AC118" s="63">
        <v>4.6635821481778618E-3</v>
      </c>
      <c r="AD118" s="63">
        <v>4.3056891262659019E-3</v>
      </c>
    </row>
    <row r="119" spans="1:30" s="35" customFormat="1">
      <c r="A119" s="65" t="s">
        <v>35</v>
      </c>
      <c r="B119" s="63">
        <v>3.7141701647138386E-3</v>
      </c>
      <c r="C119" s="63">
        <v>4.320801141312715E-3</v>
      </c>
      <c r="D119" s="63">
        <v>4.9540102363009233E-3</v>
      </c>
      <c r="E119" s="63">
        <v>5.650965953387114E-3</v>
      </c>
      <c r="F119" s="63">
        <v>6.1429484511121221E-3</v>
      </c>
      <c r="G119" s="63">
        <v>6.6190124111415198E-3</v>
      </c>
      <c r="H119" s="63">
        <v>7.0813523583165882E-3</v>
      </c>
      <c r="I119" s="63">
        <v>7.5208186522855809E-3</v>
      </c>
      <c r="J119" s="63">
        <v>7.9282664472437262E-3</v>
      </c>
      <c r="K119" s="63">
        <v>7.4918883201450922E-3</v>
      </c>
      <c r="L119" s="63">
        <v>7.0522532187672071E-3</v>
      </c>
      <c r="M119" s="63">
        <v>6.6574917949373666E-3</v>
      </c>
      <c r="N119" s="63">
        <v>6.3033923996703945E-3</v>
      </c>
      <c r="O119" s="63">
        <v>5.985707524429399E-3</v>
      </c>
      <c r="P119" s="63">
        <v>5.7165554200597525E-3</v>
      </c>
      <c r="Q119" s="63">
        <v>5.4743993621027597E-3</v>
      </c>
      <c r="R119" s="63">
        <v>5.255581531134197E-3</v>
      </c>
      <c r="S119" s="63">
        <v>5.058020308430413E-3</v>
      </c>
      <c r="T119" s="63">
        <v>4.87987745972677E-3</v>
      </c>
      <c r="U119" s="63">
        <v>4.7293584251376893E-3</v>
      </c>
      <c r="V119" s="63">
        <v>4.5934968567879503E-3</v>
      </c>
      <c r="W119" s="63">
        <v>4.4701611163859038E-3</v>
      </c>
      <c r="X119" s="63">
        <v>4.3584382886560774E-3</v>
      </c>
      <c r="Y119" s="63">
        <v>4.2575053722995757E-3</v>
      </c>
      <c r="Z119" s="63">
        <v>4.1669694586750671E-3</v>
      </c>
      <c r="AA119" s="63">
        <v>4.0856871739881045E-3</v>
      </c>
      <c r="AB119" s="63">
        <v>4.0129597154376934E-3</v>
      </c>
      <c r="AC119" s="63">
        <v>3.948212698983186E-3</v>
      </c>
      <c r="AD119" s="63">
        <v>3.8909146960955866E-3</v>
      </c>
    </row>
    <row r="120" spans="1:30" s="35" customFormat="1">
      <c r="A120" s="65" t="s">
        <v>25</v>
      </c>
      <c r="B120" s="63">
        <v>3.7141701647138386E-3</v>
      </c>
      <c r="C120" s="63">
        <v>5.6963573748441331E-3</v>
      </c>
      <c r="D120" s="63">
        <v>8.5691504369166272E-3</v>
      </c>
      <c r="E120" s="63">
        <v>1.2572264817352413E-2</v>
      </c>
      <c r="F120" s="63">
        <v>1.3624980170190279E-2</v>
      </c>
      <c r="G120" s="63">
        <v>1.4397820486432129E-2</v>
      </c>
      <c r="H120" s="63">
        <v>1.5082396429594228E-2</v>
      </c>
      <c r="I120" s="63">
        <v>1.5666954033895095E-2</v>
      </c>
      <c r="J120" s="63">
        <v>1.6137600596430355E-2</v>
      </c>
      <c r="K120" s="63">
        <v>1.9887375340536036E-2</v>
      </c>
      <c r="L120" s="63">
        <v>2.4196285619077218E-2</v>
      </c>
      <c r="M120" s="63">
        <v>2.8658758326896631E-2</v>
      </c>
      <c r="N120" s="63">
        <v>3.3028707591912794E-2</v>
      </c>
      <c r="O120" s="63">
        <v>3.7031373352680516E-2</v>
      </c>
      <c r="P120" s="63">
        <v>3.7876322034592277E-2</v>
      </c>
      <c r="Q120" s="63">
        <v>3.7742240612029236E-2</v>
      </c>
      <c r="R120" s="63">
        <v>3.688904966332536E-2</v>
      </c>
      <c r="S120" s="63">
        <v>3.537227637705307E-2</v>
      </c>
      <c r="T120" s="63">
        <v>3.3276406328299223E-2</v>
      </c>
      <c r="U120" s="63">
        <v>2.976808676574565E-2</v>
      </c>
      <c r="V120" s="63">
        <v>2.6183764523036758E-2</v>
      </c>
      <c r="W120" s="63">
        <v>2.2746781888987537E-2</v>
      </c>
      <c r="X120" s="63">
        <v>1.9518726041533027E-2</v>
      </c>
      <c r="Y120" s="63">
        <v>1.6542769804298914E-2</v>
      </c>
      <c r="Z120" s="63">
        <v>1.3527212746324485E-2</v>
      </c>
      <c r="AA120" s="63">
        <v>1.0970469702869433E-2</v>
      </c>
      <c r="AB120" s="63">
        <v>8.873587177319512E-3</v>
      </c>
      <c r="AC120" s="63">
        <v>7.1614391914526856E-3</v>
      </c>
      <c r="AD120" s="63">
        <v>5.772792491833832E-3</v>
      </c>
    </row>
    <row r="123" spans="1:30" ht="22.35" customHeight="1">
      <c r="H123" s="177" t="s">
        <v>36</v>
      </c>
      <c r="I123" s="177"/>
      <c r="J123" s="177"/>
      <c r="K123" s="176" t="s">
        <v>9</v>
      </c>
      <c r="L123" s="176"/>
    </row>
    <row r="189" spans="1:30">
      <c r="A189" s="66" t="s">
        <v>37</v>
      </c>
    </row>
    <row r="190" spans="1:30">
      <c r="A190" s="67" t="s">
        <v>38</v>
      </c>
      <c r="B190" s="68">
        <v>2022</v>
      </c>
      <c r="C190" s="68">
        <v>2023</v>
      </c>
      <c r="D190" s="68">
        <v>2024</v>
      </c>
      <c r="E190" s="68">
        <v>2025</v>
      </c>
      <c r="F190" s="68">
        <v>2026</v>
      </c>
      <c r="G190" s="68">
        <v>2027</v>
      </c>
      <c r="H190" s="68">
        <v>2028</v>
      </c>
      <c r="I190" s="68">
        <v>2029</v>
      </c>
      <c r="J190" s="68">
        <v>2030</v>
      </c>
      <c r="K190" s="68">
        <v>2031</v>
      </c>
      <c r="L190" s="68">
        <v>2032</v>
      </c>
      <c r="M190" s="68">
        <v>2033</v>
      </c>
      <c r="N190" s="68">
        <v>2034</v>
      </c>
      <c r="O190" s="68">
        <v>2035</v>
      </c>
      <c r="P190" s="68">
        <v>2036</v>
      </c>
      <c r="Q190" s="68">
        <v>2037</v>
      </c>
      <c r="R190" s="68">
        <v>2038</v>
      </c>
      <c r="S190" s="68">
        <v>2039</v>
      </c>
      <c r="T190" s="68">
        <v>2040</v>
      </c>
      <c r="U190" s="68">
        <v>2041</v>
      </c>
      <c r="V190" s="68">
        <v>2042</v>
      </c>
      <c r="W190" s="68">
        <v>2043</v>
      </c>
      <c r="X190" s="68">
        <v>2044</v>
      </c>
      <c r="Y190" s="68">
        <v>2045</v>
      </c>
      <c r="Z190" s="68">
        <v>2046</v>
      </c>
      <c r="AA190" s="68">
        <v>2047</v>
      </c>
      <c r="AB190" s="68">
        <v>2048</v>
      </c>
      <c r="AC190" s="68">
        <v>2049</v>
      </c>
      <c r="AD190" s="68">
        <v>2050</v>
      </c>
    </row>
    <row r="191" spans="1:30">
      <c r="A191" s="67" t="s">
        <v>12</v>
      </c>
      <c r="B191" s="36">
        <v>19944.71818291071</v>
      </c>
      <c r="C191" s="36">
        <v>20456.084735805594</v>
      </c>
      <c r="D191" s="36">
        <v>20930.270152626508</v>
      </c>
      <c r="E191" s="36">
        <v>21369.616093655157</v>
      </c>
      <c r="F191" s="36">
        <v>21487.715817608834</v>
      </c>
      <c r="G191" s="36">
        <v>21578.782251855253</v>
      </c>
      <c r="H191" s="36">
        <v>21651.635713879186</v>
      </c>
      <c r="I191" s="36">
        <v>21710.690386862792</v>
      </c>
      <c r="J191" s="36">
        <v>21758.155413142853</v>
      </c>
      <c r="K191" s="36">
        <v>21802.24860126257</v>
      </c>
      <c r="L191" s="36">
        <v>21836.152163279134</v>
      </c>
      <c r="M191" s="36">
        <v>21859.91938677389</v>
      </c>
      <c r="N191" s="36">
        <v>21873.578956894573</v>
      </c>
      <c r="O191" s="36">
        <v>21877.14623711125</v>
      </c>
      <c r="P191" s="36">
        <v>21874.110162980382</v>
      </c>
      <c r="Q191" s="36">
        <v>21860.804289067521</v>
      </c>
      <c r="R191" s="36">
        <v>21837.096009645833</v>
      </c>
      <c r="S191" s="36">
        <v>21802.921327380263</v>
      </c>
      <c r="T191" s="36">
        <v>21758.249356600252</v>
      </c>
      <c r="U191" s="36">
        <v>21708.803532156002</v>
      </c>
      <c r="V191" s="36">
        <v>21648.474479526682</v>
      </c>
      <c r="W191" s="36">
        <v>21576.870036590695</v>
      </c>
      <c r="X191" s="36">
        <v>21493.796900500533</v>
      </c>
      <c r="Y191" s="36">
        <v>21399.159780047456</v>
      </c>
      <c r="Z191" s="36">
        <v>21297.079618259726</v>
      </c>
      <c r="AA191" s="36">
        <v>21182.88647164862</v>
      </c>
      <c r="AB191" s="36">
        <v>21055.97786593722</v>
      </c>
      <c r="AC191" s="36">
        <v>20916.055873165406</v>
      </c>
      <c r="AD191" s="36">
        <v>20762.973290565456</v>
      </c>
    </row>
    <row r="192" spans="1:30">
      <c r="A192" s="67" t="s">
        <v>15</v>
      </c>
      <c r="B192" s="36">
        <v>19944.71818291071</v>
      </c>
      <c r="C192" s="36">
        <v>19914.137464774056</v>
      </c>
      <c r="D192" s="36">
        <v>19872.783261856825</v>
      </c>
      <c r="E192" s="36">
        <v>19827.976295504282</v>
      </c>
      <c r="F192" s="36">
        <v>19825.432621063581</v>
      </c>
      <c r="G192" s="36">
        <v>19824.087855792386</v>
      </c>
      <c r="H192" s="36">
        <v>19823.589960733039</v>
      </c>
      <c r="I192" s="36">
        <v>19823.762890406528</v>
      </c>
      <c r="J192" s="36">
        <v>19824.518609041617</v>
      </c>
      <c r="K192" s="36">
        <v>19827.412326967074</v>
      </c>
      <c r="L192" s="36">
        <v>19830.783571546566</v>
      </c>
      <c r="M192" s="36">
        <v>19834.56089876749</v>
      </c>
      <c r="N192" s="36">
        <v>19838.70858032523</v>
      </c>
      <c r="O192" s="36">
        <v>19843.208748880472</v>
      </c>
      <c r="P192" s="36">
        <v>19849.075906635448</v>
      </c>
      <c r="Q192" s="36">
        <v>19855.248412770274</v>
      </c>
      <c r="R192" s="36">
        <v>19861.672599979946</v>
      </c>
      <c r="S192" s="36">
        <v>19868.321629874987</v>
      </c>
      <c r="T192" s="36">
        <v>19875.182080853312</v>
      </c>
      <c r="U192" s="36">
        <v>19882.981156495178</v>
      </c>
      <c r="V192" s="36">
        <v>19890.945000859236</v>
      </c>
      <c r="W192" s="36">
        <v>19899.016773264411</v>
      </c>
      <c r="X192" s="36">
        <v>19907.168048236119</v>
      </c>
      <c r="Y192" s="36">
        <v>19915.384610443849</v>
      </c>
      <c r="Z192" s="36">
        <v>19923.808490925589</v>
      </c>
      <c r="AA192" s="36">
        <v>19932.271823394589</v>
      </c>
      <c r="AB192" s="36">
        <v>19940.750572882473</v>
      </c>
      <c r="AC192" s="36">
        <v>19949.232721129076</v>
      </c>
      <c r="AD192" s="36">
        <v>19957.712258599469</v>
      </c>
    </row>
    <row r="193" spans="1:1021 1051:2041 2071:3061 3091:4081 4111:5101 5131:6121 6151:7141 7171:8191 8221:9211 9241:10231 10261:11251 11281:12271 12301:13291 13321:14311 14341:15331 15361:16381">
      <c r="A193" s="67" t="s">
        <v>19</v>
      </c>
      <c r="B193" s="36">
        <v>19944.71818291071</v>
      </c>
      <c r="C193" s="36">
        <v>19914.137464774056</v>
      </c>
      <c r="D193" s="36">
        <v>19872.783261856825</v>
      </c>
      <c r="E193" s="36">
        <v>19827.976295504282</v>
      </c>
      <c r="F193" s="36">
        <v>19825.432621063581</v>
      </c>
      <c r="G193" s="36">
        <v>19824.087855792386</v>
      </c>
      <c r="H193" s="36">
        <v>19823.589960733039</v>
      </c>
      <c r="I193" s="36">
        <v>19823.762890406528</v>
      </c>
      <c r="J193" s="36">
        <v>19824.518609041617</v>
      </c>
      <c r="K193" s="36">
        <v>21124.647796277481</v>
      </c>
      <c r="L193" s="36">
        <v>22401.699728251373</v>
      </c>
      <c r="M193" s="36">
        <v>23601.731228697983</v>
      </c>
      <c r="N193" s="36">
        <v>24697.488920140346</v>
      </c>
      <c r="O193" s="36">
        <v>25675.323072055704</v>
      </c>
      <c r="P193" s="36">
        <v>26071.876000026055</v>
      </c>
      <c r="Q193" s="36">
        <v>26357.991412744625</v>
      </c>
      <c r="R193" s="36">
        <v>26553.513106174116</v>
      </c>
      <c r="S193" s="36">
        <v>26668.42841856266</v>
      </c>
      <c r="T193" s="36">
        <v>26707.765353987161</v>
      </c>
      <c r="U193" s="36">
        <v>26698.584118496168</v>
      </c>
      <c r="V193" s="36">
        <v>26615.812235671689</v>
      </c>
      <c r="W193" s="36">
        <v>26458.606306657071</v>
      </c>
      <c r="X193" s="36">
        <v>26226.564158114081</v>
      </c>
      <c r="Y193" s="36">
        <v>25919.489759841654</v>
      </c>
      <c r="Z193" s="36">
        <v>25537.786179308805</v>
      </c>
      <c r="AA193" s="36">
        <v>25080.664455966406</v>
      </c>
      <c r="AB193" s="36">
        <v>24548.098022736463</v>
      </c>
      <c r="AC193" s="36">
        <v>23940.072510141636</v>
      </c>
      <c r="AD193" s="36">
        <v>23256.565709238403</v>
      </c>
    </row>
    <row r="194" spans="1:1021 1051:2041 2071:3061 3091:4081 4111:5101 5131:6121 6151:7141 7171:8191 8221:9211 9241:10231 10261:11251 11281:12271 12301:13291 13321:14311 14341:15331 15361:16381">
      <c r="A194" s="67" t="s">
        <v>22</v>
      </c>
      <c r="B194" s="36">
        <v>19944.71818291071</v>
      </c>
      <c r="C194" s="36">
        <v>22741.707162191156</v>
      </c>
      <c r="D194" s="36">
        <v>25405.787574537131</v>
      </c>
      <c r="E194" s="36">
        <v>27905.874261502297</v>
      </c>
      <c r="F194" s="36">
        <v>28600.28188318383</v>
      </c>
      <c r="G194" s="36">
        <v>29149.324174481117</v>
      </c>
      <c r="H194" s="36">
        <v>29597.133062343441</v>
      </c>
      <c r="I194" s="36">
        <v>29965.937270655621</v>
      </c>
      <c r="J194" s="36">
        <v>30266.936732773956</v>
      </c>
      <c r="K194" s="36">
        <v>30483.345886572351</v>
      </c>
      <c r="L194" s="36">
        <v>30639.810600832745</v>
      </c>
      <c r="M194" s="36">
        <v>30739.203734807634</v>
      </c>
      <c r="N194" s="36">
        <v>30783.030318811554</v>
      </c>
      <c r="O194" s="36">
        <v>30772.074960222195</v>
      </c>
      <c r="P194" s="36">
        <v>30712.164213570944</v>
      </c>
      <c r="Q194" s="36">
        <v>30596.425368297096</v>
      </c>
      <c r="R194" s="36">
        <v>30425.456845139182</v>
      </c>
      <c r="S194" s="36">
        <v>30199.624139355983</v>
      </c>
      <c r="T194" s="36">
        <v>29919.137606745324</v>
      </c>
      <c r="U194" s="36">
        <v>29645.256891534736</v>
      </c>
      <c r="V194" s="36">
        <v>29312.267426936862</v>
      </c>
      <c r="W194" s="36">
        <v>28916.53778448356</v>
      </c>
      <c r="X194" s="36">
        <v>28456.306270325251</v>
      </c>
      <c r="Y194" s="36">
        <v>27930.713196579014</v>
      </c>
      <c r="Z194" s="36">
        <v>27364.86827194002</v>
      </c>
      <c r="AA194" s="36">
        <v>26729.365956462399</v>
      </c>
      <c r="AB194" s="36">
        <v>26020.912471910171</v>
      </c>
      <c r="AC194" s="36">
        <v>25237.966788608501</v>
      </c>
      <c r="AD194" s="36">
        <v>24379.818763850621</v>
      </c>
    </row>
    <row r="195" spans="1:1021 1051:2041 2071:3061 3091:4081 4111:5101 5131:6121 6151:7141 7171:8191 8221:9211 9241:10231 10261:11251 11281:12271 12301:13291 13321:14311 14341:15331 15361:16381">
      <c r="A195" s="67" t="s">
        <v>24</v>
      </c>
      <c r="B195" s="36">
        <v>19944.71818291071</v>
      </c>
      <c r="C195" s="36">
        <v>20225.345943406268</v>
      </c>
      <c r="D195" s="36">
        <v>20480.269151636618</v>
      </c>
      <c r="E195" s="36">
        <v>20713.831550893479</v>
      </c>
      <c r="F195" s="36">
        <v>20863.991854873377</v>
      </c>
      <c r="G195" s="36">
        <v>20997.331397684757</v>
      </c>
      <c r="H195" s="36">
        <v>21116.340916762529</v>
      </c>
      <c r="I195" s="36">
        <v>21222.270571871162</v>
      </c>
      <c r="J195" s="36">
        <v>21315.748039095364</v>
      </c>
      <c r="K195" s="36">
        <v>21289.387316080738</v>
      </c>
      <c r="L195" s="36">
        <v>21254.054195407727</v>
      </c>
      <c r="M195" s="36">
        <v>21213.667554776748</v>
      </c>
      <c r="N195" s="36">
        <v>21170.191410859952</v>
      </c>
      <c r="O195" s="36">
        <v>21124.610063495798</v>
      </c>
      <c r="P195" s="36">
        <v>21081.789023084253</v>
      </c>
      <c r="Q195" s="36">
        <v>21037.443642247836</v>
      </c>
      <c r="R195" s="36">
        <v>20991.488289130153</v>
      </c>
      <c r="S195" s="36">
        <v>20943.880112110677</v>
      </c>
      <c r="T195" s="36">
        <v>20894.597659856743</v>
      </c>
      <c r="U195" s="36">
        <v>20847.0570277687</v>
      </c>
      <c r="V195" s="36">
        <v>20797.648941807005</v>
      </c>
      <c r="W195" s="36">
        <v>20746.118104537825</v>
      </c>
      <c r="X195" s="36">
        <v>20692.336627005134</v>
      </c>
      <c r="Y195" s="36">
        <v>20636.240439373469</v>
      </c>
      <c r="Z195" s="36">
        <v>20577.949838719891</v>
      </c>
      <c r="AA195" s="36">
        <v>20517.281018091526</v>
      </c>
      <c r="AB195" s="36">
        <v>20454.203174585735</v>
      </c>
      <c r="AC195" s="36">
        <v>20388.700876183895</v>
      </c>
      <c r="AD195" s="36">
        <v>20320.766392710953</v>
      </c>
    </row>
    <row r="196" spans="1:1021 1051:2041 2071:3061 3091:4081 4111:5101 5131:6121 6151:7141 7171:8191 8221:9211 9241:10231 10261:11251 11281:12271 12301:13291 13321:14311 14341:15331 15361:16381">
      <c r="A196" s="67" t="s">
        <v>25</v>
      </c>
      <c r="B196" s="36">
        <v>19944.71818291071</v>
      </c>
      <c r="C196" s="36">
        <v>21144.7399700319</v>
      </c>
      <c r="D196" s="36">
        <v>22279.343597988493</v>
      </c>
      <c r="E196" s="36">
        <v>23341.307558883975</v>
      </c>
      <c r="F196" s="36">
        <v>23636.539366382414</v>
      </c>
      <c r="G196" s="36">
        <v>23868.699571046676</v>
      </c>
      <c r="H196" s="36">
        <v>24057.301726289879</v>
      </c>
      <c r="I196" s="36">
        <v>24212.143836816838</v>
      </c>
      <c r="J196" s="36">
        <v>24338.146031013941</v>
      </c>
      <c r="K196" s="36">
        <v>24833.845031464261</v>
      </c>
      <c r="L196" s="36">
        <v>25292.910970901616</v>
      </c>
      <c r="M196" s="36">
        <v>25702.114370069248</v>
      </c>
      <c r="N196" s="36">
        <v>26054.814177895074</v>
      </c>
      <c r="O196" s="36">
        <v>26347.685285752224</v>
      </c>
      <c r="P196" s="36">
        <v>26574.752547046384</v>
      </c>
      <c r="Q196" s="36">
        <v>26739.027925251641</v>
      </c>
      <c r="R196" s="36">
        <v>26840.645149947788</v>
      </c>
      <c r="S196" s="36">
        <v>26879.709355132396</v>
      </c>
      <c r="T196" s="36">
        <v>26856.292329108364</v>
      </c>
      <c r="U196" s="36">
        <v>26803.763504832696</v>
      </c>
      <c r="V196" s="36">
        <v>26686.337010697225</v>
      </c>
      <c r="W196" s="36">
        <v>26502.017704099817</v>
      </c>
      <c r="X196" s="36">
        <v>26249.834295830278</v>
      </c>
      <c r="Y196" s="36">
        <v>25929.309451407098</v>
      </c>
      <c r="Z196" s="36">
        <v>25551.316010364797</v>
      </c>
      <c r="AA196" s="36">
        <v>25103.035225808249</v>
      </c>
      <c r="AB196" s="36">
        <v>24583.01214719897</v>
      </c>
      <c r="AC196" s="36">
        <v>23990.542999431389</v>
      </c>
      <c r="AD196" s="36">
        <v>23325.277335073839</v>
      </c>
    </row>
    <row r="197" spans="1:1021 1051:2041 2071:3061 3091:4081 4111:5101 5131:6121 6151:7141 7171:8191 8221:9211 9241:10231 10261:11251 11281:12271 12301:13291 13321:14311 14341:15331 15361:16381">
      <c r="A197" s="69"/>
    </row>
    <row r="198" spans="1:1021 1051:2041 2071:3061 3091:4081 4111:5101 5131:6121 6151:7141 7171:8191 8221:9211 9241:10231 10261:11251 11281:12271 12301:13291 13321:14311 14341:15331 15361:16381" s="68" customFormat="1">
      <c r="A198" s="67" t="s">
        <v>39</v>
      </c>
      <c r="B198" s="68">
        <v>2022</v>
      </c>
      <c r="C198" s="68">
        <v>2023</v>
      </c>
      <c r="D198" s="68">
        <v>2024</v>
      </c>
      <c r="E198" s="68">
        <v>2025</v>
      </c>
      <c r="F198" s="68">
        <v>2026</v>
      </c>
      <c r="G198" s="68">
        <v>2027</v>
      </c>
      <c r="H198" s="68">
        <v>2028</v>
      </c>
      <c r="I198" s="68">
        <v>2029</v>
      </c>
      <c r="J198" s="68">
        <v>2030</v>
      </c>
      <c r="K198" s="68">
        <v>2031</v>
      </c>
      <c r="L198" s="68">
        <v>2032</v>
      </c>
      <c r="M198" s="68">
        <v>2033</v>
      </c>
      <c r="N198" s="68">
        <v>2034</v>
      </c>
      <c r="O198" s="68">
        <v>2035</v>
      </c>
      <c r="P198" s="68">
        <v>2036</v>
      </c>
      <c r="Q198" s="68">
        <v>2037</v>
      </c>
      <c r="R198" s="68">
        <v>2038</v>
      </c>
      <c r="S198" s="68">
        <v>2039</v>
      </c>
      <c r="T198" s="68">
        <v>2040</v>
      </c>
      <c r="U198" s="68">
        <v>2041</v>
      </c>
      <c r="V198" s="68">
        <v>2042</v>
      </c>
      <c r="W198" s="68">
        <v>2043</v>
      </c>
      <c r="X198" s="68">
        <v>2044</v>
      </c>
      <c r="Y198" s="68">
        <v>2045</v>
      </c>
      <c r="Z198" s="68">
        <v>2046</v>
      </c>
      <c r="AA198" s="68">
        <v>2047</v>
      </c>
      <c r="AB198" s="68">
        <v>2048</v>
      </c>
      <c r="AC198" s="68">
        <v>2049</v>
      </c>
      <c r="AD198" s="68">
        <v>2050</v>
      </c>
      <c r="AE198" s="67"/>
      <c r="BI198" s="67"/>
      <c r="CM198" s="67"/>
      <c r="DQ198" s="67"/>
      <c r="EU198" s="67"/>
      <c r="FY198" s="67"/>
      <c r="HC198" s="67"/>
      <c r="IG198" s="67"/>
      <c r="JK198" s="67"/>
      <c r="KO198" s="67"/>
      <c r="LS198" s="67"/>
      <c r="MW198" s="67"/>
      <c r="OA198" s="67"/>
      <c r="PE198" s="67"/>
      <c r="QI198" s="67"/>
      <c r="RM198" s="67"/>
      <c r="SQ198" s="67"/>
      <c r="TU198" s="67"/>
      <c r="UY198" s="67"/>
      <c r="WC198" s="67"/>
      <c r="XG198" s="67"/>
      <c r="YK198" s="67"/>
      <c r="ZO198" s="67"/>
      <c r="AAS198" s="67"/>
      <c r="ABW198" s="67"/>
      <c r="ADA198" s="67"/>
      <c r="AEE198" s="67"/>
      <c r="AFI198" s="67"/>
      <c r="AGM198" s="67"/>
      <c r="AHQ198" s="67"/>
      <c r="AIU198" s="67"/>
      <c r="AJY198" s="67"/>
      <c r="ALC198" s="67"/>
      <c r="AMG198" s="67"/>
      <c r="ANK198" s="67"/>
      <c r="AOO198" s="67"/>
      <c r="APS198" s="67"/>
      <c r="AQW198" s="67"/>
      <c r="ASA198" s="67"/>
      <c r="ATE198" s="67"/>
      <c r="AUI198" s="67"/>
      <c r="AVM198" s="67"/>
      <c r="AWQ198" s="67"/>
      <c r="AXU198" s="67"/>
      <c r="AYY198" s="67"/>
      <c r="BAC198" s="67"/>
      <c r="BBG198" s="67"/>
      <c r="BCK198" s="67"/>
      <c r="BDO198" s="67"/>
      <c r="BES198" s="67"/>
      <c r="BFW198" s="67"/>
      <c r="BHA198" s="67"/>
      <c r="BIE198" s="67"/>
      <c r="BJI198" s="67"/>
      <c r="BKM198" s="67"/>
      <c r="BLQ198" s="67"/>
      <c r="BMU198" s="67"/>
      <c r="BNY198" s="67"/>
      <c r="BPC198" s="67"/>
      <c r="BQG198" s="67"/>
      <c r="BRK198" s="67"/>
      <c r="BSO198" s="67"/>
      <c r="BTS198" s="67"/>
      <c r="BUW198" s="67"/>
      <c r="BWA198" s="67"/>
      <c r="BXE198" s="67"/>
      <c r="BYI198" s="67"/>
      <c r="BZM198" s="67"/>
      <c r="CAQ198" s="67"/>
      <c r="CBU198" s="67"/>
      <c r="CCY198" s="67"/>
      <c r="CEC198" s="67"/>
      <c r="CFG198" s="67"/>
      <c r="CGK198" s="67"/>
      <c r="CHO198" s="67"/>
      <c r="CIS198" s="67"/>
      <c r="CJW198" s="67"/>
      <c r="CLA198" s="67"/>
      <c r="CME198" s="67"/>
      <c r="CNI198" s="67"/>
      <c r="COM198" s="67"/>
      <c r="CPQ198" s="67"/>
      <c r="CQU198" s="67"/>
      <c r="CRY198" s="67"/>
      <c r="CTC198" s="67"/>
      <c r="CUG198" s="67"/>
      <c r="CVK198" s="67"/>
      <c r="CWO198" s="67"/>
      <c r="CXS198" s="67"/>
      <c r="CYW198" s="67"/>
      <c r="DAA198" s="67"/>
      <c r="DBE198" s="67"/>
      <c r="DCI198" s="67"/>
      <c r="DDM198" s="67"/>
      <c r="DEQ198" s="67"/>
      <c r="DFU198" s="67"/>
      <c r="DGY198" s="67"/>
      <c r="DIC198" s="67"/>
      <c r="DJG198" s="67"/>
      <c r="DKK198" s="67"/>
      <c r="DLO198" s="67"/>
      <c r="DMS198" s="67"/>
      <c r="DNW198" s="67"/>
      <c r="DPA198" s="67"/>
      <c r="DQE198" s="67"/>
      <c r="DRI198" s="67"/>
      <c r="DSM198" s="67"/>
      <c r="DTQ198" s="67"/>
      <c r="DUU198" s="67"/>
      <c r="DVY198" s="67"/>
      <c r="DXC198" s="67"/>
      <c r="DYG198" s="67"/>
      <c r="DZK198" s="67"/>
      <c r="EAO198" s="67"/>
      <c r="EBS198" s="67"/>
      <c r="ECW198" s="67"/>
      <c r="EEA198" s="67"/>
      <c r="EFE198" s="67"/>
      <c r="EGI198" s="67"/>
      <c r="EHM198" s="67"/>
      <c r="EIQ198" s="67"/>
      <c r="EJU198" s="67"/>
      <c r="EKY198" s="67"/>
      <c r="EMC198" s="67"/>
      <c r="ENG198" s="67"/>
      <c r="EOK198" s="67"/>
      <c r="EPO198" s="67"/>
      <c r="EQS198" s="67"/>
      <c r="ERW198" s="67"/>
      <c r="ETA198" s="67"/>
      <c r="EUE198" s="67"/>
      <c r="EVI198" s="67"/>
      <c r="EWM198" s="67"/>
      <c r="EXQ198" s="67"/>
      <c r="EYU198" s="67"/>
      <c r="EZY198" s="67"/>
      <c r="FBC198" s="67"/>
      <c r="FCG198" s="67"/>
      <c r="FDK198" s="67"/>
      <c r="FEO198" s="67"/>
      <c r="FFS198" s="67"/>
      <c r="FGW198" s="67"/>
      <c r="FIA198" s="67"/>
      <c r="FJE198" s="67"/>
      <c r="FKI198" s="67"/>
      <c r="FLM198" s="67"/>
      <c r="FMQ198" s="67"/>
      <c r="FNU198" s="67"/>
      <c r="FOY198" s="67"/>
      <c r="FQC198" s="67"/>
      <c r="FRG198" s="67"/>
      <c r="FSK198" s="67"/>
      <c r="FTO198" s="67"/>
      <c r="FUS198" s="67"/>
      <c r="FVW198" s="67"/>
      <c r="FXA198" s="67"/>
      <c r="FYE198" s="67"/>
      <c r="FZI198" s="67"/>
      <c r="GAM198" s="67"/>
      <c r="GBQ198" s="67"/>
      <c r="GCU198" s="67"/>
      <c r="GDY198" s="67"/>
      <c r="GFC198" s="67"/>
      <c r="GGG198" s="67"/>
      <c r="GHK198" s="67"/>
      <c r="GIO198" s="67"/>
      <c r="GJS198" s="67"/>
      <c r="GKW198" s="67"/>
      <c r="GMA198" s="67"/>
      <c r="GNE198" s="67"/>
      <c r="GOI198" s="67"/>
      <c r="GPM198" s="67"/>
      <c r="GQQ198" s="67"/>
      <c r="GRU198" s="67"/>
      <c r="GSY198" s="67"/>
      <c r="GUC198" s="67"/>
      <c r="GVG198" s="67"/>
      <c r="GWK198" s="67"/>
      <c r="GXO198" s="67"/>
      <c r="GYS198" s="67"/>
      <c r="GZW198" s="67"/>
      <c r="HBA198" s="67"/>
      <c r="HCE198" s="67"/>
      <c r="HDI198" s="67"/>
      <c r="HEM198" s="67"/>
      <c r="HFQ198" s="67"/>
      <c r="HGU198" s="67"/>
      <c r="HHY198" s="67"/>
      <c r="HJC198" s="67"/>
      <c r="HKG198" s="67"/>
      <c r="HLK198" s="67"/>
      <c r="HMO198" s="67"/>
      <c r="HNS198" s="67"/>
      <c r="HOW198" s="67"/>
      <c r="HQA198" s="67"/>
      <c r="HRE198" s="67"/>
      <c r="HSI198" s="67"/>
      <c r="HTM198" s="67"/>
      <c r="HUQ198" s="67"/>
      <c r="HVU198" s="67"/>
      <c r="HWY198" s="67"/>
      <c r="HYC198" s="67"/>
      <c r="HZG198" s="67"/>
      <c r="IAK198" s="67"/>
      <c r="IBO198" s="67"/>
      <c r="ICS198" s="67"/>
      <c r="IDW198" s="67"/>
      <c r="IFA198" s="67"/>
      <c r="IGE198" s="67"/>
      <c r="IHI198" s="67"/>
      <c r="IIM198" s="67"/>
      <c r="IJQ198" s="67"/>
      <c r="IKU198" s="67"/>
      <c r="ILY198" s="67"/>
      <c r="INC198" s="67"/>
      <c r="IOG198" s="67"/>
      <c r="IPK198" s="67"/>
      <c r="IQO198" s="67"/>
      <c r="IRS198" s="67"/>
      <c r="ISW198" s="67"/>
      <c r="IUA198" s="67"/>
      <c r="IVE198" s="67"/>
      <c r="IWI198" s="67"/>
      <c r="IXM198" s="67"/>
      <c r="IYQ198" s="67"/>
      <c r="IZU198" s="67"/>
      <c r="JAY198" s="67"/>
      <c r="JCC198" s="67"/>
      <c r="JDG198" s="67"/>
      <c r="JEK198" s="67"/>
      <c r="JFO198" s="67"/>
      <c r="JGS198" s="67"/>
      <c r="JHW198" s="67"/>
      <c r="JJA198" s="67"/>
      <c r="JKE198" s="67"/>
      <c r="JLI198" s="67"/>
      <c r="JMM198" s="67"/>
      <c r="JNQ198" s="67"/>
      <c r="JOU198" s="67"/>
      <c r="JPY198" s="67"/>
      <c r="JRC198" s="67"/>
      <c r="JSG198" s="67"/>
      <c r="JTK198" s="67"/>
      <c r="JUO198" s="67"/>
      <c r="JVS198" s="67"/>
      <c r="JWW198" s="67"/>
      <c r="JYA198" s="67"/>
      <c r="JZE198" s="67"/>
      <c r="KAI198" s="67"/>
      <c r="KBM198" s="67"/>
      <c r="KCQ198" s="67"/>
      <c r="KDU198" s="67"/>
      <c r="KEY198" s="67"/>
      <c r="KGC198" s="67"/>
      <c r="KHG198" s="67"/>
      <c r="KIK198" s="67"/>
      <c r="KJO198" s="67"/>
      <c r="KKS198" s="67"/>
      <c r="KLW198" s="67"/>
      <c r="KNA198" s="67"/>
      <c r="KOE198" s="67"/>
      <c r="KPI198" s="67"/>
      <c r="KQM198" s="67"/>
      <c r="KRQ198" s="67"/>
      <c r="KSU198" s="67"/>
      <c r="KTY198" s="67"/>
      <c r="KVC198" s="67"/>
      <c r="KWG198" s="67"/>
      <c r="KXK198" s="67"/>
      <c r="KYO198" s="67"/>
      <c r="KZS198" s="67"/>
      <c r="LAW198" s="67"/>
      <c r="LCA198" s="67"/>
      <c r="LDE198" s="67"/>
      <c r="LEI198" s="67"/>
      <c r="LFM198" s="67"/>
      <c r="LGQ198" s="67"/>
      <c r="LHU198" s="67"/>
      <c r="LIY198" s="67"/>
      <c r="LKC198" s="67"/>
      <c r="LLG198" s="67"/>
      <c r="LMK198" s="67"/>
      <c r="LNO198" s="67"/>
      <c r="LOS198" s="67"/>
      <c r="LPW198" s="67"/>
      <c r="LRA198" s="67"/>
      <c r="LSE198" s="67"/>
      <c r="LTI198" s="67"/>
      <c r="LUM198" s="67"/>
      <c r="LVQ198" s="67"/>
      <c r="LWU198" s="67"/>
      <c r="LXY198" s="67"/>
      <c r="LZC198" s="67"/>
      <c r="MAG198" s="67"/>
      <c r="MBK198" s="67"/>
      <c r="MCO198" s="67"/>
      <c r="MDS198" s="67"/>
      <c r="MEW198" s="67"/>
      <c r="MGA198" s="67"/>
      <c r="MHE198" s="67"/>
      <c r="MII198" s="67"/>
      <c r="MJM198" s="67"/>
      <c r="MKQ198" s="67"/>
      <c r="MLU198" s="67"/>
      <c r="MMY198" s="67"/>
      <c r="MOC198" s="67"/>
      <c r="MPG198" s="67"/>
      <c r="MQK198" s="67"/>
      <c r="MRO198" s="67"/>
      <c r="MSS198" s="67"/>
      <c r="MTW198" s="67"/>
      <c r="MVA198" s="67"/>
      <c r="MWE198" s="67"/>
      <c r="MXI198" s="67"/>
      <c r="MYM198" s="67"/>
      <c r="MZQ198" s="67"/>
      <c r="NAU198" s="67"/>
      <c r="NBY198" s="67"/>
      <c r="NDC198" s="67"/>
      <c r="NEG198" s="67"/>
      <c r="NFK198" s="67"/>
      <c r="NGO198" s="67"/>
      <c r="NHS198" s="67"/>
      <c r="NIW198" s="67"/>
      <c r="NKA198" s="67"/>
      <c r="NLE198" s="67"/>
      <c r="NMI198" s="67"/>
      <c r="NNM198" s="67"/>
      <c r="NOQ198" s="67"/>
      <c r="NPU198" s="67"/>
      <c r="NQY198" s="67"/>
      <c r="NSC198" s="67"/>
      <c r="NTG198" s="67"/>
      <c r="NUK198" s="67"/>
      <c r="NVO198" s="67"/>
      <c r="NWS198" s="67"/>
      <c r="NXW198" s="67"/>
      <c r="NZA198" s="67"/>
      <c r="OAE198" s="67"/>
      <c r="OBI198" s="67"/>
      <c r="OCM198" s="67"/>
      <c r="ODQ198" s="67"/>
      <c r="OEU198" s="67"/>
      <c r="OFY198" s="67"/>
      <c r="OHC198" s="67"/>
      <c r="OIG198" s="67"/>
      <c r="OJK198" s="67"/>
      <c r="OKO198" s="67"/>
      <c r="OLS198" s="67"/>
      <c r="OMW198" s="67"/>
      <c r="OOA198" s="67"/>
      <c r="OPE198" s="67"/>
      <c r="OQI198" s="67"/>
      <c r="ORM198" s="67"/>
      <c r="OSQ198" s="67"/>
      <c r="OTU198" s="67"/>
      <c r="OUY198" s="67"/>
      <c r="OWC198" s="67"/>
      <c r="OXG198" s="67"/>
      <c r="OYK198" s="67"/>
      <c r="OZO198" s="67"/>
      <c r="PAS198" s="67"/>
      <c r="PBW198" s="67"/>
      <c r="PDA198" s="67"/>
      <c r="PEE198" s="67"/>
      <c r="PFI198" s="67"/>
      <c r="PGM198" s="67"/>
      <c r="PHQ198" s="67"/>
      <c r="PIU198" s="67"/>
      <c r="PJY198" s="67"/>
      <c r="PLC198" s="67"/>
      <c r="PMG198" s="67"/>
      <c r="PNK198" s="67"/>
      <c r="POO198" s="67"/>
      <c r="PPS198" s="67"/>
      <c r="PQW198" s="67"/>
      <c r="PSA198" s="67"/>
      <c r="PTE198" s="67"/>
      <c r="PUI198" s="67"/>
      <c r="PVM198" s="67"/>
      <c r="PWQ198" s="67"/>
      <c r="PXU198" s="67"/>
      <c r="PYY198" s="67"/>
      <c r="QAC198" s="67"/>
      <c r="QBG198" s="67"/>
      <c r="QCK198" s="67"/>
      <c r="QDO198" s="67"/>
      <c r="QES198" s="67"/>
      <c r="QFW198" s="67"/>
      <c r="QHA198" s="67"/>
      <c r="QIE198" s="67"/>
      <c r="QJI198" s="67"/>
      <c r="QKM198" s="67"/>
      <c r="QLQ198" s="67"/>
      <c r="QMU198" s="67"/>
      <c r="QNY198" s="67"/>
      <c r="QPC198" s="67"/>
      <c r="QQG198" s="67"/>
      <c r="QRK198" s="67"/>
      <c r="QSO198" s="67"/>
      <c r="QTS198" s="67"/>
      <c r="QUW198" s="67"/>
      <c r="QWA198" s="67"/>
      <c r="QXE198" s="67"/>
      <c r="QYI198" s="67"/>
      <c r="QZM198" s="67"/>
      <c r="RAQ198" s="67"/>
      <c r="RBU198" s="67"/>
      <c r="RCY198" s="67"/>
      <c r="REC198" s="67"/>
      <c r="RFG198" s="67"/>
      <c r="RGK198" s="67"/>
      <c r="RHO198" s="67"/>
      <c r="RIS198" s="67"/>
      <c r="RJW198" s="67"/>
      <c r="RLA198" s="67"/>
      <c r="RME198" s="67"/>
      <c r="RNI198" s="67"/>
      <c r="ROM198" s="67"/>
      <c r="RPQ198" s="67"/>
      <c r="RQU198" s="67"/>
      <c r="RRY198" s="67"/>
      <c r="RTC198" s="67"/>
      <c r="RUG198" s="67"/>
      <c r="RVK198" s="67"/>
      <c r="RWO198" s="67"/>
      <c r="RXS198" s="67"/>
      <c r="RYW198" s="67"/>
      <c r="SAA198" s="67"/>
      <c r="SBE198" s="67"/>
      <c r="SCI198" s="67"/>
      <c r="SDM198" s="67"/>
      <c r="SEQ198" s="67"/>
      <c r="SFU198" s="67"/>
      <c r="SGY198" s="67"/>
      <c r="SIC198" s="67"/>
      <c r="SJG198" s="67"/>
      <c r="SKK198" s="67"/>
      <c r="SLO198" s="67"/>
      <c r="SMS198" s="67"/>
      <c r="SNW198" s="67"/>
      <c r="SPA198" s="67"/>
      <c r="SQE198" s="67"/>
      <c r="SRI198" s="67"/>
      <c r="SSM198" s="67"/>
      <c r="STQ198" s="67"/>
      <c r="SUU198" s="67"/>
      <c r="SVY198" s="67"/>
      <c r="SXC198" s="67"/>
      <c r="SYG198" s="67"/>
      <c r="SZK198" s="67"/>
      <c r="TAO198" s="67"/>
      <c r="TBS198" s="67"/>
      <c r="TCW198" s="67"/>
      <c r="TEA198" s="67"/>
      <c r="TFE198" s="67"/>
      <c r="TGI198" s="67"/>
      <c r="THM198" s="67"/>
      <c r="TIQ198" s="67"/>
      <c r="TJU198" s="67"/>
      <c r="TKY198" s="67"/>
      <c r="TMC198" s="67"/>
      <c r="TNG198" s="67"/>
      <c r="TOK198" s="67"/>
      <c r="TPO198" s="67"/>
      <c r="TQS198" s="67"/>
      <c r="TRW198" s="67"/>
      <c r="TTA198" s="67"/>
      <c r="TUE198" s="67"/>
      <c r="TVI198" s="67"/>
      <c r="TWM198" s="67"/>
      <c r="TXQ198" s="67"/>
      <c r="TYU198" s="67"/>
      <c r="TZY198" s="67"/>
      <c r="UBC198" s="67"/>
      <c r="UCG198" s="67"/>
      <c r="UDK198" s="67"/>
      <c r="UEO198" s="67"/>
      <c r="UFS198" s="67"/>
      <c r="UGW198" s="67"/>
      <c r="UIA198" s="67"/>
      <c r="UJE198" s="67"/>
      <c r="UKI198" s="67"/>
      <c r="ULM198" s="67"/>
      <c r="UMQ198" s="67"/>
      <c r="UNU198" s="67"/>
      <c r="UOY198" s="67"/>
      <c r="UQC198" s="67"/>
      <c r="URG198" s="67"/>
      <c r="USK198" s="67"/>
      <c r="UTO198" s="67"/>
      <c r="UUS198" s="67"/>
      <c r="UVW198" s="67"/>
      <c r="UXA198" s="67"/>
      <c r="UYE198" s="67"/>
      <c r="UZI198" s="67"/>
      <c r="VAM198" s="67"/>
      <c r="VBQ198" s="67"/>
      <c r="VCU198" s="67"/>
      <c r="VDY198" s="67"/>
      <c r="VFC198" s="67"/>
      <c r="VGG198" s="67"/>
      <c r="VHK198" s="67"/>
      <c r="VIO198" s="67"/>
      <c r="VJS198" s="67"/>
      <c r="VKW198" s="67"/>
      <c r="VMA198" s="67"/>
      <c r="VNE198" s="67"/>
      <c r="VOI198" s="67"/>
      <c r="VPM198" s="67"/>
      <c r="VQQ198" s="67"/>
      <c r="VRU198" s="67"/>
      <c r="VSY198" s="67"/>
      <c r="VUC198" s="67"/>
      <c r="VVG198" s="67"/>
      <c r="VWK198" s="67"/>
      <c r="VXO198" s="67"/>
      <c r="VYS198" s="67"/>
      <c r="VZW198" s="67"/>
      <c r="WBA198" s="67"/>
      <c r="WCE198" s="67"/>
      <c r="WDI198" s="67"/>
      <c r="WEM198" s="67"/>
      <c r="WFQ198" s="67"/>
      <c r="WGU198" s="67"/>
      <c r="WHY198" s="67"/>
      <c r="WJC198" s="67"/>
      <c r="WKG198" s="67"/>
      <c r="WLK198" s="67"/>
      <c r="WMO198" s="67"/>
      <c r="WNS198" s="67"/>
      <c r="WOW198" s="67"/>
      <c r="WQA198" s="67"/>
      <c r="WRE198" s="67"/>
      <c r="WSI198" s="67"/>
      <c r="WTM198" s="67"/>
      <c r="WUQ198" s="67"/>
      <c r="WVU198" s="67"/>
      <c r="WWY198" s="67"/>
      <c r="WYC198" s="67"/>
      <c r="WZG198" s="67"/>
      <c r="XAK198" s="67"/>
      <c r="XBO198" s="67"/>
      <c r="XCS198" s="67"/>
      <c r="XDW198" s="67"/>
      <c r="XFA198" s="67"/>
    </row>
    <row r="199" spans="1:1021 1051:2041 2071:3061 3091:4081 4111:5101 5131:6121 6151:7141 7171:8191 8221:9211 9241:10231 10261:11251 11281:12271 12301:13291 13321:14311 14341:15331 15361:16381">
      <c r="A199" s="67" t="s">
        <v>12</v>
      </c>
      <c r="B199" s="36">
        <v>2228.9388294676123</v>
      </c>
      <c r="C199" s="36">
        <v>2741.5507192366158</v>
      </c>
      <c r="D199" s="36">
        <v>3192.5599137349536</v>
      </c>
      <c r="E199" s="36">
        <v>3598.1913971487611</v>
      </c>
      <c r="F199" s="36">
        <v>3768.2941093767649</v>
      </c>
      <c r="G199" s="36">
        <v>3910.2603853501555</v>
      </c>
      <c r="H199" s="36">
        <v>4031.5718502483605</v>
      </c>
      <c r="I199" s="36">
        <v>4135.9749344177026</v>
      </c>
      <c r="J199" s="36">
        <v>4225.3457253497427</v>
      </c>
      <c r="K199" s="36">
        <v>4226.4708177170551</v>
      </c>
      <c r="L199" s="36">
        <v>4215.7639932535558</v>
      </c>
      <c r="M199" s="36">
        <v>4196.2578128840278</v>
      </c>
      <c r="N199" s="36">
        <v>4169.4706658561681</v>
      </c>
      <c r="O199" s="36">
        <v>4136.162807557419</v>
      </c>
      <c r="P199" s="36">
        <v>4026.4061803133955</v>
      </c>
      <c r="Q199" s="36">
        <v>3912.9727082988334</v>
      </c>
      <c r="R199" s="36">
        <v>3799.4877057334629</v>
      </c>
      <c r="S199" s="36">
        <v>3687.7654355776963</v>
      </c>
      <c r="T199" s="36">
        <v>3578.7137916656557</v>
      </c>
      <c r="U199" s="36">
        <v>3416.7825352374043</v>
      </c>
      <c r="V199" s="36">
        <v>3260.8067241623271</v>
      </c>
      <c r="W199" s="36">
        <v>3115.1797492252008</v>
      </c>
      <c r="X199" s="36">
        <v>2982.099441880127</v>
      </c>
      <c r="Y199" s="36">
        <v>2862.6652164157376</v>
      </c>
      <c r="Z199" s="36">
        <v>2725.8579047110397</v>
      </c>
      <c r="AA199" s="36">
        <v>2606.3594648212243</v>
      </c>
      <c r="AB199" s="36">
        <v>2509.1913065796166</v>
      </c>
      <c r="AC199" s="36">
        <v>2436.8648421828689</v>
      </c>
      <c r="AD199" s="36">
        <v>2390.6360159642527</v>
      </c>
    </row>
    <row r="200" spans="1:1021 1051:2041 2071:3061 3091:4081 4111:5101 5131:6121 6151:7141 7171:8191 8221:9211 9241:10231 10261:11251 11281:12271 12301:13291 13321:14311 14341:15331 15361:16381">
      <c r="A200" s="67" t="s">
        <v>15</v>
      </c>
      <c r="B200" s="36">
        <v>2228.9388294676123</v>
      </c>
      <c r="C200" s="36">
        <v>2136.4039926613536</v>
      </c>
      <c r="D200" s="36">
        <v>2011.9678290932557</v>
      </c>
      <c r="E200" s="36">
        <v>1877.3813620132858</v>
      </c>
      <c r="F200" s="36">
        <v>1859.5382994941549</v>
      </c>
      <c r="G200" s="36">
        <v>1845.5291482072919</v>
      </c>
      <c r="H200" s="36">
        <v>1834.5837849822331</v>
      </c>
      <c r="I200" s="36">
        <v>1826.3170946360008</v>
      </c>
      <c r="J200" s="36">
        <v>1820.5364926102272</v>
      </c>
      <c r="K200" s="36">
        <v>1820.8836496852059</v>
      </c>
      <c r="L200" s="36">
        <v>1823.4791761062434</v>
      </c>
      <c r="M200" s="36">
        <v>1828.1585201089329</v>
      </c>
      <c r="N200" s="36">
        <v>1834.8393924721106</v>
      </c>
      <c r="O200" s="36">
        <v>1843.4806417304758</v>
      </c>
      <c r="P200" s="36">
        <v>1856.2630694416105</v>
      </c>
      <c r="Q200" s="36">
        <v>1870.9007057263671</v>
      </c>
      <c r="R200" s="36">
        <v>1887.2786410420374</v>
      </c>
      <c r="S200" s="36">
        <v>1905.3394105395166</v>
      </c>
      <c r="T200" s="36">
        <v>1925.054276572869</v>
      </c>
      <c r="U200" s="36">
        <v>1947.974317991527</v>
      </c>
      <c r="V200" s="36">
        <v>1972.4469565241086</v>
      </c>
      <c r="W200" s="36">
        <v>1998.3518897259294</v>
      </c>
      <c r="X200" s="36">
        <v>2025.6289555023584</v>
      </c>
      <c r="Y200" s="36">
        <v>2054.2480672245897</v>
      </c>
      <c r="Z200" s="36">
        <v>2084.2918615067674</v>
      </c>
      <c r="AA200" s="36">
        <v>2115.6426689363702</v>
      </c>
      <c r="AB200" s="36">
        <v>2148.2834098119192</v>
      </c>
      <c r="AC200" s="36">
        <v>2182.2055424787118</v>
      </c>
      <c r="AD200" s="36">
        <v>2217.4047950709896</v>
      </c>
    </row>
    <row r="201" spans="1:1021 1051:2041 2071:3061 3091:4081 4111:5101 5131:6121 6151:7141 7171:8191 8221:9211 9241:10231 10261:11251 11281:12271 12301:13291 13321:14311 14341:15331 15361:16381">
      <c r="A201" s="67" t="s">
        <v>19</v>
      </c>
      <c r="B201" s="36">
        <v>2228.9388294676123</v>
      </c>
      <c r="C201" s="36">
        <v>2136.4039926613536</v>
      </c>
      <c r="D201" s="36">
        <v>2011.9678290932557</v>
      </c>
      <c r="E201" s="36">
        <v>1877.3813620132858</v>
      </c>
      <c r="F201" s="36">
        <v>1859.5382994941549</v>
      </c>
      <c r="G201" s="36">
        <v>1845.5291482072919</v>
      </c>
      <c r="H201" s="36">
        <v>1834.5837849822331</v>
      </c>
      <c r="I201" s="36">
        <v>1826.3170946360008</v>
      </c>
      <c r="J201" s="36">
        <v>1820.5364926102272</v>
      </c>
      <c r="K201" s="36">
        <v>4250.2175620006392</v>
      </c>
      <c r="L201" s="36">
        <v>6635.7724320009429</v>
      </c>
      <c r="M201" s="36">
        <v>8877.2540951724659</v>
      </c>
      <c r="N201" s="36">
        <v>10924.165934700744</v>
      </c>
      <c r="O201" s="36">
        <v>12751.221787084816</v>
      </c>
      <c r="P201" s="36">
        <v>13431.404868852316</v>
      </c>
      <c r="Q201" s="36">
        <v>13909.506820819337</v>
      </c>
      <c r="R201" s="36">
        <v>14224.857083313214</v>
      </c>
      <c r="S201" s="36">
        <v>14397.239085042314</v>
      </c>
      <c r="T201" s="36">
        <v>14436.607179757646</v>
      </c>
      <c r="U201" s="36">
        <v>14245.043258495871</v>
      </c>
      <c r="V201" s="36">
        <v>13933.357930805932</v>
      </c>
      <c r="W201" s="36">
        <v>13510.17773237375</v>
      </c>
      <c r="X201" s="36">
        <v>12979.848854365</v>
      </c>
      <c r="Y201" s="36">
        <v>12344.553736080426</v>
      </c>
      <c r="Z201" s="36">
        <v>11548.38660252989</v>
      </c>
      <c r="AA201" s="36">
        <v>10654.531063640079</v>
      </c>
      <c r="AB201" s="36">
        <v>9671.5580835109358</v>
      </c>
      <c r="AC201" s="36">
        <v>8603.7530091841236</v>
      </c>
      <c r="AD201" s="36">
        <v>7453.2369108243474</v>
      </c>
    </row>
    <row r="202" spans="1:1021 1051:2041 2071:3061 3091:4081 4111:5101 5131:6121 6151:7141 7171:8191 8221:9211 9241:10231 10261:11251 11281:12271 12301:13291 13321:14311 14341:15331 15361:16381">
      <c r="A202" s="67" t="s">
        <v>22</v>
      </c>
      <c r="B202" s="36">
        <v>2228.9388294676123</v>
      </c>
      <c r="C202" s="36">
        <v>7532.61819268621</v>
      </c>
      <c r="D202" s="36">
        <v>12551.436060465336</v>
      </c>
      <c r="E202" s="36">
        <v>17244.99285717426</v>
      </c>
      <c r="F202" s="36">
        <v>18412.298660222605</v>
      </c>
      <c r="G202" s="36">
        <v>19309.076699783218</v>
      </c>
      <c r="H202" s="36">
        <v>20022.454757340922</v>
      </c>
      <c r="I202" s="36">
        <v>20596.292510073417</v>
      </c>
      <c r="J202" s="36">
        <v>21052.675449502425</v>
      </c>
      <c r="K202" s="36">
        <v>20793.003302385023</v>
      </c>
      <c r="L202" s="36">
        <v>20455.286726637649</v>
      </c>
      <c r="M202" s="36">
        <v>20060.513516611114</v>
      </c>
      <c r="N202" s="36">
        <v>19619.270494103013</v>
      </c>
      <c r="O202" s="36">
        <v>19136.894513651991</v>
      </c>
      <c r="P202" s="36">
        <v>18097.895847207037</v>
      </c>
      <c r="Q202" s="36">
        <v>17044.972714952397</v>
      </c>
      <c r="R202" s="36">
        <v>16000.661559812846</v>
      </c>
      <c r="S202" s="36">
        <v>14976.290930029065</v>
      </c>
      <c r="T202" s="36">
        <v>13977.549616347693</v>
      </c>
      <c r="U202" s="36">
        <v>12764.405281388747</v>
      </c>
      <c r="V202" s="36">
        <v>11594.196070256536</v>
      </c>
      <c r="W202" s="36">
        <v>10484.829072290486</v>
      </c>
      <c r="X202" s="36">
        <v>9445.2923846827543</v>
      </c>
      <c r="Y202" s="36">
        <v>8480.0921704762168</v>
      </c>
      <c r="Z202" s="36">
        <v>7350.3933472322742</v>
      </c>
      <c r="AA202" s="36">
        <v>6321.4398043226729</v>
      </c>
      <c r="AB202" s="36">
        <v>5429.8434523564229</v>
      </c>
      <c r="AC202" s="36">
        <v>4693.9530457466126</v>
      </c>
      <c r="AD202" s="36">
        <v>4122.9636793424324</v>
      </c>
    </row>
    <row r="203" spans="1:1021 1051:2041 2071:3061 3091:4081 4111:5101 5131:6121 6151:7141 7171:8191 8221:9211 9241:10231 10261:11251 11281:12271 12301:13291 13321:14311 14341:15331 15361:16381">
      <c r="A203" s="67" t="s">
        <v>24</v>
      </c>
      <c r="B203" s="36">
        <v>2228.9388294676123</v>
      </c>
      <c r="C203" s="36">
        <v>3053.8351010956862</v>
      </c>
      <c r="D203" s="36">
        <v>3802.8061742205714</v>
      </c>
      <c r="E203" s="36">
        <v>4488.8301057652761</v>
      </c>
      <c r="F203" s="36">
        <v>4930.2980547058896</v>
      </c>
      <c r="G203" s="36">
        <v>5322.3124779377667</v>
      </c>
      <c r="H203" s="36">
        <v>5672.1994855591665</v>
      </c>
      <c r="I203" s="36">
        <v>5983.636232735922</v>
      </c>
      <c r="J203" s="36">
        <v>6258.4689388816441</v>
      </c>
      <c r="K203" s="36">
        <v>6029.2339601171298</v>
      </c>
      <c r="L203" s="36">
        <v>5778.0906397844892</v>
      </c>
      <c r="M203" s="36">
        <v>5521.8431084040076</v>
      </c>
      <c r="N203" s="36">
        <v>5268.9006808905651</v>
      </c>
      <c r="O203" s="36">
        <v>5023.471627386225</v>
      </c>
      <c r="P203" s="36">
        <v>4800.8091082552919</v>
      </c>
      <c r="Q203" s="36">
        <v>4588.334203238147</v>
      </c>
      <c r="R203" s="36">
        <v>4385.9471516927479</v>
      </c>
      <c r="S203" s="36">
        <v>4193.5979960558107</v>
      </c>
      <c r="T203" s="36">
        <v>4011.261697026946</v>
      </c>
      <c r="U203" s="36">
        <v>3849.2242822402523</v>
      </c>
      <c r="V203" s="36">
        <v>3696.6443869775408</v>
      </c>
      <c r="W203" s="36">
        <v>3552.7620843992026</v>
      </c>
      <c r="X203" s="36">
        <v>3417.1969970891319</v>
      </c>
      <c r="Y203" s="36">
        <v>3289.758713497893</v>
      </c>
      <c r="Z203" s="36">
        <v>3170.8062767357974</v>
      </c>
      <c r="AA203" s="36">
        <v>3059.7916783126525</v>
      </c>
      <c r="AB203" s="36">
        <v>2956.6233243084994</v>
      </c>
      <c r="AC203" s="36">
        <v>2861.2553527633845</v>
      </c>
      <c r="AD203" s="36">
        <v>2773.6647948053733</v>
      </c>
    </row>
    <row r="204" spans="1:1021 1051:2041 2071:3061 3091:4081 4111:5101 5131:6121 6151:7141 7171:8191 8221:9211 9241:10231 10261:11251 11281:12271 12301:13291 13321:14311 14341:15331 15361:16381">
      <c r="A204" s="67" t="s">
        <v>25</v>
      </c>
      <c r="B204" s="36">
        <v>2228.9388294676123</v>
      </c>
      <c r="C204" s="36">
        <v>4401.4430838695007</v>
      </c>
      <c r="D204" s="36">
        <v>6441.0928516658605</v>
      </c>
      <c r="E204" s="36">
        <v>8342.9682638993436</v>
      </c>
      <c r="F204" s="36">
        <v>8817.4097444543549</v>
      </c>
      <c r="G204" s="36">
        <v>9179.4950564873325</v>
      </c>
      <c r="H204" s="36">
        <v>9466.0684707271012</v>
      </c>
      <c r="I204" s="36">
        <v>9695.6237561459457</v>
      </c>
      <c r="J204" s="36">
        <v>9877.4445428110776</v>
      </c>
      <c r="K204" s="36">
        <v>10897.059483112458</v>
      </c>
      <c r="L204" s="36">
        <v>11849.397874518212</v>
      </c>
      <c r="M204" s="36">
        <v>12705.335405199477</v>
      </c>
      <c r="N204" s="36">
        <v>13450.259624567356</v>
      </c>
      <c r="O204" s="36">
        <v>14076.856175466033</v>
      </c>
      <c r="P204" s="36">
        <v>14288.834088255955</v>
      </c>
      <c r="Q204" s="36">
        <v>14388.396937685131</v>
      </c>
      <c r="R204" s="36">
        <v>14388.059840851212</v>
      </c>
      <c r="S204" s="36">
        <v>14294.143498691841</v>
      </c>
      <c r="T204" s="36">
        <v>14109.840267131971</v>
      </c>
      <c r="U204" s="36">
        <v>13695.559401446828</v>
      </c>
      <c r="V204" s="36">
        <v>13200.719863559396</v>
      </c>
      <c r="W204" s="36">
        <v>12635.801281888893</v>
      </c>
      <c r="X204" s="36">
        <v>12006.081519119098</v>
      </c>
      <c r="Y204" s="36">
        <v>11314.212034940989</v>
      </c>
      <c r="Z204" s="36">
        <v>10453.771378909516</v>
      </c>
      <c r="AA204" s="36">
        <v>9543.5749023431945</v>
      </c>
      <c r="AB204" s="36">
        <v>8599.8621712774711</v>
      </c>
      <c r="AC204" s="36">
        <v>7630.7841513772873</v>
      </c>
      <c r="AD204" s="36">
        <v>6640.4191224959613</v>
      </c>
    </row>
    <row r="205" spans="1:1021 1051:2041 2071:3061 3091:4081 4111:5101 5131:6121 6151:7141 7171:8191 8221:9211 9241:10231 10261:11251 11281:12271 12301:13291 13321:14311 14341:15331 15361:16381">
      <c r="A205" s="69"/>
    </row>
    <row r="206" spans="1:1021 1051:2041 2071:3061 3091:4081 4111:5101 5131:6121 6151:7141 7171:8191 8221:9211 9241:10231 10261:11251 11281:12271 12301:13291 13321:14311 14341:15331 15361:16381" s="68" customFormat="1">
      <c r="A206" s="67" t="s">
        <v>40</v>
      </c>
      <c r="B206" s="68">
        <v>2022</v>
      </c>
      <c r="C206" s="68">
        <v>2023</v>
      </c>
      <c r="D206" s="68">
        <v>2024</v>
      </c>
      <c r="E206" s="68">
        <v>2025</v>
      </c>
      <c r="F206" s="68">
        <v>2026</v>
      </c>
      <c r="G206" s="68">
        <v>2027</v>
      </c>
      <c r="H206" s="68">
        <v>2028</v>
      </c>
      <c r="I206" s="68">
        <v>2029</v>
      </c>
      <c r="J206" s="68">
        <v>2030</v>
      </c>
      <c r="K206" s="68">
        <v>2031</v>
      </c>
      <c r="L206" s="68">
        <v>2032</v>
      </c>
      <c r="M206" s="68">
        <v>2033</v>
      </c>
      <c r="N206" s="68">
        <v>2034</v>
      </c>
      <c r="O206" s="68">
        <v>2035</v>
      </c>
      <c r="P206" s="68">
        <v>2036</v>
      </c>
      <c r="Q206" s="68">
        <v>2037</v>
      </c>
      <c r="R206" s="68">
        <v>2038</v>
      </c>
      <c r="S206" s="68">
        <v>2039</v>
      </c>
      <c r="T206" s="68">
        <v>2040</v>
      </c>
      <c r="U206" s="68">
        <v>2041</v>
      </c>
      <c r="V206" s="68">
        <v>2042</v>
      </c>
      <c r="W206" s="68">
        <v>2043</v>
      </c>
      <c r="X206" s="68">
        <v>2044</v>
      </c>
      <c r="Y206" s="68">
        <v>2045</v>
      </c>
      <c r="Z206" s="68">
        <v>2046</v>
      </c>
      <c r="AA206" s="68">
        <v>2047</v>
      </c>
      <c r="AB206" s="68">
        <v>2048</v>
      </c>
      <c r="AC206" s="68">
        <v>2049</v>
      </c>
      <c r="AD206" s="68">
        <v>2050</v>
      </c>
      <c r="AE206" s="67"/>
      <c r="BI206" s="67"/>
      <c r="CM206" s="67"/>
      <c r="DQ206" s="67"/>
      <c r="EU206" s="67"/>
      <c r="FY206" s="67"/>
      <c r="HC206" s="67"/>
      <c r="IG206" s="67"/>
      <c r="JK206" s="67"/>
      <c r="KO206" s="67"/>
      <c r="LS206" s="67"/>
      <c r="MW206" s="67"/>
      <c r="OA206" s="67"/>
      <c r="PE206" s="67"/>
      <c r="QI206" s="67"/>
      <c r="RM206" s="67"/>
      <c r="SQ206" s="67"/>
      <c r="TU206" s="67"/>
      <c r="UY206" s="67"/>
      <c r="WC206" s="67"/>
      <c r="XG206" s="67"/>
      <c r="YK206" s="67"/>
      <c r="ZO206" s="67"/>
      <c r="AAS206" s="67"/>
      <c r="ABW206" s="67"/>
      <c r="ADA206" s="67"/>
      <c r="AEE206" s="67"/>
      <c r="AFI206" s="67"/>
      <c r="AGM206" s="67"/>
      <c r="AHQ206" s="67"/>
      <c r="AIU206" s="67"/>
      <c r="AJY206" s="67"/>
      <c r="ALC206" s="67"/>
      <c r="AMG206" s="67"/>
      <c r="ANK206" s="67"/>
      <c r="AOO206" s="67"/>
      <c r="APS206" s="67"/>
      <c r="AQW206" s="67"/>
      <c r="ASA206" s="67"/>
      <c r="ATE206" s="67"/>
      <c r="AUI206" s="67"/>
      <c r="AVM206" s="67"/>
      <c r="AWQ206" s="67"/>
      <c r="AXU206" s="67"/>
      <c r="AYY206" s="67"/>
      <c r="BAC206" s="67"/>
      <c r="BBG206" s="67"/>
      <c r="BCK206" s="67"/>
      <c r="BDO206" s="67"/>
      <c r="BES206" s="67"/>
      <c r="BFW206" s="67"/>
      <c r="BHA206" s="67"/>
      <c r="BIE206" s="67"/>
      <c r="BJI206" s="67"/>
      <c r="BKM206" s="67"/>
      <c r="BLQ206" s="67"/>
      <c r="BMU206" s="67"/>
      <c r="BNY206" s="67"/>
      <c r="BPC206" s="67"/>
      <c r="BQG206" s="67"/>
      <c r="BRK206" s="67"/>
      <c r="BSO206" s="67"/>
      <c r="BTS206" s="67"/>
      <c r="BUW206" s="67"/>
      <c r="BWA206" s="67"/>
      <c r="BXE206" s="67"/>
      <c r="BYI206" s="67"/>
      <c r="BZM206" s="67"/>
      <c r="CAQ206" s="67"/>
      <c r="CBU206" s="67"/>
      <c r="CCY206" s="67"/>
      <c r="CEC206" s="67"/>
      <c r="CFG206" s="67"/>
      <c r="CGK206" s="67"/>
      <c r="CHO206" s="67"/>
      <c r="CIS206" s="67"/>
      <c r="CJW206" s="67"/>
      <c r="CLA206" s="67"/>
      <c r="CME206" s="67"/>
      <c r="CNI206" s="67"/>
      <c r="COM206" s="67"/>
      <c r="CPQ206" s="67"/>
      <c r="CQU206" s="67"/>
      <c r="CRY206" s="67"/>
      <c r="CTC206" s="67"/>
      <c r="CUG206" s="67"/>
      <c r="CVK206" s="67"/>
      <c r="CWO206" s="67"/>
      <c r="CXS206" s="67"/>
      <c r="CYW206" s="67"/>
      <c r="DAA206" s="67"/>
      <c r="DBE206" s="67"/>
      <c r="DCI206" s="67"/>
      <c r="DDM206" s="67"/>
      <c r="DEQ206" s="67"/>
      <c r="DFU206" s="67"/>
      <c r="DGY206" s="67"/>
      <c r="DIC206" s="67"/>
      <c r="DJG206" s="67"/>
      <c r="DKK206" s="67"/>
      <c r="DLO206" s="67"/>
      <c r="DMS206" s="67"/>
      <c r="DNW206" s="67"/>
      <c r="DPA206" s="67"/>
      <c r="DQE206" s="67"/>
      <c r="DRI206" s="67"/>
      <c r="DSM206" s="67"/>
      <c r="DTQ206" s="67"/>
      <c r="DUU206" s="67"/>
      <c r="DVY206" s="67"/>
      <c r="DXC206" s="67"/>
      <c r="DYG206" s="67"/>
      <c r="DZK206" s="67"/>
      <c r="EAO206" s="67"/>
      <c r="EBS206" s="67"/>
      <c r="ECW206" s="67"/>
      <c r="EEA206" s="67"/>
      <c r="EFE206" s="67"/>
      <c r="EGI206" s="67"/>
      <c r="EHM206" s="67"/>
      <c r="EIQ206" s="67"/>
      <c r="EJU206" s="67"/>
      <c r="EKY206" s="67"/>
      <c r="EMC206" s="67"/>
      <c r="ENG206" s="67"/>
      <c r="EOK206" s="67"/>
      <c r="EPO206" s="67"/>
      <c r="EQS206" s="67"/>
      <c r="ERW206" s="67"/>
      <c r="ETA206" s="67"/>
      <c r="EUE206" s="67"/>
      <c r="EVI206" s="67"/>
      <c r="EWM206" s="67"/>
      <c r="EXQ206" s="67"/>
      <c r="EYU206" s="67"/>
      <c r="EZY206" s="67"/>
      <c r="FBC206" s="67"/>
      <c r="FCG206" s="67"/>
      <c r="FDK206" s="67"/>
      <c r="FEO206" s="67"/>
      <c r="FFS206" s="67"/>
      <c r="FGW206" s="67"/>
      <c r="FIA206" s="67"/>
      <c r="FJE206" s="67"/>
      <c r="FKI206" s="67"/>
      <c r="FLM206" s="67"/>
      <c r="FMQ206" s="67"/>
      <c r="FNU206" s="67"/>
      <c r="FOY206" s="67"/>
      <c r="FQC206" s="67"/>
      <c r="FRG206" s="67"/>
      <c r="FSK206" s="67"/>
      <c r="FTO206" s="67"/>
      <c r="FUS206" s="67"/>
      <c r="FVW206" s="67"/>
      <c r="FXA206" s="67"/>
      <c r="FYE206" s="67"/>
      <c r="FZI206" s="67"/>
      <c r="GAM206" s="67"/>
      <c r="GBQ206" s="67"/>
      <c r="GCU206" s="67"/>
      <c r="GDY206" s="67"/>
      <c r="GFC206" s="67"/>
      <c r="GGG206" s="67"/>
      <c r="GHK206" s="67"/>
      <c r="GIO206" s="67"/>
      <c r="GJS206" s="67"/>
      <c r="GKW206" s="67"/>
      <c r="GMA206" s="67"/>
      <c r="GNE206" s="67"/>
      <c r="GOI206" s="67"/>
      <c r="GPM206" s="67"/>
      <c r="GQQ206" s="67"/>
      <c r="GRU206" s="67"/>
      <c r="GSY206" s="67"/>
      <c r="GUC206" s="67"/>
      <c r="GVG206" s="67"/>
      <c r="GWK206" s="67"/>
      <c r="GXO206" s="67"/>
      <c r="GYS206" s="67"/>
      <c r="GZW206" s="67"/>
      <c r="HBA206" s="67"/>
      <c r="HCE206" s="67"/>
      <c r="HDI206" s="67"/>
      <c r="HEM206" s="67"/>
      <c r="HFQ206" s="67"/>
      <c r="HGU206" s="67"/>
      <c r="HHY206" s="67"/>
      <c r="HJC206" s="67"/>
      <c r="HKG206" s="67"/>
      <c r="HLK206" s="67"/>
      <c r="HMO206" s="67"/>
      <c r="HNS206" s="67"/>
      <c r="HOW206" s="67"/>
      <c r="HQA206" s="67"/>
      <c r="HRE206" s="67"/>
      <c r="HSI206" s="67"/>
      <c r="HTM206" s="67"/>
      <c r="HUQ206" s="67"/>
      <c r="HVU206" s="67"/>
      <c r="HWY206" s="67"/>
      <c r="HYC206" s="67"/>
      <c r="HZG206" s="67"/>
      <c r="IAK206" s="67"/>
      <c r="IBO206" s="67"/>
      <c r="ICS206" s="67"/>
      <c r="IDW206" s="67"/>
      <c r="IFA206" s="67"/>
      <c r="IGE206" s="67"/>
      <c r="IHI206" s="67"/>
      <c r="IIM206" s="67"/>
      <c r="IJQ206" s="67"/>
      <c r="IKU206" s="67"/>
      <c r="ILY206" s="67"/>
      <c r="INC206" s="67"/>
      <c r="IOG206" s="67"/>
      <c r="IPK206" s="67"/>
      <c r="IQO206" s="67"/>
      <c r="IRS206" s="67"/>
      <c r="ISW206" s="67"/>
      <c r="IUA206" s="67"/>
      <c r="IVE206" s="67"/>
      <c r="IWI206" s="67"/>
      <c r="IXM206" s="67"/>
      <c r="IYQ206" s="67"/>
      <c r="IZU206" s="67"/>
      <c r="JAY206" s="67"/>
      <c r="JCC206" s="67"/>
      <c r="JDG206" s="67"/>
      <c r="JEK206" s="67"/>
      <c r="JFO206" s="67"/>
      <c r="JGS206" s="67"/>
      <c r="JHW206" s="67"/>
      <c r="JJA206" s="67"/>
      <c r="JKE206" s="67"/>
      <c r="JLI206" s="67"/>
      <c r="JMM206" s="67"/>
      <c r="JNQ206" s="67"/>
      <c r="JOU206" s="67"/>
      <c r="JPY206" s="67"/>
      <c r="JRC206" s="67"/>
      <c r="JSG206" s="67"/>
      <c r="JTK206" s="67"/>
      <c r="JUO206" s="67"/>
      <c r="JVS206" s="67"/>
      <c r="JWW206" s="67"/>
      <c r="JYA206" s="67"/>
      <c r="JZE206" s="67"/>
      <c r="KAI206" s="67"/>
      <c r="KBM206" s="67"/>
      <c r="KCQ206" s="67"/>
      <c r="KDU206" s="67"/>
      <c r="KEY206" s="67"/>
      <c r="KGC206" s="67"/>
      <c r="KHG206" s="67"/>
      <c r="KIK206" s="67"/>
      <c r="KJO206" s="67"/>
      <c r="KKS206" s="67"/>
      <c r="KLW206" s="67"/>
      <c r="KNA206" s="67"/>
      <c r="KOE206" s="67"/>
      <c r="KPI206" s="67"/>
      <c r="KQM206" s="67"/>
      <c r="KRQ206" s="67"/>
      <c r="KSU206" s="67"/>
      <c r="KTY206" s="67"/>
      <c r="KVC206" s="67"/>
      <c r="KWG206" s="67"/>
      <c r="KXK206" s="67"/>
      <c r="KYO206" s="67"/>
      <c r="KZS206" s="67"/>
      <c r="LAW206" s="67"/>
      <c r="LCA206" s="67"/>
      <c r="LDE206" s="67"/>
      <c r="LEI206" s="67"/>
      <c r="LFM206" s="67"/>
      <c r="LGQ206" s="67"/>
      <c r="LHU206" s="67"/>
      <c r="LIY206" s="67"/>
      <c r="LKC206" s="67"/>
      <c r="LLG206" s="67"/>
      <c r="LMK206" s="67"/>
      <c r="LNO206" s="67"/>
      <c r="LOS206" s="67"/>
      <c r="LPW206" s="67"/>
      <c r="LRA206" s="67"/>
      <c r="LSE206" s="67"/>
      <c r="LTI206" s="67"/>
      <c r="LUM206" s="67"/>
      <c r="LVQ206" s="67"/>
      <c r="LWU206" s="67"/>
      <c r="LXY206" s="67"/>
      <c r="LZC206" s="67"/>
      <c r="MAG206" s="67"/>
      <c r="MBK206" s="67"/>
      <c r="MCO206" s="67"/>
      <c r="MDS206" s="67"/>
      <c r="MEW206" s="67"/>
      <c r="MGA206" s="67"/>
      <c r="MHE206" s="67"/>
      <c r="MII206" s="67"/>
      <c r="MJM206" s="67"/>
      <c r="MKQ206" s="67"/>
      <c r="MLU206" s="67"/>
      <c r="MMY206" s="67"/>
      <c r="MOC206" s="67"/>
      <c r="MPG206" s="67"/>
      <c r="MQK206" s="67"/>
      <c r="MRO206" s="67"/>
      <c r="MSS206" s="67"/>
      <c r="MTW206" s="67"/>
      <c r="MVA206" s="67"/>
      <c r="MWE206" s="67"/>
      <c r="MXI206" s="67"/>
      <c r="MYM206" s="67"/>
      <c r="MZQ206" s="67"/>
      <c r="NAU206" s="67"/>
      <c r="NBY206" s="67"/>
      <c r="NDC206" s="67"/>
      <c r="NEG206" s="67"/>
      <c r="NFK206" s="67"/>
      <c r="NGO206" s="67"/>
      <c r="NHS206" s="67"/>
      <c r="NIW206" s="67"/>
      <c r="NKA206" s="67"/>
      <c r="NLE206" s="67"/>
      <c r="NMI206" s="67"/>
      <c r="NNM206" s="67"/>
      <c r="NOQ206" s="67"/>
      <c r="NPU206" s="67"/>
      <c r="NQY206" s="67"/>
      <c r="NSC206" s="67"/>
      <c r="NTG206" s="67"/>
      <c r="NUK206" s="67"/>
      <c r="NVO206" s="67"/>
      <c r="NWS206" s="67"/>
      <c r="NXW206" s="67"/>
      <c r="NZA206" s="67"/>
      <c r="OAE206" s="67"/>
      <c r="OBI206" s="67"/>
      <c r="OCM206" s="67"/>
      <c r="ODQ206" s="67"/>
      <c r="OEU206" s="67"/>
      <c r="OFY206" s="67"/>
      <c r="OHC206" s="67"/>
      <c r="OIG206" s="67"/>
      <c r="OJK206" s="67"/>
      <c r="OKO206" s="67"/>
      <c r="OLS206" s="67"/>
      <c r="OMW206" s="67"/>
      <c r="OOA206" s="67"/>
      <c r="OPE206" s="67"/>
      <c r="OQI206" s="67"/>
      <c r="ORM206" s="67"/>
      <c r="OSQ206" s="67"/>
      <c r="OTU206" s="67"/>
      <c r="OUY206" s="67"/>
      <c r="OWC206" s="67"/>
      <c r="OXG206" s="67"/>
      <c r="OYK206" s="67"/>
      <c r="OZO206" s="67"/>
      <c r="PAS206" s="67"/>
      <c r="PBW206" s="67"/>
      <c r="PDA206" s="67"/>
      <c r="PEE206" s="67"/>
      <c r="PFI206" s="67"/>
      <c r="PGM206" s="67"/>
      <c r="PHQ206" s="67"/>
      <c r="PIU206" s="67"/>
      <c r="PJY206" s="67"/>
      <c r="PLC206" s="67"/>
      <c r="PMG206" s="67"/>
      <c r="PNK206" s="67"/>
      <c r="POO206" s="67"/>
      <c r="PPS206" s="67"/>
      <c r="PQW206" s="67"/>
      <c r="PSA206" s="67"/>
      <c r="PTE206" s="67"/>
      <c r="PUI206" s="67"/>
      <c r="PVM206" s="67"/>
      <c r="PWQ206" s="67"/>
      <c r="PXU206" s="67"/>
      <c r="PYY206" s="67"/>
      <c r="QAC206" s="67"/>
      <c r="QBG206" s="67"/>
      <c r="QCK206" s="67"/>
      <c r="QDO206" s="67"/>
      <c r="QES206" s="67"/>
      <c r="QFW206" s="67"/>
      <c r="QHA206" s="67"/>
      <c r="QIE206" s="67"/>
      <c r="QJI206" s="67"/>
      <c r="QKM206" s="67"/>
      <c r="QLQ206" s="67"/>
      <c r="QMU206" s="67"/>
      <c r="QNY206" s="67"/>
      <c r="QPC206" s="67"/>
      <c r="QQG206" s="67"/>
      <c r="QRK206" s="67"/>
      <c r="QSO206" s="67"/>
      <c r="QTS206" s="67"/>
      <c r="QUW206" s="67"/>
      <c r="QWA206" s="67"/>
      <c r="QXE206" s="67"/>
      <c r="QYI206" s="67"/>
      <c r="QZM206" s="67"/>
      <c r="RAQ206" s="67"/>
      <c r="RBU206" s="67"/>
      <c r="RCY206" s="67"/>
      <c r="REC206" s="67"/>
      <c r="RFG206" s="67"/>
      <c r="RGK206" s="67"/>
      <c r="RHO206" s="67"/>
      <c r="RIS206" s="67"/>
      <c r="RJW206" s="67"/>
      <c r="RLA206" s="67"/>
      <c r="RME206" s="67"/>
      <c r="RNI206" s="67"/>
      <c r="ROM206" s="67"/>
      <c r="RPQ206" s="67"/>
      <c r="RQU206" s="67"/>
      <c r="RRY206" s="67"/>
      <c r="RTC206" s="67"/>
      <c r="RUG206" s="67"/>
      <c r="RVK206" s="67"/>
      <c r="RWO206" s="67"/>
      <c r="RXS206" s="67"/>
      <c r="RYW206" s="67"/>
      <c r="SAA206" s="67"/>
      <c r="SBE206" s="67"/>
      <c r="SCI206" s="67"/>
      <c r="SDM206" s="67"/>
      <c r="SEQ206" s="67"/>
      <c r="SFU206" s="67"/>
      <c r="SGY206" s="67"/>
      <c r="SIC206" s="67"/>
      <c r="SJG206" s="67"/>
      <c r="SKK206" s="67"/>
      <c r="SLO206" s="67"/>
      <c r="SMS206" s="67"/>
      <c r="SNW206" s="67"/>
      <c r="SPA206" s="67"/>
      <c r="SQE206" s="67"/>
      <c r="SRI206" s="67"/>
      <c r="SSM206" s="67"/>
      <c r="STQ206" s="67"/>
      <c r="SUU206" s="67"/>
      <c r="SVY206" s="67"/>
      <c r="SXC206" s="67"/>
      <c r="SYG206" s="67"/>
      <c r="SZK206" s="67"/>
      <c r="TAO206" s="67"/>
      <c r="TBS206" s="67"/>
      <c r="TCW206" s="67"/>
      <c r="TEA206" s="67"/>
      <c r="TFE206" s="67"/>
      <c r="TGI206" s="67"/>
      <c r="THM206" s="67"/>
      <c r="TIQ206" s="67"/>
      <c r="TJU206" s="67"/>
      <c r="TKY206" s="67"/>
      <c r="TMC206" s="67"/>
      <c r="TNG206" s="67"/>
      <c r="TOK206" s="67"/>
      <c r="TPO206" s="67"/>
      <c r="TQS206" s="67"/>
      <c r="TRW206" s="67"/>
      <c r="TTA206" s="67"/>
      <c r="TUE206" s="67"/>
      <c r="TVI206" s="67"/>
      <c r="TWM206" s="67"/>
      <c r="TXQ206" s="67"/>
      <c r="TYU206" s="67"/>
      <c r="TZY206" s="67"/>
      <c r="UBC206" s="67"/>
      <c r="UCG206" s="67"/>
      <c r="UDK206" s="67"/>
      <c r="UEO206" s="67"/>
      <c r="UFS206" s="67"/>
      <c r="UGW206" s="67"/>
      <c r="UIA206" s="67"/>
      <c r="UJE206" s="67"/>
      <c r="UKI206" s="67"/>
      <c r="ULM206" s="67"/>
      <c r="UMQ206" s="67"/>
      <c r="UNU206" s="67"/>
      <c r="UOY206" s="67"/>
      <c r="UQC206" s="67"/>
      <c r="URG206" s="67"/>
      <c r="USK206" s="67"/>
      <c r="UTO206" s="67"/>
      <c r="UUS206" s="67"/>
      <c r="UVW206" s="67"/>
      <c r="UXA206" s="67"/>
      <c r="UYE206" s="67"/>
      <c r="UZI206" s="67"/>
      <c r="VAM206" s="67"/>
      <c r="VBQ206" s="67"/>
      <c r="VCU206" s="67"/>
      <c r="VDY206" s="67"/>
      <c r="VFC206" s="67"/>
      <c r="VGG206" s="67"/>
      <c r="VHK206" s="67"/>
      <c r="VIO206" s="67"/>
      <c r="VJS206" s="67"/>
      <c r="VKW206" s="67"/>
      <c r="VMA206" s="67"/>
      <c r="VNE206" s="67"/>
      <c r="VOI206" s="67"/>
      <c r="VPM206" s="67"/>
      <c r="VQQ206" s="67"/>
      <c r="VRU206" s="67"/>
      <c r="VSY206" s="67"/>
      <c r="VUC206" s="67"/>
      <c r="VVG206" s="67"/>
      <c r="VWK206" s="67"/>
      <c r="VXO206" s="67"/>
      <c r="VYS206" s="67"/>
      <c r="VZW206" s="67"/>
      <c r="WBA206" s="67"/>
      <c r="WCE206" s="67"/>
      <c r="WDI206" s="67"/>
      <c r="WEM206" s="67"/>
      <c r="WFQ206" s="67"/>
      <c r="WGU206" s="67"/>
      <c r="WHY206" s="67"/>
      <c r="WJC206" s="67"/>
      <c r="WKG206" s="67"/>
      <c r="WLK206" s="67"/>
      <c r="WMO206" s="67"/>
      <c r="WNS206" s="67"/>
      <c r="WOW206" s="67"/>
      <c r="WQA206" s="67"/>
      <c r="WRE206" s="67"/>
      <c r="WSI206" s="67"/>
      <c r="WTM206" s="67"/>
      <c r="WUQ206" s="67"/>
      <c r="WVU206" s="67"/>
      <c r="WWY206" s="67"/>
      <c r="WYC206" s="67"/>
      <c r="WZG206" s="67"/>
      <c r="XAK206" s="67"/>
      <c r="XBO206" s="67"/>
      <c r="XCS206" s="67"/>
      <c r="XDW206" s="67"/>
      <c r="XFA206" s="67"/>
    </row>
    <row r="207" spans="1:1021 1051:2041 2071:3061 3091:4081 4111:5101 5131:6121 6151:7141 7171:8191 8221:9211 9241:10231 10261:11251 11281:12271 12301:13291 13321:14311 14341:15331 15361:16381">
      <c r="A207" s="67" t="s">
        <v>12</v>
      </c>
      <c r="B207" s="36">
        <v>1330.7294796298522</v>
      </c>
      <c r="C207" s="36">
        <v>1843.3413693988557</v>
      </c>
      <c r="D207" s="36">
        <v>2294.3505638971938</v>
      </c>
      <c r="E207" s="36">
        <v>2699.9820473110012</v>
      </c>
      <c r="F207" s="36">
        <v>2870.0847595390051</v>
      </c>
      <c r="G207" s="36">
        <v>3012.0510355123952</v>
      </c>
      <c r="H207" s="36">
        <v>3133.3625004106007</v>
      </c>
      <c r="I207" s="36">
        <v>3237.7655845799427</v>
      </c>
      <c r="J207" s="36">
        <v>3327.1363755119828</v>
      </c>
      <c r="K207" s="36">
        <v>3328.2614678792952</v>
      </c>
      <c r="L207" s="36">
        <v>3317.5546434157959</v>
      </c>
      <c r="M207" s="36">
        <v>3298.0484630462679</v>
      </c>
      <c r="N207" s="36">
        <v>3271.2613160184083</v>
      </c>
      <c r="O207" s="36">
        <v>3237.9534577196591</v>
      </c>
      <c r="P207" s="36">
        <v>3128.1968304756356</v>
      </c>
      <c r="Q207" s="36">
        <v>3014.763358461073</v>
      </c>
      <c r="R207" s="36">
        <v>2901.2783558957026</v>
      </c>
      <c r="S207" s="36">
        <v>2789.556085739936</v>
      </c>
      <c r="T207" s="36">
        <v>2680.5044418278958</v>
      </c>
      <c r="U207" s="36">
        <v>2518.573185399644</v>
      </c>
      <c r="V207" s="36">
        <v>2362.5973743245668</v>
      </c>
      <c r="W207" s="36">
        <v>2216.9703993874409</v>
      </c>
      <c r="X207" s="36">
        <v>2083.8900920423666</v>
      </c>
      <c r="Y207" s="36">
        <v>1964.4558665779775</v>
      </c>
      <c r="Z207" s="36">
        <v>1827.6485548732796</v>
      </c>
      <c r="AA207" s="36">
        <v>1708.1501149834642</v>
      </c>
      <c r="AB207" s="36">
        <v>1610.9819567418565</v>
      </c>
      <c r="AC207" s="36">
        <v>1538.6554923451088</v>
      </c>
      <c r="AD207" s="36">
        <v>1492.4266661264926</v>
      </c>
    </row>
    <row r="208" spans="1:1021 1051:2041 2071:3061 3091:4081 4111:5101 5131:6121 6151:7141 7171:8191 8221:9211 9241:10231 10261:11251 11281:12271 12301:13291 13321:14311 14341:15331 15361:16381">
      <c r="A208" s="67" t="s">
        <v>15</v>
      </c>
      <c r="B208" s="36">
        <v>1330.7294796298522</v>
      </c>
      <c r="C208" s="36">
        <v>1238.1946428235935</v>
      </c>
      <c r="D208" s="36">
        <v>1113.7584792554956</v>
      </c>
      <c r="E208" s="36">
        <v>979.17201217552565</v>
      </c>
      <c r="F208" s="36">
        <v>961.3289496563948</v>
      </c>
      <c r="G208" s="36">
        <v>947.31979836953178</v>
      </c>
      <c r="H208" s="36">
        <v>936.37443514447295</v>
      </c>
      <c r="I208" s="36">
        <v>928.10774479824067</v>
      </c>
      <c r="J208" s="36">
        <v>922.32714277246714</v>
      </c>
      <c r="K208" s="36">
        <v>922.67429984744581</v>
      </c>
      <c r="L208" s="36">
        <v>925.26982626848326</v>
      </c>
      <c r="M208" s="36">
        <v>929.94917027117276</v>
      </c>
      <c r="N208" s="36">
        <v>936.6300426343505</v>
      </c>
      <c r="O208" s="36">
        <v>945.27129189271568</v>
      </c>
      <c r="P208" s="36">
        <v>958.05371960385037</v>
      </c>
      <c r="Q208" s="36">
        <v>972.69135588860695</v>
      </c>
      <c r="R208" s="36">
        <v>989.06929120427731</v>
      </c>
      <c r="S208" s="36">
        <v>1007.1300607017565</v>
      </c>
      <c r="T208" s="36">
        <v>1026.8449267351089</v>
      </c>
      <c r="U208" s="36">
        <v>1049.7649681537669</v>
      </c>
      <c r="V208" s="36">
        <v>1074.2376066863485</v>
      </c>
      <c r="W208" s="36">
        <v>1100.1425398881693</v>
      </c>
      <c r="X208" s="36">
        <v>1127.4196056645983</v>
      </c>
      <c r="Y208" s="36">
        <v>1156.0387173868296</v>
      </c>
      <c r="Z208" s="36">
        <v>1186.0825116690073</v>
      </c>
      <c r="AA208" s="36">
        <v>1217.4333190986101</v>
      </c>
      <c r="AB208" s="36">
        <v>1250.0740599741591</v>
      </c>
      <c r="AC208" s="36">
        <v>1283.9961926409517</v>
      </c>
      <c r="AD208" s="36">
        <v>1319.1954452332295</v>
      </c>
    </row>
    <row r="209" spans="1:1021 1051:2041 2071:3061 3091:4081 4111:5101 5131:6121 6151:7141 7171:8191 8221:9211 9241:10231 10261:11251 11281:12271 12301:13291 13321:14311 14341:15331 15361:16381">
      <c r="A209" s="67" t="s">
        <v>19</v>
      </c>
      <c r="B209" s="36">
        <v>1330.7294796298522</v>
      </c>
      <c r="C209" s="36">
        <v>1238.1946428235935</v>
      </c>
      <c r="D209" s="36">
        <v>1113.7584792554956</v>
      </c>
      <c r="E209" s="36">
        <v>979.17201217552565</v>
      </c>
      <c r="F209" s="36">
        <v>961.3289496563948</v>
      </c>
      <c r="G209" s="36">
        <v>947.31979836953178</v>
      </c>
      <c r="H209" s="36">
        <v>936.37443514447295</v>
      </c>
      <c r="I209" s="36">
        <v>928.10774479824067</v>
      </c>
      <c r="J209" s="36">
        <v>922.32714277246714</v>
      </c>
      <c r="K209" s="36">
        <v>3352.0082121628793</v>
      </c>
      <c r="L209" s="36">
        <v>5737.563082163183</v>
      </c>
      <c r="M209" s="36">
        <v>7979.044745334706</v>
      </c>
      <c r="N209" s="36">
        <v>10025.956584862985</v>
      </c>
      <c r="O209" s="36">
        <v>11853.012437247056</v>
      </c>
      <c r="P209" s="36">
        <v>12533.195519014556</v>
      </c>
      <c r="Q209" s="36">
        <v>13011.297470981577</v>
      </c>
      <c r="R209" s="36">
        <v>13326.647733475455</v>
      </c>
      <c r="S209" s="36">
        <v>13499.029735204555</v>
      </c>
      <c r="T209" s="36">
        <v>13538.397829919886</v>
      </c>
      <c r="U209" s="36">
        <v>13346.833908658111</v>
      </c>
      <c r="V209" s="36">
        <v>13035.148580968173</v>
      </c>
      <c r="W209" s="36">
        <v>12611.96838253599</v>
      </c>
      <c r="X209" s="36">
        <v>12081.63950452724</v>
      </c>
      <c r="Y209" s="36">
        <v>11446.344386242667</v>
      </c>
      <c r="Z209" s="36">
        <v>10650.17725269213</v>
      </c>
      <c r="AA209" s="36">
        <v>9756.3217138023192</v>
      </c>
      <c r="AB209" s="36">
        <v>8773.348733673176</v>
      </c>
      <c r="AC209" s="36">
        <v>7705.5436593463637</v>
      </c>
      <c r="AD209" s="36">
        <v>6555.0275609865876</v>
      </c>
    </row>
    <row r="210" spans="1:1021 1051:2041 2071:3061 3091:4081 4111:5101 5131:6121 6151:7141 7171:8191 8221:9211 9241:10231 10261:11251 11281:12271 12301:13291 13321:14311 14341:15331 15361:16381">
      <c r="A210" s="67" t="s">
        <v>22</v>
      </c>
      <c r="B210" s="36">
        <v>1330.7294796298522</v>
      </c>
      <c r="C210" s="36">
        <v>6634.4088428484501</v>
      </c>
      <c r="D210" s="36">
        <v>11653.226710627576</v>
      </c>
      <c r="E210" s="36">
        <v>16346.7835073365</v>
      </c>
      <c r="F210" s="36">
        <v>17514.089310384843</v>
      </c>
      <c r="G210" s="36">
        <v>18410.867349945456</v>
      </c>
      <c r="H210" s="36">
        <v>19124.24540750316</v>
      </c>
      <c r="I210" s="36">
        <v>19698.083160235656</v>
      </c>
      <c r="J210" s="36">
        <v>20154.466099664663</v>
      </c>
      <c r="K210" s="36">
        <v>19894.793952547261</v>
      </c>
      <c r="L210" s="36">
        <v>19557.077376799887</v>
      </c>
      <c r="M210" s="36">
        <v>19162.304166773352</v>
      </c>
      <c r="N210" s="36">
        <v>18721.061144265252</v>
      </c>
      <c r="O210" s="36">
        <v>18238.685163814229</v>
      </c>
      <c r="P210" s="36">
        <v>17199.686497369275</v>
      </c>
      <c r="Q210" s="36">
        <v>16146.763365114637</v>
      </c>
      <c r="R210" s="36">
        <v>15102.452209975087</v>
      </c>
      <c r="S210" s="36">
        <v>14078.081580191305</v>
      </c>
      <c r="T210" s="36">
        <v>13079.340266509933</v>
      </c>
      <c r="U210" s="36">
        <v>11866.195931550987</v>
      </c>
      <c r="V210" s="36">
        <v>10695.986720418776</v>
      </c>
      <c r="W210" s="36">
        <v>9586.6197224527259</v>
      </c>
      <c r="X210" s="36">
        <v>8547.0830348449945</v>
      </c>
      <c r="Y210" s="36">
        <v>7581.8828206384569</v>
      </c>
      <c r="Z210" s="36">
        <v>6452.1839973945143</v>
      </c>
      <c r="AA210" s="36">
        <v>5423.230454484913</v>
      </c>
      <c r="AB210" s="36">
        <v>4531.634102518663</v>
      </c>
      <c r="AC210" s="36">
        <v>3795.7436959088527</v>
      </c>
      <c r="AD210" s="36">
        <v>3224.7543295046726</v>
      </c>
    </row>
    <row r="211" spans="1:1021 1051:2041 2071:3061 3091:4081 4111:5101 5131:6121 6151:7141 7171:8191 8221:9211 9241:10231 10261:11251 11281:12271 12301:13291 13321:14311 14341:15331 15361:16381">
      <c r="A211" s="67" t="s">
        <v>24</v>
      </c>
      <c r="B211" s="36">
        <v>1330.7294796298522</v>
      </c>
      <c r="C211" s="36">
        <v>2155.6257512579259</v>
      </c>
      <c r="D211" s="36">
        <v>2904.5968243828111</v>
      </c>
      <c r="E211" s="36">
        <v>3590.6207559275163</v>
      </c>
      <c r="F211" s="36">
        <v>4032.0887048681298</v>
      </c>
      <c r="G211" s="36">
        <v>4424.1031281000069</v>
      </c>
      <c r="H211" s="36">
        <v>4773.9901357214067</v>
      </c>
      <c r="I211" s="36">
        <v>5085.4268828981621</v>
      </c>
      <c r="J211" s="36">
        <v>5360.2595890438843</v>
      </c>
      <c r="K211" s="36">
        <v>5131.0246102793699</v>
      </c>
      <c r="L211" s="36">
        <v>4879.8812899467293</v>
      </c>
      <c r="M211" s="36">
        <v>4623.6337585662477</v>
      </c>
      <c r="N211" s="36">
        <v>4370.6913310528053</v>
      </c>
      <c r="O211" s="36">
        <v>4125.2622775484651</v>
      </c>
      <c r="P211" s="36">
        <v>3902.599758417532</v>
      </c>
      <c r="Q211" s="36">
        <v>3690.1248534003871</v>
      </c>
      <c r="R211" s="36">
        <v>3487.737801854988</v>
      </c>
      <c r="S211" s="36">
        <v>3295.3886462180508</v>
      </c>
      <c r="T211" s="36">
        <v>3113.0523471891856</v>
      </c>
      <c r="U211" s="36">
        <v>2951.0149324024924</v>
      </c>
      <c r="V211" s="36">
        <v>2798.4350371397804</v>
      </c>
      <c r="W211" s="36">
        <v>2654.5527345614428</v>
      </c>
      <c r="X211" s="36">
        <v>2518.9876472513715</v>
      </c>
      <c r="Y211" s="36">
        <v>2391.5493636601332</v>
      </c>
      <c r="Z211" s="36">
        <v>2272.5969268980371</v>
      </c>
      <c r="AA211" s="36">
        <v>2161.5823284748922</v>
      </c>
      <c r="AB211" s="36">
        <v>2058.413974470739</v>
      </c>
      <c r="AC211" s="36">
        <v>1963.0460029256244</v>
      </c>
      <c r="AD211" s="36">
        <v>1875.4554449676132</v>
      </c>
    </row>
    <row r="212" spans="1:1021 1051:2041 2071:3061 3091:4081 4111:5101 5131:6121 6151:7141 7171:8191 8221:9211 9241:10231 10261:11251 11281:12271 12301:13291 13321:14311 14341:15331 15361:16381">
      <c r="A212" s="67" t="s">
        <v>25</v>
      </c>
      <c r="B212" s="36">
        <v>1330.7294796298522</v>
      </c>
      <c r="C212" s="36">
        <v>3503.2337340317408</v>
      </c>
      <c r="D212" s="36">
        <v>5542.8835018281006</v>
      </c>
      <c r="E212" s="36">
        <v>7444.7589140615837</v>
      </c>
      <c r="F212" s="36">
        <v>7919.2003946165951</v>
      </c>
      <c r="G212" s="36">
        <v>8281.2857066495726</v>
      </c>
      <c r="H212" s="36">
        <v>8567.8591208893413</v>
      </c>
      <c r="I212" s="36">
        <v>8797.4144063081858</v>
      </c>
      <c r="J212" s="36">
        <v>8979.2351929733177</v>
      </c>
      <c r="K212" s="36">
        <v>9998.8501332746982</v>
      </c>
      <c r="L212" s="36">
        <v>10951.188524680452</v>
      </c>
      <c r="M212" s="36">
        <v>11807.126055361718</v>
      </c>
      <c r="N212" s="36">
        <v>12552.050274729596</v>
      </c>
      <c r="O212" s="36">
        <v>13178.646825628273</v>
      </c>
      <c r="P212" s="36">
        <v>13390.624738418195</v>
      </c>
      <c r="Q212" s="36">
        <v>13490.187587847371</v>
      </c>
      <c r="R212" s="36">
        <v>13489.850491013452</v>
      </c>
      <c r="S212" s="36">
        <v>13395.934148854081</v>
      </c>
      <c r="T212" s="36">
        <v>13211.630917294211</v>
      </c>
      <c r="U212" s="36">
        <v>12797.350051609068</v>
      </c>
      <c r="V212" s="36">
        <v>12302.510513721636</v>
      </c>
      <c r="W212" s="36">
        <v>11737.591932051133</v>
      </c>
      <c r="X212" s="36">
        <v>11107.872169281338</v>
      </c>
      <c r="Y212" s="36">
        <v>10416.002685103229</v>
      </c>
      <c r="Z212" s="36">
        <v>9555.5620290717561</v>
      </c>
      <c r="AA212" s="36">
        <v>8645.3655525054346</v>
      </c>
      <c r="AB212" s="36">
        <v>7701.6528214397113</v>
      </c>
      <c r="AC212" s="36">
        <v>6732.5748015395275</v>
      </c>
      <c r="AD212" s="36">
        <v>5742.2097726582015</v>
      </c>
    </row>
    <row r="213" spans="1:1021 1051:2041 2071:3061 3091:4081 4111:5101 5131:6121 6151:7141 7171:8191 8221:9211 9241:10231 10261:11251 11281:12271 12301:13291 13321:14311 14341:15331 15361:16381">
      <c r="A213" s="69"/>
    </row>
    <row r="214" spans="1:1021 1051:2041 2071:3061 3091:4081 4111:5101 5131:6121 6151:7141 7171:8191 8221:9211 9241:10231 10261:11251 11281:12271 12301:13291 13321:14311 14341:15331 15361:16381" s="68" customFormat="1">
      <c r="A214" s="67" t="s">
        <v>41</v>
      </c>
      <c r="B214" s="68">
        <v>2022</v>
      </c>
      <c r="C214" s="68">
        <v>2023</v>
      </c>
      <c r="D214" s="68">
        <v>2024</v>
      </c>
      <c r="E214" s="68">
        <v>2025</v>
      </c>
      <c r="F214" s="68">
        <v>2026</v>
      </c>
      <c r="G214" s="68">
        <v>2027</v>
      </c>
      <c r="H214" s="68">
        <v>2028</v>
      </c>
      <c r="I214" s="68">
        <v>2029</v>
      </c>
      <c r="J214" s="68">
        <v>2030</v>
      </c>
      <c r="K214" s="68">
        <v>2031</v>
      </c>
      <c r="L214" s="68">
        <v>2032</v>
      </c>
      <c r="M214" s="68">
        <v>2033</v>
      </c>
      <c r="N214" s="68">
        <v>2034</v>
      </c>
      <c r="O214" s="68">
        <v>2035</v>
      </c>
      <c r="P214" s="68">
        <v>2036</v>
      </c>
      <c r="Q214" s="68">
        <v>2037</v>
      </c>
      <c r="R214" s="68">
        <v>2038</v>
      </c>
      <c r="S214" s="68">
        <v>2039</v>
      </c>
      <c r="T214" s="68">
        <v>2040</v>
      </c>
      <c r="U214" s="68">
        <v>2041</v>
      </c>
      <c r="V214" s="68">
        <v>2042</v>
      </c>
      <c r="W214" s="68">
        <v>2043</v>
      </c>
      <c r="X214" s="68">
        <v>2044</v>
      </c>
      <c r="Y214" s="68">
        <v>2045</v>
      </c>
      <c r="Z214" s="68">
        <v>2046</v>
      </c>
      <c r="AA214" s="68">
        <v>2047</v>
      </c>
      <c r="AB214" s="68">
        <v>2048</v>
      </c>
      <c r="AC214" s="68">
        <v>2049</v>
      </c>
      <c r="AD214" s="68">
        <v>2050</v>
      </c>
      <c r="AE214" s="67"/>
      <c r="BI214" s="67"/>
      <c r="CM214" s="67"/>
      <c r="DQ214" s="67"/>
      <c r="EU214" s="67"/>
      <c r="FY214" s="67"/>
      <c r="HC214" s="67"/>
      <c r="IG214" s="67"/>
      <c r="JK214" s="67"/>
      <c r="KO214" s="67"/>
      <c r="LS214" s="67"/>
      <c r="MW214" s="67"/>
      <c r="OA214" s="67"/>
      <c r="PE214" s="67"/>
      <c r="QI214" s="67"/>
      <c r="RM214" s="67"/>
      <c r="SQ214" s="67"/>
      <c r="TU214" s="67"/>
      <c r="UY214" s="67"/>
      <c r="WC214" s="67"/>
      <c r="XG214" s="67"/>
      <c r="YK214" s="67"/>
      <c r="ZO214" s="67"/>
      <c r="AAS214" s="67"/>
      <c r="ABW214" s="67"/>
      <c r="ADA214" s="67"/>
      <c r="AEE214" s="67"/>
      <c r="AFI214" s="67"/>
      <c r="AGM214" s="67"/>
      <c r="AHQ214" s="67"/>
      <c r="AIU214" s="67"/>
      <c r="AJY214" s="67"/>
      <c r="ALC214" s="67"/>
      <c r="AMG214" s="67"/>
      <c r="ANK214" s="67"/>
      <c r="AOO214" s="67"/>
      <c r="APS214" s="67"/>
      <c r="AQW214" s="67"/>
      <c r="ASA214" s="67"/>
      <c r="ATE214" s="67"/>
      <c r="AUI214" s="67"/>
      <c r="AVM214" s="67"/>
      <c r="AWQ214" s="67"/>
      <c r="AXU214" s="67"/>
      <c r="AYY214" s="67"/>
      <c r="BAC214" s="67"/>
      <c r="BBG214" s="67"/>
      <c r="BCK214" s="67"/>
      <c r="BDO214" s="67"/>
      <c r="BES214" s="67"/>
      <c r="BFW214" s="67"/>
      <c r="BHA214" s="67"/>
      <c r="BIE214" s="67"/>
      <c r="BJI214" s="67"/>
      <c r="BKM214" s="67"/>
      <c r="BLQ214" s="67"/>
      <c r="BMU214" s="67"/>
      <c r="BNY214" s="67"/>
      <c r="BPC214" s="67"/>
      <c r="BQG214" s="67"/>
      <c r="BRK214" s="67"/>
      <c r="BSO214" s="67"/>
      <c r="BTS214" s="67"/>
      <c r="BUW214" s="67"/>
      <c r="BWA214" s="67"/>
      <c r="BXE214" s="67"/>
      <c r="BYI214" s="67"/>
      <c r="BZM214" s="67"/>
      <c r="CAQ214" s="67"/>
      <c r="CBU214" s="67"/>
      <c r="CCY214" s="67"/>
      <c r="CEC214" s="67"/>
      <c r="CFG214" s="67"/>
      <c r="CGK214" s="67"/>
      <c r="CHO214" s="67"/>
      <c r="CIS214" s="67"/>
      <c r="CJW214" s="67"/>
      <c r="CLA214" s="67"/>
      <c r="CME214" s="67"/>
      <c r="CNI214" s="67"/>
      <c r="COM214" s="67"/>
      <c r="CPQ214" s="67"/>
      <c r="CQU214" s="67"/>
      <c r="CRY214" s="67"/>
      <c r="CTC214" s="67"/>
      <c r="CUG214" s="67"/>
      <c r="CVK214" s="67"/>
      <c r="CWO214" s="67"/>
      <c r="CXS214" s="67"/>
      <c r="CYW214" s="67"/>
      <c r="DAA214" s="67"/>
      <c r="DBE214" s="67"/>
      <c r="DCI214" s="67"/>
      <c r="DDM214" s="67"/>
      <c r="DEQ214" s="67"/>
      <c r="DFU214" s="67"/>
      <c r="DGY214" s="67"/>
      <c r="DIC214" s="67"/>
      <c r="DJG214" s="67"/>
      <c r="DKK214" s="67"/>
      <c r="DLO214" s="67"/>
      <c r="DMS214" s="67"/>
      <c r="DNW214" s="67"/>
      <c r="DPA214" s="67"/>
      <c r="DQE214" s="67"/>
      <c r="DRI214" s="67"/>
      <c r="DSM214" s="67"/>
      <c r="DTQ214" s="67"/>
      <c r="DUU214" s="67"/>
      <c r="DVY214" s="67"/>
      <c r="DXC214" s="67"/>
      <c r="DYG214" s="67"/>
      <c r="DZK214" s="67"/>
      <c r="EAO214" s="67"/>
      <c r="EBS214" s="67"/>
      <c r="ECW214" s="67"/>
      <c r="EEA214" s="67"/>
      <c r="EFE214" s="67"/>
      <c r="EGI214" s="67"/>
      <c r="EHM214" s="67"/>
      <c r="EIQ214" s="67"/>
      <c r="EJU214" s="67"/>
      <c r="EKY214" s="67"/>
      <c r="EMC214" s="67"/>
      <c r="ENG214" s="67"/>
      <c r="EOK214" s="67"/>
      <c r="EPO214" s="67"/>
      <c r="EQS214" s="67"/>
      <c r="ERW214" s="67"/>
      <c r="ETA214" s="67"/>
      <c r="EUE214" s="67"/>
      <c r="EVI214" s="67"/>
      <c r="EWM214" s="67"/>
      <c r="EXQ214" s="67"/>
      <c r="EYU214" s="67"/>
      <c r="EZY214" s="67"/>
      <c r="FBC214" s="67"/>
      <c r="FCG214" s="67"/>
      <c r="FDK214" s="67"/>
      <c r="FEO214" s="67"/>
      <c r="FFS214" s="67"/>
      <c r="FGW214" s="67"/>
      <c r="FIA214" s="67"/>
      <c r="FJE214" s="67"/>
      <c r="FKI214" s="67"/>
      <c r="FLM214" s="67"/>
      <c r="FMQ214" s="67"/>
      <c r="FNU214" s="67"/>
      <c r="FOY214" s="67"/>
      <c r="FQC214" s="67"/>
      <c r="FRG214" s="67"/>
      <c r="FSK214" s="67"/>
      <c r="FTO214" s="67"/>
      <c r="FUS214" s="67"/>
      <c r="FVW214" s="67"/>
      <c r="FXA214" s="67"/>
      <c r="FYE214" s="67"/>
      <c r="FZI214" s="67"/>
      <c r="GAM214" s="67"/>
      <c r="GBQ214" s="67"/>
      <c r="GCU214" s="67"/>
      <c r="GDY214" s="67"/>
      <c r="GFC214" s="67"/>
      <c r="GGG214" s="67"/>
      <c r="GHK214" s="67"/>
      <c r="GIO214" s="67"/>
      <c r="GJS214" s="67"/>
      <c r="GKW214" s="67"/>
      <c r="GMA214" s="67"/>
      <c r="GNE214" s="67"/>
      <c r="GOI214" s="67"/>
      <c r="GPM214" s="67"/>
      <c r="GQQ214" s="67"/>
      <c r="GRU214" s="67"/>
      <c r="GSY214" s="67"/>
      <c r="GUC214" s="67"/>
      <c r="GVG214" s="67"/>
      <c r="GWK214" s="67"/>
      <c r="GXO214" s="67"/>
      <c r="GYS214" s="67"/>
      <c r="GZW214" s="67"/>
      <c r="HBA214" s="67"/>
      <c r="HCE214" s="67"/>
      <c r="HDI214" s="67"/>
      <c r="HEM214" s="67"/>
      <c r="HFQ214" s="67"/>
      <c r="HGU214" s="67"/>
      <c r="HHY214" s="67"/>
      <c r="HJC214" s="67"/>
      <c r="HKG214" s="67"/>
      <c r="HLK214" s="67"/>
      <c r="HMO214" s="67"/>
      <c r="HNS214" s="67"/>
      <c r="HOW214" s="67"/>
      <c r="HQA214" s="67"/>
      <c r="HRE214" s="67"/>
      <c r="HSI214" s="67"/>
      <c r="HTM214" s="67"/>
      <c r="HUQ214" s="67"/>
      <c r="HVU214" s="67"/>
      <c r="HWY214" s="67"/>
      <c r="HYC214" s="67"/>
      <c r="HZG214" s="67"/>
      <c r="IAK214" s="67"/>
      <c r="IBO214" s="67"/>
      <c r="ICS214" s="67"/>
      <c r="IDW214" s="67"/>
      <c r="IFA214" s="67"/>
      <c r="IGE214" s="67"/>
      <c r="IHI214" s="67"/>
      <c r="IIM214" s="67"/>
      <c r="IJQ214" s="67"/>
      <c r="IKU214" s="67"/>
      <c r="ILY214" s="67"/>
      <c r="INC214" s="67"/>
      <c r="IOG214" s="67"/>
      <c r="IPK214" s="67"/>
      <c r="IQO214" s="67"/>
      <c r="IRS214" s="67"/>
      <c r="ISW214" s="67"/>
      <c r="IUA214" s="67"/>
      <c r="IVE214" s="67"/>
      <c r="IWI214" s="67"/>
      <c r="IXM214" s="67"/>
      <c r="IYQ214" s="67"/>
      <c r="IZU214" s="67"/>
      <c r="JAY214" s="67"/>
      <c r="JCC214" s="67"/>
      <c r="JDG214" s="67"/>
      <c r="JEK214" s="67"/>
      <c r="JFO214" s="67"/>
      <c r="JGS214" s="67"/>
      <c r="JHW214" s="67"/>
      <c r="JJA214" s="67"/>
      <c r="JKE214" s="67"/>
      <c r="JLI214" s="67"/>
      <c r="JMM214" s="67"/>
      <c r="JNQ214" s="67"/>
      <c r="JOU214" s="67"/>
      <c r="JPY214" s="67"/>
      <c r="JRC214" s="67"/>
      <c r="JSG214" s="67"/>
      <c r="JTK214" s="67"/>
      <c r="JUO214" s="67"/>
      <c r="JVS214" s="67"/>
      <c r="JWW214" s="67"/>
      <c r="JYA214" s="67"/>
      <c r="JZE214" s="67"/>
      <c r="KAI214" s="67"/>
      <c r="KBM214" s="67"/>
      <c r="KCQ214" s="67"/>
      <c r="KDU214" s="67"/>
      <c r="KEY214" s="67"/>
      <c r="KGC214" s="67"/>
      <c r="KHG214" s="67"/>
      <c r="KIK214" s="67"/>
      <c r="KJO214" s="67"/>
      <c r="KKS214" s="67"/>
      <c r="KLW214" s="67"/>
      <c r="KNA214" s="67"/>
      <c r="KOE214" s="67"/>
      <c r="KPI214" s="67"/>
      <c r="KQM214" s="67"/>
      <c r="KRQ214" s="67"/>
      <c r="KSU214" s="67"/>
      <c r="KTY214" s="67"/>
      <c r="KVC214" s="67"/>
      <c r="KWG214" s="67"/>
      <c r="KXK214" s="67"/>
      <c r="KYO214" s="67"/>
      <c r="KZS214" s="67"/>
      <c r="LAW214" s="67"/>
      <c r="LCA214" s="67"/>
      <c r="LDE214" s="67"/>
      <c r="LEI214" s="67"/>
      <c r="LFM214" s="67"/>
      <c r="LGQ214" s="67"/>
      <c r="LHU214" s="67"/>
      <c r="LIY214" s="67"/>
      <c r="LKC214" s="67"/>
      <c r="LLG214" s="67"/>
      <c r="LMK214" s="67"/>
      <c r="LNO214" s="67"/>
      <c r="LOS214" s="67"/>
      <c r="LPW214" s="67"/>
      <c r="LRA214" s="67"/>
      <c r="LSE214" s="67"/>
      <c r="LTI214" s="67"/>
      <c r="LUM214" s="67"/>
      <c r="LVQ214" s="67"/>
      <c r="LWU214" s="67"/>
      <c r="LXY214" s="67"/>
      <c r="LZC214" s="67"/>
      <c r="MAG214" s="67"/>
      <c r="MBK214" s="67"/>
      <c r="MCO214" s="67"/>
      <c r="MDS214" s="67"/>
      <c r="MEW214" s="67"/>
      <c r="MGA214" s="67"/>
      <c r="MHE214" s="67"/>
      <c r="MII214" s="67"/>
      <c r="MJM214" s="67"/>
      <c r="MKQ214" s="67"/>
      <c r="MLU214" s="67"/>
      <c r="MMY214" s="67"/>
      <c r="MOC214" s="67"/>
      <c r="MPG214" s="67"/>
      <c r="MQK214" s="67"/>
      <c r="MRO214" s="67"/>
      <c r="MSS214" s="67"/>
      <c r="MTW214" s="67"/>
      <c r="MVA214" s="67"/>
      <c r="MWE214" s="67"/>
      <c r="MXI214" s="67"/>
      <c r="MYM214" s="67"/>
      <c r="MZQ214" s="67"/>
      <c r="NAU214" s="67"/>
      <c r="NBY214" s="67"/>
      <c r="NDC214" s="67"/>
      <c r="NEG214" s="67"/>
      <c r="NFK214" s="67"/>
      <c r="NGO214" s="67"/>
      <c r="NHS214" s="67"/>
      <c r="NIW214" s="67"/>
      <c r="NKA214" s="67"/>
      <c r="NLE214" s="67"/>
      <c r="NMI214" s="67"/>
      <c r="NNM214" s="67"/>
      <c r="NOQ214" s="67"/>
      <c r="NPU214" s="67"/>
      <c r="NQY214" s="67"/>
      <c r="NSC214" s="67"/>
      <c r="NTG214" s="67"/>
      <c r="NUK214" s="67"/>
      <c r="NVO214" s="67"/>
      <c r="NWS214" s="67"/>
      <c r="NXW214" s="67"/>
      <c r="NZA214" s="67"/>
      <c r="OAE214" s="67"/>
      <c r="OBI214" s="67"/>
      <c r="OCM214" s="67"/>
      <c r="ODQ214" s="67"/>
      <c r="OEU214" s="67"/>
      <c r="OFY214" s="67"/>
      <c r="OHC214" s="67"/>
      <c r="OIG214" s="67"/>
      <c r="OJK214" s="67"/>
      <c r="OKO214" s="67"/>
      <c r="OLS214" s="67"/>
      <c r="OMW214" s="67"/>
      <c r="OOA214" s="67"/>
      <c r="OPE214" s="67"/>
      <c r="OQI214" s="67"/>
      <c r="ORM214" s="67"/>
      <c r="OSQ214" s="67"/>
      <c r="OTU214" s="67"/>
      <c r="OUY214" s="67"/>
      <c r="OWC214" s="67"/>
      <c r="OXG214" s="67"/>
      <c r="OYK214" s="67"/>
      <c r="OZO214" s="67"/>
      <c r="PAS214" s="67"/>
      <c r="PBW214" s="67"/>
      <c r="PDA214" s="67"/>
      <c r="PEE214" s="67"/>
      <c r="PFI214" s="67"/>
      <c r="PGM214" s="67"/>
      <c r="PHQ214" s="67"/>
      <c r="PIU214" s="67"/>
      <c r="PJY214" s="67"/>
      <c r="PLC214" s="67"/>
      <c r="PMG214" s="67"/>
      <c r="PNK214" s="67"/>
      <c r="POO214" s="67"/>
      <c r="PPS214" s="67"/>
      <c r="PQW214" s="67"/>
      <c r="PSA214" s="67"/>
      <c r="PTE214" s="67"/>
      <c r="PUI214" s="67"/>
      <c r="PVM214" s="67"/>
      <c r="PWQ214" s="67"/>
      <c r="PXU214" s="67"/>
      <c r="PYY214" s="67"/>
      <c r="QAC214" s="67"/>
      <c r="QBG214" s="67"/>
      <c r="QCK214" s="67"/>
      <c r="QDO214" s="67"/>
      <c r="QES214" s="67"/>
      <c r="QFW214" s="67"/>
      <c r="QHA214" s="67"/>
      <c r="QIE214" s="67"/>
      <c r="QJI214" s="67"/>
      <c r="QKM214" s="67"/>
      <c r="QLQ214" s="67"/>
      <c r="QMU214" s="67"/>
      <c r="QNY214" s="67"/>
      <c r="QPC214" s="67"/>
      <c r="QQG214" s="67"/>
      <c r="QRK214" s="67"/>
      <c r="QSO214" s="67"/>
      <c r="QTS214" s="67"/>
      <c r="QUW214" s="67"/>
      <c r="QWA214" s="67"/>
      <c r="QXE214" s="67"/>
      <c r="QYI214" s="67"/>
      <c r="QZM214" s="67"/>
      <c r="RAQ214" s="67"/>
      <c r="RBU214" s="67"/>
      <c r="RCY214" s="67"/>
      <c r="REC214" s="67"/>
      <c r="RFG214" s="67"/>
      <c r="RGK214" s="67"/>
      <c r="RHO214" s="67"/>
      <c r="RIS214" s="67"/>
      <c r="RJW214" s="67"/>
      <c r="RLA214" s="67"/>
      <c r="RME214" s="67"/>
      <c r="RNI214" s="67"/>
      <c r="ROM214" s="67"/>
      <c r="RPQ214" s="67"/>
      <c r="RQU214" s="67"/>
      <c r="RRY214" s="67"/>
      <c r="RTC214" s="67"/>
      <c r="RUG214" s="67"/>
      <c r="RVK214" s="67"/>
      <c r="RWO214" s="67"/>
      <c r="RXS214" s="67"/>
      <c r="RYW214" s="67"/>
      <c r="SAA214" s="67"/>
      <c r="SBE214" s="67"/>
      <c r="SCI214" s="67"/>
      <c r="SDM214" s="67"/>
      <c r="SEQ214" s="67"/>
      <c r="SFU214" s="67"/>
      <c r="SGY214" s="67"/>
      <c r="SIC214" s="67"/>
      <c r="SJG214" s="67"/>
      <c r="SKK214" s="67"/>
      <c r="SLO214" s="67"/>
      <c r="SMS214" s="67"/>
      <c r="SNW214" s="67"/>
      <c r="SPA214" s="67"/>
      <c r="SQE214" s="67"/>
      <c r="SRI214" s="67"/>
      <c r="SSM214" s="67"/>
      <c r="STQ214" s="67"/>
      <c r="SUU214" s="67"/>
      <c r="SVY214" s="67"/>
      <c r="SXC214" s="67"/>
      <c r="SYG214" s="67"/>
      <c r="SZK214" s="67"/>
      <c r="TAO214" s="67"/>
      <c r="TBS214" s="67"/>
      <c r="TCW214" s="67"/>
      <c r="TEA214" s="67"/>
      <c r="TFE214" s="67"/>
      <c r="TGI214" s="67"/>
      <c r="THM214" s="67"/>
      <c r="TIQ214" s="67"/>
      <c r="TJU214" s="67"/>
      <c r="TKY214" s="67"/>
      <c r="TMC214" s="67"/>
      <c r="TNG214" s="67"/>
      <c r="TOK214" s="67"/>
      <c r="TPO214" s="67"/>
      <c r="TQS214" s="67"/>
      <c r="TRW214" s="67"/>
      <c r="TTA214" s="67"/>
      <c r="TUE214" s="67"/>
      <c r="TVI214" s="67"/>
      <c r="TWM214" s="67"/>
      <c r="TXQ214" s="67"/>
      <c r="TYU214" s="67"/>
      <c r="TZY214" s="67"/>
      <c r="UBC214" s="67"/>
      <c r="UCG214" s="67"/>
      <c r="UDK214" s="67"/>
      <c r="UEO214" s="67"/>
      <c r="UFS214" s="67"/>
      <c r="UGW214" s="67"/>
      <c r="UIA214" s="67"/>
      <c r="UJE214" s="67"/>
      <c r="UKI214" s="67"/>
      <c r="ULM214" s="67"/>
      <c r="UMQ214" s="67"/>
      <c r="UNU214" s="67"/>
      <c r="UOY214" s="67"/>
      <c r="UQC214" s="67"/>
      <c r="URG214" s="67"/>
      <c r="USK214" s="67"/>
      <c r="UTO214" s="67"/>
      <c r="UUS214" s="67"/>
      <c r="UVW214" s="67"/>
      <c r="UXA214" s="67"/>
      <c r="UYE214" s="67"/>
      <c r="UZI214" s="67"/>
      <c r="VAM214" s="67"/>
      <c r="VBQ214" s="67"/>
      <c r="VCU214" s="67"/>
      <c r="VDY214" s="67"/>
      <c r="VFC214" s="67"/>
      <c r="VGG214" s="67"/>
      <c r="VHK214" s="67"/>
      <c r="VIO214" s="67"/>
      <c r="VJS214" s="67"/>
      <c r="VKW214" s="67"/>
      <c r="VMA214" s="67"/>
      <c r="VNE214" s="67"/>
      <c r="VOI214" s="67"/>
      <c r="VPM214" s="67"/>
      <c r="VQQ214" s="67"/>
      <c r="VRU214" s="67"/>
      <c r="VSY214" s="67"/>
      <c r="VUC214" s="67"/>
      <c r="VVG214" s="67"/>
      <c r="VWK214" s="67"/>
      <c r="VXO214" s="67"/>
      <c r="VYS214" s="67"/>
      <c r="VZW214" s="67"/>
      <c r="WBA214" s="67"/>
      <c r="WCE214" s="67"/>
      <c r="WDI214" s="67"/>
      <c r="WEM214" s="67"/>
      <c r="WFQ214" s="67"/>
      <c r="WGU214" s="67"/>
      <c r="WHY214" s="67"/>
      <c r="WJC214" s="67"/>
      <c r="WKG214" s="67"/>
      <c r="WLK214" s="67"/>
      <c r="WMO214" s="67"/>
      <c r="WNS214" s="67"/>
      <c r="WOW214" s="67"/>
      <c r="WQA214" s="67"/>
      <c r="WRE214" s="67"/>
      <c r="WSI214" s="67"/>
      <c r="WTM214" s="67"/>
      <c r="WUQ214" s="67"/>
      <c r="WVU214" s="67"/>
      <c r="WWY214" s="67"/>
      <c r="WYC214" s="67"/>
      <c r="WZG214" s="67"/>
      <c r="XAK214" s="67"/>
      <c r="XBO214" s="67"/>
      <c r="XCS214" s="67"/>
      <c r="XDW214" s="67"/>
      <c r="XFA214" s="67"/>
    </row>
    <row r="215" spans="1:1021 1051:2041 2071:3061 3091:4081 4111:5101 5131:6121 6151:7141 7171:8191 8221:9211 9241:10231 10261:11251 11281:12271 12301:13291 13321:14311 14341:15331 15361:16381">
      <c r="A215" s="67" t="s">
        <v>12</v>
      </c>
      <c r="B215" s="36">
        <v>829.46761206585757</v>
      </c>
      <c r="C215" s="36">
        <v>829.46761206585757</v>
      </c>
      <c r="D215" s="36">
        <v>825.74047465221247</v>
      </c>
      <c r="E215" s="36">
        <v>822.42202759742781</v>
      </c>
      <c r="F215" s="36">
        <v>819.43781629482351</v>
      </c>
      <c r="G215" s="36">
        <v>818.16962212015449</v>
      </c>
      <c r="H215" s="36">
        <v>817.12405960756564</v>
      </c>
      <c r="I215" s="36">
        <v>816.23101808804745</v>
      </c>
      <c r="J215" s="36">
        <v>815.46252006008251</v>
      </c>
      <c r="K215" s="36">
        <v>814.80463035827859</v>
      </c>
      <c r="L215" s="36">
        <v>814.78952794461293</v>
      </c>
      <c r="M215" s="36">
        <v>814.86721703560613</v>
      </c>
      <c r="N215" s="36">
        <v>815.00986145969</v>
      </c>
      <c r="O215" s="36">
        <v>815.20612831800486</v>
      </c>
      <c r="P215" s="36">
        <v>815.45037064856501</v>
      </c>
      <c r="Q215" s="36">
        <v>816.25096726300012</v>
      </c>
      <c r="R215" s="36">
        <v>817.08415145802132</v>
      </c>
      <c r="S215" s="36">
        <v>817.91805319651178</v>
      </c>
      <c r="T215" s="36">
        <v>818.73914587613774</v>
      </c>
      <c r="U215" s="36">
        <v>819.54068599297636</v>
      </c>
      <c r="V215" s="36">
        <v>820.72650148492812</v>
      </c>
      <c r="W215" s="36">
        <v>821.87305883822</v>
      </c>
      <c r="X215" s="36">
        <v>822.94395803296845</v>
      </c>
      <c r="Y215" s="36">
        <v>823.92283592558624</v>
      </c>
      <c r="Z215" s="36">
        <v>824.80152664594561</v>
      </c>
      <c r="AA215" s="36">
        <v>825.80548079720711</v>
      </c>
      <c r="AB215" s="36">
        <v>826.68490225330879</v>
      </c>
      <c r="AC215" s="36">
        <v>827.40065272909794</v>
      </c>
      <c r="AD215" s="36">
        <v>827.93406026359446</v>
      </c>
    </row>
    <row r="216" spans="1:1021 1051:2041 2071:3061 3091:4081 4111:5101 5131:6121 6151:7141 7171:8191 8221:9211 9241:10231 10261:11251 11281:12271 12301:13291 13321:14311 14341:15331 15361:16381">
      <c r="A216" s="67" t="s">
        <v>15</v>
      </c>
      <c r="B216" s="36">
        <v>829.46761206585757</v>
      </c>
      <c r="C216" s="36">
        <v>829.46761206585757</v>
      </c>
      <c r="D216" s="36">
        <v>830.14042137678007</v>
      </c>
      <c r="E216" s="36">
        <v>831.05226025814181</v>
      </c>
      <c r="F216" s="36">
        <v>832.04041569323351</v>
      </c>
      <c r="G216" s="36">
        <v>832.18054729353628</v>
      </c>
      <c r="H216" s="36">
        <v>832.28388049235673</v>
      </c>
      <c r="I216" s="36">
        <v>832.36455009301244</v>
      </c>
      <c r="J216" s="36">
        <v>832.42550493995793</v>
      </c>
      <c r="K216" s="36">
        <v>832.46817631796682</v>
      </c>
      <c r="L216" s="36">
        <v>832.4661011501878</v>
      </c>
      <c r="M216" s="36">
        <v>832.44720756585377</v>
      </c>
      <c r="N216" s="36">
        <v>832.41298584708636</v>
      </c>
      <c r="O216" s="36">
        <v>832.36404998864646</v>
      </c>
      <c r="P216" s="36">
        <v>832.30070565789447</v>
      </c>
      <c r="Q216" s="36">
        <v>832.20709973352336</v>
      </c>
      <c r="R216" s="36">
        <v>832.09968641963542</v>
      </c>
      <c r="S216" s="36">
        <v>831.97947433266495</v>
      </c>
      <c r="T216" s="36">
        <v>831.84689190458516</v>
      </c>
      <c r="U216" s="36">
        <v>831.70215259101178</v>
      </c>
      <c r="V216" s="36">
        <v>831.5339809360654</v>
      </c>
      <c r="W216" s="36">
        <v>831.35427399614628</v>
      </c>
      <c r="X216" s="36">
        <v>831.16403165063991</v>
      </c>
      <c r="Y216" s="36">
        <v>830.96370185092951</v>
      </c>
      <c r="Z216" s="36">
        <v>830.75350806629206</v>
      </c>
      <c r="AA216" s="36">
        <v>830.53285180740397</v>
      </c>
      <c r="AB216" s="36">
        <v>830.30258233693223</v>
      </c>
      <c r="AC216" s="36">
        <v>830.06283277480884</v>
      </c>
      <c r="AD216" s="36">
        <v>829.81366662697053</v>
      </c>
    </row>
    <row r="217" spans="1:1021 1051:2041 2071:3061 3091:4081 4111:5101 5131:6121 6151:7141 7171:8191 8221:9211 9241:10231 10261:11251 11281:12271 12301:13291 13321:14311 14341:15331 15361:16381">
      <c r="A217" s="67" t="s">
        <v>19</v>
      </c>
      <c r="B217" s="36">
        <v>829.46761206585757</v>
      </c>
      <c r="C217" s="36">
        <v>829.46761206585757</v>
      </c>
      <c r="D217" s="36">
        <v>830.14042137678007</v>
      </c>
      <c r="E217" s="36">
        <v>831.05226025814181</v>
      </c>
      <c r="F217" s="36">
        <v>832.04041569323351</v>
      </c>
      <c r="G217" s="36">
        <v>832.18054729353628</v>
      </c>
      <c r="H217" s="36">
        <v>832.28388049235673</v>
      </c>
      <c r="I217" s="36">
        <v>832.36455009301244</v>
      </c>
      <c r="J217" s="36">
        <v>832.42550493995793</v>
      </c>
      <c r="K217" s="36">
        <v>832.46817631796682</v>
      </c>
      <c r="L217" s="36">
        <v>814.80271585706123</v>
      </c>
      <c r="M217" s="36">
        <v>797.27177486013284</v>
      </c>
      <c r="N217" s="36">
        <v>780.78978761514225</v>
      </c>
      <c r="O217" s="36">
        <v>765.73353000266627</v>
      </c>
      <c r="P217" s="36">
        <v>752.29081883745289</v>
      </c>
      <c r="Q217" s="36">
        <v>747.20385419044396</v>
      </c>
      <c r="R217" s="36">
        <v>743.67411159539904</v>
      </c>
      <c r="S217" s="36">
        <v>741.34410068985062</v>
      </c>
      <c r="T217" s="36">
        <v>740.06621727377672</v>
      </c>
      <c r="U217" s="36">
        <v>739.76653145468015</v>
      </c>
      <c r="V217" s="36">
        <v>741.15621579140736</v>
      </c>
      <c r="W217" s="36">
        <v>743.43706272217571</v>
      </c>
      <c r="X217" s="36">
        <v>746.53795141151716</v>
      </c>
      <c r="Y217" s="36">
        <v>750.42653294295428</v>
      </c>
      <c r="Z217" s="36">
        <v>755.08659871114514</v>
      </c>
      <c r="AA217" s="36">
        <v>760.92446212642665</v>
      </c>
      <c r="AB217" s="36">
        <v>767.48499804383141</v>
      </c>
      <c r="AC217" s="36">
        <v>774.70109943419618</v>
      </c>
      <c r="AD217" s="36">
        <v>782.54090200250266</v>
      </c>
    </row>
    <row r="218" spans="1:1021 1051:2041 2071:3061 3091:4081 4111:5101 5131:6121 6151:7141 7171:8191 8221:9211 9241:10231 10261:11251 11281:12271 12301:13291 13321:14311 14341:15331 15361:16381">
      <c r="A218" s="67" t="s">
        <v>22</v>
      </c>
      <c r="B218" s="36">
        <v>829.46761206585757</v>
      </c>
      <c r="C218" s="36">
        <v>829.46761206585757</v>
      </c>
      <c r="D218" s="36">
        <v>790.90521782732901</v>
      </c>
      <c r="E218" s="36">
        <v>754.00828074156959</v>
      </c>
      <c r="F218" s="36">
        <v>719.4937996835381</v>
      </c>
      <c r="G218" s="36">
        <v>710.64331892756695</v>
      </c>
      <c r="H218" s="36">
        <v>704.02983652457078</v>
      </c>
      <c r="I218" s="36">
        <v>698.77336926998805</v>
      </c>
      <c r="J218" s="36">
        <v>694.54576012554901</v>
      </c>
      <c r="K218" s="36">
        <v>691.18297550977263</v>
      </c>
      <c r="L218" s="36">
        <v>693.03563781336595</v>
      </c>
      <c r="M218" s="36">
        <v>695.51062595409849</v>
      </c>
      <c r="N218" s="36">
        <v>698.40701361996628</v>
      </c>
      <c r="O218" s="36">
        <v>701.64571129158037</v>
      </c>
      <c r="P218" s="36">
        <v>705.18708321930876</v>
      </c>
      <c r="Q218" s="36">
        <v>712.7787741929244</v>
      </c>
      <c r="R218" s="36">
        <v>720.51432378525749</v>
      </c>
      <c r="S218" s="36">
        <v>728.18877037398022</v>
      </c>
      <c r="T218" s="36">
        <v>735.71758898117344</v>
      </c>
      <c r="U218" s="36">
        <v>743.05852778338351</v>
      </c>
      <c r="V218" s="36">
        <v>751.95638755365178</v>
      </c>
      <c r="W218" s="36">
        <v>760.55845256050213</v>
      </c>
      <c r="X218" s="36">
        <v>768.71502917481689</v>
      </c>
      <c r="Y218" s="36">
        <v>776.35919105159246</v>
      </c>
      <c r="Z218" s="36">
        <v>783.45747027115215</v>
      </c>
      <c r="AA218" s="36">
        <v>791.74605493460263</v>
      </c>
      <c r="AB218" s="36">
        <v>799.31465700684453</v>
      </c>
      <c r="AC218" s="36">
        <v>805.87697667660677</v>
      </c>
      <c r="AD218" s="36">
        <v>811.29659011613921</v>
      </c>
    </row>
    <row r="219" spans="1:1021 1051:2041 2071:3061 3091:4081 4111:5101 5131:6121 6151:7141 7171:8191 8221:9211 9241:10231 10261:11251 11281:12271 12301:13291 13321:14311 14341:15331 15361:16381">
      <c r="A219" s="67" t="s">
        <v>24</v>
      </c>
      <c r="B219" s="36">
        <v>829.46761206585757</v>
      </c>
      <c r="C219" s="36">
        <v>829.46761206585757</v>
      </c>
      <c r="D219" s="36">
        <v>823.46989367944479</v>
      </c>
      <c r="E219" s="36">
        <v>817.96111280731691</v>
      </c>
      <c r="F219" s="36">
        <v>812.91515715830644</v>
      </c>
      <c r="G219" s="36">
        <v>809.65220732886769</v>
      </c>
      <c r="H219" s="36">
        <v>806.76758789615553</v>
      </c>
      <c r="I219" s="36">
        <v>804.19325228745572</v>
      </c>
      <c r="J219" s="36">
        <v>801.90174840994064</v>
      </c>
      <c r="K219" s="36">
        <v>799.87936379340897</v>
      </c>
      <c r="L219" s="36">
        <v>801.5248242842747</v>
      </c>
      <c r="M219" s="36">
        <v>803.36816895205141</v>
      </c>
      <c r="N219" s="36">
        <v>805.25070774916219</v>
      </c>
      <c r="O219" s="36">
        <v>807.10962792859675</v>
      </c>
      <c r="P219" s="36">
        <v>808.91367079432689</v>
      </c>
      <c r="Q219" s="36">
        <v>810.55160362157585</v>
      </c>
      <c r="R219" s="36">
        <v>812.11371583943867</v>
      </c>
      <c r="S219" s="36">
        <v>813.60168277816467</v>
      </c>
      <c r="T219" s="36">
        <v>815.01588530003357</v>
      </c>
      <c r="U219" s="36">
        <v>816.35650946994406</v>
      </c>
      <c r="V219" s="36">
        <v>817.54876881558823</v>
      </c>
      <c r="W219" s="36">
        <v>818.67070268579039</v>
      </c>
      <c r="X219" s="36">
        <v>819.72865750767119</v>
      </c>
      <c r="Y219" s="36">
        <v>820.72546573233058</v>
      </c>
      <c r="Z219" s="36">
        <v>821.66254162022733</v>
      </c>
      <c r="AA219" s="36">
        <v>822.53728949366439</v>
      </c>
      <c r="AB219" s="36">
        <v>823.35366654383949</v>
      </c>
      <c r="AC219" s="36">
        <v>824.11238037448334</v>
      </c>
      <c r="AD219" s="36">
        <v>824.81377188728754</v>
      </c>
    </row>
    <row r="220" spans="1:1021 1051:2041 2071:3061 3091:4081 4111:5101 5131:6121 6151:7141 7171:8191 8221:9211 9241:10231 10261:11251 11281:12271 12301:13291 13321:14311 14341:15331 15361:16381">
      <c r="A220" s="67" t="s">
        <v>25</v>
      </c>
      <c r="B220" s="36">
        <v>829.46761206585757</v>
      </c>
      <c r="C220" s="36">
        <v>829.46761206585757</v>
      </c>
      <c r="D220" s="36">
        <v>813.67160333197273</v>
      </c>
      <c r="E220" s="36">
        <v>798.67536488553424</v>
      </c>
      <c r="F220" s="36">
        <v>784.68928148243651</v>
      </c>
      <c r="G220" s="36">
        <v>781.09252136887403</v>
      </c>
      <c r="H220" s="36">
        <v>778.42200059304491</v>
      </c>
      <c r="I220" s="36">
        <v>776.31026290752641</v>
      </c>
      <c r="J220" s="36">
        <v>774.61897621177127</v>
      </c>
      <c r="K220" s="36">
        <v>773.27918491860169</v>
      </c>
      <c r="L220" s="36">
        <v>765.85159460980242</v>
      </c>
      <c r="M220" s="36">
        <v>758.84911077154413</v>
      </c>
      <c r="N220" s="36">
        <v>752.55201839498659</v>
      </c>
      <c r="O220" s="36">
        <v>747.06951182149351</v>
      </c>
      <c r="P220" s="36">
        <v>742.4559217255445</v>
      </c>
      <c r="Q220" s="36">
        <v>740.86611460698236</v>
      </c>
      <c r="R220" s="36">
        <v>740.12547828425147</v>
      </c>
      <c r="S220" s="36">
        <v>740.12013664563085</v>
      </c>
      <c r="T220" s="36">
        <v>740.80293450825729</v>
      </c>
      <c r="U220" s="36">
        <v>742.15016450380028</v>
      </c>
      <c r="V220" s="36">
        <v>745.17652417021986</v>
      </c>
      <c r="W220" s="36">
        <v>748.8062829559592</v>
      </c>
      <c r="X220" s="36">
        <v>752.95192645166026</v>
      </c>
      <c r="Y220" s="36">
        <v>757.57415918740537</v>
      </c>
      <c r="Z220" s="36">
        <v>762.65328928044482</v>
      </c>
      <c r="AA220" s="36">
        <v>768.96288669680098</v>
      </c>
      <c r="AB220" s="36">
        <v>775.64719890725178</v>
      </c>
      <c r="AC220" s="36">
        <v>782.57914621661234</v>
      </c>
      <c r="AD220" s="36">
        <v>789.69812689249136</v>
      </c>
    </row>
    <row r="221" spans="1:1021 1051:2041 2071:3061 3091:4081 4111:5101 5131:6121 6151:7141 7171:8191 8221:9211 9241:10231 10261:11251 11281:12271 12301:13291 13321:14311 14341:15331 15361:16381">
      <c r="A221" s="69"/>
    </row>
    <row r="222" spans="1:1021 1051:2041 2071:3061 3091:4081 4111:5101 5131:6121 6151:7141 7171:8191 8221:9211 9241:10231 10261:11251 11281:12271 12301:13291 13321:14311 14341:15331 15361:16381" s="68" customFormat="1">
      <c r="A222" s="67" t="s">
        <v>42</v>
      </c>
      <c r="B222" s="68">
        <v>2022</v>
      </c>
      <c r="C222" s="68">
        <v>2023</v>
      </c>
      <c r="D222" s="68">
        <v>2024</v>
      </c>
      <c r="E222" s="68">
        <v>2025</v>
      </c>
      <c r="F222" s="68">
        <v>2026</v>
      </c>
      <c r="G222" s="68">
        <v>2027</v>
      </c>
      <c r="H222" s="68">
        <v>2028</v>
      </c>
      <c r="I222" s="68">
        <v>2029</v>
      </c>
      <c r="J222" s="68">
        <v>2030</v>
      </c>
      <c r="K222" s="68">
        <v>2031</v>
      </c>
      <c r="L222" s="68">
        <v>2032</v>
      </c>
      <c r="M222" s="68">
        <v>2033</v>
      </c>
      <c r="N222" s="68">
        <v>2034</v>
      </c>
      <c r="O222" s="68">
        <v>2035</v>
      </c>
      <c r="P222" s="68">
        <v>2036</v>
      </c>
      <c r="Q222" s="68">
        <v>2037</v>
      </c>
      <c r="R222" s="68">
        <v>2038</v>
      </c>
      <c r="S222" s="68">
        <v>2039</v>
      </c>
      <c r="T222" s="68">
        <v>2040</v>
      </c>
      <c r="U222" s="68">
        <v>2041</v>
      </c>
      <c r="V222" s="68">
        <v>2042</v>
      </c>
      <c r="W222" s="68">
        <v>2043</v>
      </c>
      <c r="X222" s="68">
        <v>2044</v>
      </c>
      <c r="Y222" s="68">
        <v>2045</v>
      </c>
      <c r="Z222" s="68">
        <v>2046</v>
      </c>
      <c r="AA222" s="68">
        <v>2047</v>
      </c>
      <c r="AB222" s="68">
        <v>2048</v>
      </c>
      <c r="AC222" s="68">
        <v>2049</v>
      </c>
      <c r="AD222" s="68">
        <v>2050</v>
      </c>
      <c r="AE222" s="67"/>
      <c r="BI222" s="67"/>
      <c r="CM222" s="67"/>
      <c r="DQ222" s="67"/>
      <c r="EU222" s="67"/>
      <c r="FY222" s="67"/>
      <c r="HC222" s="67"/>
      <c r="IG222" s="67"/>
      <c r="JK222" s="67"/>
      <c r="KO222" s="67"/>
      <c r="LS222" s="67"/>
      <c r="MW222" s="67"/>
      <c r="OA222" s="67"/>
      <c r="PE222" s="67"/>
      <c r="QI222" s="67"/>
      <c r="RM222" s="67"/>
      <c r="SQ222" s="67"/>
      <c r="TU222" s="67"/>
      <c r="UY222" s="67"/>
      <c r="WC222" s="67"/>
      <c r="XG222" s="67"/>
      <c r="YK222" s="67"/>
      <c r="ZO222" s="67"/>
      <c r="AAS222" s="67"/>
      <c r="ABW222" s="67"/>
      <c r="ADA222" s="67"/>
      <c r="AEE222" s="67"/>
      <c r="AFI222" s="67"/>
      <c r="AGM222" s="67"/>
      <c r="AHQ222" s="67"/>
      <c r="AIU222" s="67"/>
      <c r="AJY222" s="67"/>
      <c r="ALC222" s="67"/>
      <c r="AMG222" s="67"/>
      <c r="ANK222" s="67"/>
      <c r="AOO222" s="67"/>
      <c r="APS222" s="67"/>
      <c r="AQW222" s="67"/>
      <c r="ASA222" s="67"/>
      <c r="ATE222" s="67"/>
      <c r="AUI222" s="67"/>
      <c r="AVM222" s="67"/>
      <c r="AWQ222" s="67"/>
      <c r="AXU222" s="67"/>
      <c r="AYY222" s="67"/>
      <c r="BAC222" s="67"/>
      <c r="BBG222" s="67"/>
      <c r="BCK222" s="67"/>
      <c r="BDO222" s="67"/>
      <c r="BES222" s="67"/>
      <c r="BFW222" s="67"/>
      <c r="BHA222" s="67"/>
      <c r="BIE222" s="67"/>
      <c r="BJI222" s="67"/>
      <c r="BKM222" s="67"/>
      <c r="BLQ222" s="67"/>
      <c r="BMU222" s="67"/>
      <c r="BNY222" s="67"/>
      <c r="BPC222" s="67"/>
      <c r="BQG222" s="67"/>
      <c r="BRK222" s="67"/>
      <c r="BSO222" s="67"/>
      <c r="BTS222" s="67"/>
      <c r="BUW222" s="67"/>
      <c r="BWA222" s="67"/>
      <c r="BXE222" s="67"/>
      <c r="BYI222" s="67"/>
      <c r="BZM222" s="67"/>
      <c r="CAQ222" s="67"/>
      <c r="CBU222" s="67"/>
      <c r="CCY222" s="67"/>
      <c r="CEC222" s="67"/>
      <c r="CFG222" s="67"/>
      <c r="CGK222" s="67"/>
      <c r="CHO222" s="67"/>
      <c r="CIS222" s="67"/>
      <c r="CJW222" s="67"/>
      <c r="CLA222" s="67"/>
      <c r="CME222" s="67"/>
      <c r="CNI222" s="67"/>
      <c r="COM222" s="67"/>
      <c r="CPQ222" s="67"/>
      <c r="CQU222" s="67"/>
      <c r="CRY222" s="67"/>
      <c r="CTC222" s="67"/>
      <c r="CUG222" s="67"/>
      <c r="CVK222" s="67"/>
      <c r="CWO222" s="67"/>
      <c r="CXS222" s="67"/>
      <c r="CYW222" s="67"/>
      <c r="DAA222" s="67"/>
      <c r="DBE222" s="67"/>
      <c r="DCI222" s="67"/>
      <c r="DDM222" s="67"/>
      <c r="DEQ222" s="67"/>
      <c r="DFU222" s="67"/>
      <c r="DGY222" s="67"/>
      <c r="DIC222" s="67"/>
      <c r="DJG222" s="67"/>
      <c r="DKK222" s="67"/>
      <c r="DLO222" s="67"/>
      <c r="DMS222" s="67"/>
      <c r="DNW222" s="67"/>
      <c r="DPA222" s="67"/>
      <c r="DQE222" s="67"/>
      <c r="DRI222" s="67"/>
      <c r="DSM222" s="67"/>
      <c r="DTQ222" s="67"/>
      <c r="DUU222" s="67"/>
      <c r="DVY222" s="67"/>
      <c r="DXC222" s="67"/>
      <c r="DYG222" s="67"/>
      <c r="DZK222" s="67"/>
      <c r="EAO222" s="67"/>
      <c r="EBS222" s="67"/>
      <c r="ECW222" s="67"/>
      <c r="EEA222" s="67"/>
      <c r="EFE222" s="67"/>
      <c r="EGI222" s="67"/>
      <c r="EHM222" s="67"/>
      <c r="EIQ222" s="67"/>
      <c r="EJU222" s="67"/>
      <c r="EKY222" s="67"/>
      <c r="EMC222" s="67"/>
      <c r="ENG222" s="67"/>
      <c r="EOK222" s="67"/>
      <c r="EPO222" s="67"/>
      <c r="EQS222" s="67"/>
      <c r="ERW222" s="67"/>
      <c r="ETA222" s="67"/>
      <c r="EUE222" s="67"/>
      <c r="EVI222" s="67"/>
      <c r="EWM222" s="67"/>
      <c r="EXQ222" s="67"/>
      <c r="EYU222" s="67"/>
      <c r="EZY222" s="67"/>
      <c r="FBC222" s="67"/>
      <c r="FCG222" s="67"/>
      <c r="FDK222" s="67"/>
      <c r="FEO222" s="67"/>
      <c r="FFS222" s="67"/>
      <c r="FGW222" s="67"/>
      <c r="FIA222" s="67"/>
      <c r="FJE222" s="67"/>
      <c r="FKI222" s="67"/>
      <c r="FLM222" s="67"/>
      <c r="FMQ222" s="67"/>
      <c r="FNU222" s="67"/>
      <c r="FOY222" s="67"/>
      <c r="FQC222" s="67"/>
      <c r="FRG222" s="67"/>
      <c r="FSK222" s="67"/>
      <c r="FTO222" s="67"/>
      <c r="FUS222" s="67"/>
      <c r="FVW222" s="67"/>
      <c r="FXA222" s="67"/>
      <c r="FYE222" s="67"/>
      <c r="FZI222" s="67"/>
      <c r="GAM222" s="67"/>
      <c r="GBQ222" s="67"/>
      <c r="GCU222" s="67"/>
      <c r="GDY222" s="67"/>
      <c r="GFC222" s="67"/>
      <c r="GGG222" s="67"/>
      <c r="GHK222" s="67"/>
      <c r="GIO222" s="67"/>
      <c r="GJS222" s="67"/>
      <c r="GKW222" s="67"/>
      <c r="GMA222" s="67"/>
      <c r="GNE222" s="67"/>
      <c r="GOI222" s="67"/>
      <c r="GPM222" s="67"/>
      <c r="GQQ222" s="67"/>
      <c r="GRU222" s="67"/>
      <c r="GSY222" s="67"/>
      <c r="GUC222" s="67"/>
      <c r="GVG222" s="67"/>
      <c r="GWK222" s="67"/>
      <c r="GXO222" s="67"/>
      <c r="GYS222" s="67"/>
      <c r="GZW222" s="67"/>
      <c r="HBA222" s="67"/>
      <c r="HCE222" s="67"/>
      <c r="HDI222" s="67"/>
      <c r="HEM222" s="67"/>
      <c r="HFQ222" s="67"/>
      <c r="HGU222" s="67"/>
      <c r="HHY222" s="67"/>
      <c r="HJC222" s="67"/>
      <c r="HKG222" s="67"/>
      <c r="HLK222" s="67"/>
      <c r="HMO222" s="67"/>
      <c r="HNS222" s="67"/>
      <c r="HOW222" s="67"/>
      <c r="HQA222" s="67"/>
      <c r="HRE222" s="67"/>
      <c r="HSI222" s="67"/>
      <c r="HTM222" s="67"/>
      <c r="HUQ222" s="67"/>
      <c r="HVU222" s="67"/>
      <c r="HWY222" s="67"/>
      <c r="HYC222" s="67"/>
      <c r="HZG222" s="67"/>
      <c r="IAK222" s="67"/>
      <c r="IBO222" s="67"/>
      <c r="ICS222" s="67"/>
      <c r="IDW222" s="67"/>
      <c r="IFA222" s="67"/>
      <c r="IGE222" s="67"/>
      <c r="IHI222" s="67"/>
      <c r="IIM222" s="67"/>
      <c r="IJQ222" s="67"/>
      <c r="IKU222" s="67"/>
      <c r="ILY222" s="67"/>
      <c r="INC222" s="67"/>
      <c r="IOG222" s="67"/>
      <c r="IPK222" s="67"/>
      <c r="IQO222" s="67"/>
      <c r="IRS222" s="67"/>
      <c r="ISW222" s="67"/>
      <c r="IUA222" s="67"/>
      <c r="IVE222" s="67"/>
      <c r="IWI222" s="67"/>
      <c r="IXM222" s="67"/>
      <c r="IYQ222" s="67"/>
      <c r="IZU222" s="67"/>
      <c r="JAY222" s="67"/>
      <c r="JCC222" s="67"/>
      <c r="JDG222" s="67"/>
      <c r="JEK222" s="67"/>
      <c r="JFO222" s="67"/>
      <c r="JGS222" s="67"/>
      <c r="JHW222" s="67"/>
      <c r="JJA222" s="67"/>
      <c r="JKE222" s="67"/>
      <c r="JLI222" s="67"/>
      <c r="JMM222" s="67"/>
      <c r="JNQ222" s="67"/>
      <c r="JOU222" s="67"/>
      <c r="JPY222" s="67"/>
      <c r="JRC222" s="67"/>
      <c r="JSG222" s="67"/>
      <c r="JTK222" s="67"/>
      <c r="JUO222" s="67"/>
      <c r="JVS222" s="67"/>
      <c r="JWW222" s="67"/>
      <c r="JYA222" s="67"/>
      <c r="JZE222" s="67"/>
      <c r="KAI222" s="67"/>
      <c r="KBM222" s="67"/>
      <c r="KCQ222" s="67"/>
      <c r="KDU222" s="67"/>
      <c r="KEY222" s="67"/>
      <c r="KGC222" s="67"/>
      <c r="KHG222" s="67"/>
      <c r="KIK222" s="67"/>
      <c r="KJO222" s="67"/>
      <c r="KKS222" s="67"/>
      <c r="KLW222" s="67"/>
      <c r="KNA222" s="67"/>
      <c r="KOE222" s="67"/>
      <c r="KPI222" s="67"/>
      <c r="KQM222" s="67"/>
      <c r="KRQ222" s="67"/>
      <c r="KSU222" s="67"/>
      <c r="KTY222" s="67"/>
      <c r="KVC222" s="67"/>
      <c r="KWG222" s="67"/>
      <c r="KXK222" s="67"/>
      <c r="KYO222" s="67"/>
      <c r="KZS222" s="67"/>
      <c r="LAW222" s="67"/>
      <c r="LCA222" s="67"/>
      <c r="LDE222" s="67"/>
      <c r="LEI222" s="67"/>
      <c r="LFM222" s="67"/>
      <c r="LGQ222" s="67"/>
      <c r="LHU222" s="67"/>
      <c r="LIY222" s="67"/>
      <c r="LKC222" s="67"/>
      <c r="LLG222" s="67"/>
      <c r="LMK222" s="67"/>
      <c r="LNO222" s="67"/>
      <c r="LOS222" s="67"/>
      <c r="LPW222" s="67"/>
      <c r="LRA222" s="67"/>
      <c r="LSE222" s="67"/>
      <c r="LTI222" s="67"/>
      <c r="LUM222" s="67"/>
      <c r="LVQ222" s="67"/>
      <c r="LWU222" s="67"/>
      <c r="LXY222" s="67"/>
      <c r="LZC222" s="67"/>
      <c r="MAG222" s="67"/>
      <c r="MBK222" s="67"/>
      <c r="MCO222" s="67"/>
      <c r="MDS222" s="67"/>
      <c r="MEW222" s="67"/>
      <c r="MGA222" s="67"/>
      <c r="MHE222" s="67"/>
      <c r="MII222" s="67"/>
      <c r="MJM222" s="67"/>
      <c r="MKQ222" s="67"/>
      <c r="MLU222" s="67"/>
      <c r="MMY222" s="67"/>
      <c r="MOC222" s="67"/>
      <c r="MPG222" s="67"/>
      <c r="MQK222" s="67"/>
      <c r="MRO222" s="67"/>
      <c r="MSS222" s="67"/>
      <c r="MTW222" s="67"/>
      <c r="MVA222" s="67"/>
      <c r="MWE222" s="67"/>
      <c r="MXI222" s="67"/>
      <c r="MYM222" s="67"/>
      <c r="MZQ222" s="67"/>
      <c r="NAU222" s="67"/>
      <c r="NBY222" s="67"/>
      <c r="NDC222" s="67"/>
      <c r="NEG222" s="67"/>
      <c r="NFK222" s="67"/>
      <c r="NGO222" s="67"/>
      <c r="NHS222" s="67"/>
      <c r="NIW222" s="67"/>
      <c r="NKA222" s="67"/>
      <c r="NLE222" s="67"/>
      <c r="NMI222" s="67"/>
      <c r="NNM222" s="67"/>
      <c r="NOQ222" s="67"/>
      <c r="NPU222" s="67"/>
      <c r="NQY222" s="67"/>
      <c r="NSC222" s="67"/>
      <c r="NTG222" s="67"/>
      <c r="NUK222" s="67"/>
      <c r="NVO222" s="67"/>
      <c r="NWS222" s="67"/>
      <c r="NXW222" s="67"/>
      <c r="NZA222" s="67"/>
      <c r="OAE222" s="67"/>
      <c r="OBI222" s="67"/>
      <c r="OCM222" s="67"/>
      <c r="ODQ222" s="67"/>
      <c r="OEU222" s="67"/>
      <c r="OFY222" s="67"/>
      <c r="OHC222" s="67"/>
      <c r="OIG222" s="67"/>
      <c r="OJK222" s="67"/>
      <c r="OKO222" s="67"/>
      <c r="OLS222" s="67"/>
      <c r="OMW222" s="67"/>
      <c r="OOA222" s="67"/>
      <c r="OPE222" s="67"/>
      <c r="OQI222" s="67"/>
      <c r="ORM222" s="67"/>
      <c r="OSQ222" s="67"/>
      <c r="OTU222" s="67"/>
      <c r="OUY222" s="67"/>
      <c r="OWC222" s="67"/>
      <c r="OXG222" s="67"/>
      <c r="OYK222" s="67"/>
      <c r="OZO222" s="67"/>
      <c r="PAS222" s="67"/>
      <c r="PBW222" s="67"/>
      <c r="PDA222" s="67"/>
      <c r="PEE222" s="67"/>
      <c r="PFI222" s="67"/>
      <c r="PGM222" s="67"/>
      <c r="PHQ222" s="67"/>
      <c r="PIU222" s="67"/>
      <c r="PJY222" s="67"/>
      <c r="PLC222" s="67"/>
      <c r="PMG222" s="67"/>
      <c r="PNK222" s="67"/>
      <c r="POO222" s="67"/>
      <c r="PPS222" s="67"/>
      <c r="PQW222" s="67"/>
      <c r="PSA222" s="67"/>
      <c r="PTE222" s="67"/>
      <c r="PUI222" s="67"/>
      <c r="PVM222" s="67"/>
      <c r="PWQ222" s="67"/>
      <c r="PXU222" s="67"/>
      <c r="PYY222" s="67"/>
      <c r="QAC222" s="67"/>
      <c r="QBG222" s="67"/>
      <c r="QCK222" s="67"/>
      <c r="QDO222" s="67"/>
      <c r="QES222" s="67"/>
      <c r="QFW222" s="67"/>
      <c r="QHA222" s="67"/>
      <c r="QIE222" s="67"/>
      <c r="QJI222" s="67"/>
      <c r="QKM222" s="67"/>
      <c r="QLQ222" s="67"/>
      <c r="QMU222" s="67"/>
      <c r="QNY222" s="67"/>
      <c r="QPC222" s="67"/>
      <c r="QQG222" s="67"/>
      <c r="QRK222" s="67"/>
      <c r="QSO222" s="67"/>
      <c r="QTS222" s="67"/>
      <c r="QUW222" s="67"/>
      <c r="QWA222" s="67"/>
      <c r="QXE222" s="67"/>
      <c r="QYI222" s="67"/>
      <c r="QZM222" s="67"/>
      <c r="RAQ222" s="67"/>
      <c r="RBU222" s="67"/>
      <c r="RCY222" s="67"/>
      <c r="REC222" s="67"/>
      <c r="RFG222" s="67"/>
      <c r="RGK222" s="67"/>
      <c r="RHO222" s="67"/>
      <c r="RIS222" s="67"/>
      <c r="RJW222" s="67"/>
      <c r="RLA222" s="67"/>
      <c r="RME222" s="67"/>
      <c r="RNI222" s="67"/>
      <c r="ROM222" s="67"/>
      <c r="RPQ222" s="67"/>
      <c r="RQU222" s="67"/>
      <c r="RRY222" s="67"/>
      <c r="RTC222" s="67"/>
      <c r="RUG222" s="67"/>
      <c r="RVK222" s="67"/>
      <c r="RWO222" s="67"/>
      <c r="RXS222" s="67"/>
      <c r="RYW222" s="67"/>
      <c r="SAA222" s="67"/>
      <c r="SBE222" s="67"/>
      <c r="SCI222" s="67"/>
      <c r="SDM222" s="67"/>
      <c r="SEQ222" s="67"/>
      <c r="SFU222" s="67"/>
      <c r="SGY222" s="67"/>
      <c r="SIC222" s="67"/>
      <c r="SJG222" s="67"/>
      <c r="SKK222" s="67"/>
      <c r="SLO222" s="67"/>
      <c r="SMS222" s="67"/>
      <c r="SNW222" s="67"/>
      <c r="SPA222" s="67"/>
      <c r="SQE222" s="67"/>
      <c r="SRI222" s="67"/>
      <c r="SSM222" s="67"/>
      <c r="STQ222" s="67"/>
      <c r="SUU222" s="67"/>
      <c r="SVY222" s="67"/>
      <c r="SXC222" s="67"/>
      <c r="SYG222" s="67"/>
      <c r="SZK222" s="67"/>
      <c r="TAO222" s="67"/>
      <c r="TBS222" s="67"/>
      <c r="TCW222" s="67"/>
      <c r="TEA222" s="67"/>
      <c r="TFE222" s="67"/>
      <c r="TGI222" s="67"/>
      <c r="THM222" s="67"/>
      <c r="TIQ222" s="67"/>
      <c r="TJU222" s="67"/>
      <c r="TKY222" s="67"/>
      <c r="TMC222" s="67"/>
      <c r="TNG222" s="67"/>
      <c r="TOK222" s="67"/>
      <c r="TPO222" s="67"/>
      <c r="TQS222" s="67"/>
      <c r="TRW222" s="67"/>
      <c r="TTA222" s="67"/>
      <c r="TUE222" s="67"/>
      <c r="TVI222" s="67"/>
      <c r="TWM222" s="67"/>
      <c r="TXQ222" s="67"/>
      <c r="TYU222" s="67"/>
      <c r="TZY222" s="67"/>
      <c r="UBC222" s="67"/>
      <c r="UCG222" s="67"/>
      <c r="UDK222" s="67"/>
      <c r="UEO222" s="67"/>
      <c r="UFS222" s="67"/>
      <c r="UGW222" s="67"/>
      <c r="UIA222" s="67"/>
      <c r="UJE222" s="67"/>
      <c r="UKI222" s="67"/>
      <c r="ULM222" s="67"/>
      <c r="UMQ222" s="67"/>
      <c r="UNU222" s="67"/>
      <c r="UOY222" s="67"/>
      <c r="UQC222" s="67"/>
      <c r="URG222" s="67"/>
      <c r="USK222" s="67"/>
      <c r="UTO222" s="67"/>
      <c r="UUS222" s="67"/>
      <c r="UVW222" s="67"/>
      <c r="UXA222" s="67"/>
      <c r="UYE222" s="67"/>
      <c r="UZI222" s="67"/>
      <c r="VAM222" s="67"/>
      <c r="VBQ222" s="67"/>
      <c r="VCU222" s="67"/>
      <c r="VDY222" s="67"/>
      <c r="VFC222" s="67"/>
      <c r="VGG222" s="67"/>
      <c r="VHK222" s="67"/>
      <c r="VIO222" s="67"/>
      <c r="VJS222" s="67"/>
      <c r="VKW222" s="67"/>
      <c r="VMA222" s="67"/>
      <c r="VNE222" s="67"/>
      <c r="VOI222" s="67"/>
      <c r="VPM222" s="67"/>
      <c r="VQQ222" s="67"/>
      <c r="VRU222" s="67"/>
      <c r="VSY222" s="67"/>
      <c r="VUC222" s="67"/>
      <c r="VVG222" s="67"/>
      <c r="VWK222" s="67"/>
      <c r="VXO222" s="67"/>
      <c r="VYS222" s="67"/>
      <c r="VZW222" s="67"/>
      <c r="WBA222" s="67"/>
      <c r="WCE222" s="67"/>
      <c r="WDI222" s="67"/>
      <c r="WEM222" s="67"/>
      <c r="WFQ222" s="67"/>
      <c r="WGU222" s="67"/>
      <c r="WHY222" s="67"/>
      <c r="WJC222" s="67"/>
      <c r="WKG222" s="67"/>
      <c r="WLK222" s="67"/>
      <c r="WMO222" s="67"/>
      <c r="WNS222" s="67"/>
      <c r="WOW222" s="67"/>
      <c r="WQA222" s="67"/>
      <c r="WRE222" s="67"/>
      <c r="WSI222" s="67"/>
      <c r="WTM222" s="67"/>
      <c r="WUQ222" s="67"/>
      <c r="WVU222" s="67"/>
      <c r="WWY222" s="67"/>
      <c r="WYC222" s="67"/>
      <c r="WZG222" s="67"/>
      <c r="XAK222" s="67"/>
      <c r="XBO222" s="67"/>
      <c r="XCS222" s="67"/>
      <c r="XDW222" s="67"/>
      <c r="XFA222" s="67"/>
    </row>
    <row r="223" spans="1:1021 1051:2041 2071:3061 3091:4081 4111:5101 5131:6121 6151:7141 7171:8191 8221:9211 9241:10231 10261:11251 11281:12271 12301:13291 13321:14311 14341:15331 15361:16381">
      <c r="A223" s="67" t="s">
        <v>12</v>
      </c>
      <c r="B223" s="36">
        <v>17310.299242879464</v>
      </c>
      <c r="C223" s="36">
        <v>17232.516984704438</v>
      </c>
      <c r="D223" s="36">
        <v>17163.263754434352</v>
      </c>
      <c r="E223" s="36">
        <v>17100.985746347447</v>
      </c>
      <c r="F223" s="36">
        <v>17074.519588606916</v>
      </c>
      <c r="G223" s="36">
        <v>17052.699568503933</v>
      </c>
      <c r="H223" s="36">
        <v>17034.062534683319</v>
      </c>
      <c r="I223" s="36">
        <v>17018.024619955697</v>
      </c>
      <c r="J223" s="36">
        <v>17004.295009008416</v>
      </c>
      <c r="K223" s="36">
        <v>17003.97983419503</v>
      </c>
      <c r="L223" s="36">
        <v>17005.60114091447</v>
      </c>
      <c r="M223" s="36">
        <v>17008.578011415862</v>
      </c>
      <c r="N223" s="36">
        <v>17012.673937524934</v>
      </c>
      <c r="O223" s="36">
        <v>17017.7710718413</v>
      </c>
      <c r="P223" s="36">
        <v>17034.47885737399</v>
      </c>
      <c r="Q223" s="36">
        <v>17051.866718612277</v>
      </c>
      <c r="R223" s="36">
        <v>17069.269554386028</v>
      </c>
      <c r="S223" s="36">
        <v>17086.405075753839</v>
      </c>
      <c r="T223" s="36">
        <v>17103.132551397033</v>
      </c>
      <c r="U223" s="36">
        <v>17127.879534538912</v>
      </c>
      <c r="V223" s="36">
        <v>17151.807232975712</v>
      </c>
      <c r="W223" s="36">
        <v>17174.156008564292</v>
      </c>
      <c r="X223" s="36">
        <v>17194.584376106275</v>
      </c>
      <c r="Y223" s="36">
        <v>17212.921920683188</v>
      </c>
      <c r="Z223" s="36">
        <v>17233.873608888571</v>
      </c>
      <c r="AA223" s="36">
        <v>17252.226403312714</v>
      </c>
      <c r="AB223" s="36">
        <v>17267.163520493559</v>
      </c>
      <c r="AC223" s="36">
        <v>17278.295292133858</v>
      </c>
      <c r="AD223" s="36">
        <v>17285.427044935081</v>
      </c>
    </row>
    <row r="224" spans="1:1021 1051:2041 2071:3061 3091:4081 4111:5101 5131:6121 6151:7141 7171:8191 8221:9211 9241:10231 10261:11251 11281:12271 12301:13291 13321:14311 14341:15331 15361:16381">
      <c r="A224" s="67" t="s">
        <v>15</v>
      </c>
      <c r="B224" s="36">
        <v>17310.299242879464</v>
      </c>
      <c r="C224" s="36">
        <v>17324.34021366126</v>
      </c>
      <c r="D224" s="36">
        <v>17343.369532790857</v>
      </c>
      <c r="E224" s="36">
        <v>17363.991514928668</v>
      </c>
      <c r="F224" s="36">
        <v>17366.915944887522</v>
      </c>
      <c r="G224" s="36">
        <v>17369.072422810572</v>
      </c>
      <c r="H224" s="36">
        <v>17370.755930287949</v>
      </c>
      <c r="I224" s="36">
        <v>17372.028007251029</v>
      </c>
      <c r="J224" s="36">
        <v>17372.918523422723</v>
      </c>
      <c r="K224" s="36">
        <v>17372.875216396973</v>
      </c>
      <c r="L224" s="36">
        <v>17372.480923004638</v>
      </c>
      <c r="M224" s="36">
        <v>17371.766744194214</v>
      </c>
      <c r="N224" s="36">
        <v>17370.745493525737</v>
      </c>
      <c r="O224" s="36">
        <v>17369.423550022813</v>
      </c>
      <c r="P224" s="36">
        <v>17367.470072227901</v>
      </c>
      <c r="Q224" s="36">
        <v>17365.22844569659</v>
      </c>
      <c r="R224" s="36">
        <v>17362.719719415058</v>
      </c>
      <c r="S224" s="36">
        <v>17359.95283440228</v>
      </c>
      <c r="T224" s="36">
        <v>17356.932245299442</v>
      </c>
      <c r="U224" s="36">
        <v>17353.422642719492</v>
      </c>
      <c r="V224" s="36">
        <v>17349.672308335397</v>
      </c>
      <c r="W224" s="36">
        <v>17345.702108798396</v>
      </c>
      <c r="X224" s="36">
        <v>17341.521392481314</v>
      </c>
      <c r="Y224" s="36">
        <v>17337.134823002121</v>
      </c>
      <c r="Z224" s="36">
        <v>17332.529910386362</v>
      </c>
      <c r="AA224" s="36">
        <v>17327.724378039609</v>
      </c>
      <c r="AB224" s="36">
        <v>17322.72100406414</v>
      </c>
      <c r="AC224" s="36">
        <v>17317.521113776038</v>
      </c>
      <c r="AD224" s="36">
        <v>17312.125369320314</v>
      </c>
    </row>
    <row r="225" spans="1:1021 1051:2041 2071:3061 3091:4081 4111:5101 5131:6121 6151:7141 7171:8191 8221:9211 9241:10231 10261:11251 11281:12271 12301:13291 13321:14311 14341:15331 15361:16381">
      <c r="A225" s="67" t="s">
        <v>19</v>
      </c>
      <c r="B225" s="36">
        <v>17310.299242879464</v>
      </c>
      <c r="C225" s="36">
        <v>17324.34021366126</v>
      </c>
      <c r="D225" s="36">
        <v>17343.369532790857</v>
      </c>
      <c r="E225" s="36">
        <v>17363.991514928668</v>
      </c>
      <c r="F225" s="36">
        <v>17366.915944887522</v>
      </c>
      <c r="G225" s="36">
        <v>17369.072422810572</v>
      </c>
      <c r="H225" s="36">
        <v>17370.755930287949</v>
      </c>
      <c r="I225" s="36">
        <v>17372.028007251029</v>
      </c>
      <c r="J225" s="36">
        <v>17372.918523422723</v>
      </c>
      <c r="K225" s="36">
        <v>17004.255054960191</v>
      </c>
      <c r="L225" s="36">
        <v>16638.398895838694</v>
      </c>
      <c r="M225" s="36">
        <v>16294.433529165093</v>
      </c>
      <c r="N225" s="36">
        <v>15980.221954224</v>
      </c>
      <c r="O225" s="36">
        <v>15699.683751742665</v>
      </c>
      <c r="P225" s="36">
        <v>15593.523030098138</v>
      </c>
      <c r="Q225" s="36">
        <v>15519.86023762528</v>
      </c>
      <c r="R225" s="36">
        <v>15471.234847763748</v>
      </c>
      <c r="S225" s="36">
        <v>15444.566483613087</v>
      </c>
      <c r="T225" s="36">
        <v>15438.312289800157</v>
      </c>
      <c r="U225" s="36">
        <v>15467.313846186398</v>
      </c>
      <c r="V225" s="36">
        <v>15514.913224781145</v>
      </c>
      <c r="W225" s="36">
        <v>15579.626192895323</v>
      </c>
      <c r="X225" s="36">
        <v>15660.777655544798</v>
      </c>
      <c r="Y225" s="36">
        <v>15758.029352615855</v>
      </c>
      <c r="Z225" s="36">
        <v>15879.860707074524</v>
      </c>
      <c r="AA225" s="36">
        <v>16016.773635646976</v>
      </c>
      <c r="AB225" s="36">
        <v>16167.367670443666</v>
      </c>
      <c r="AC225" s="36">
        <v>16330.977830127278</v>
      </c>
      <c r="AD225" s="36">
        <v>16507.27527297186</v>
      </c>
    </row>
    <row r="226" spans="1:1021 1051:2041 2071:3061 3091:4081 4111:5101 5131:6121 6151:7141 7171:8191 8221:9211 9241:10231 10261:11251 11281:12271 12301:13291 13321:14311 14341:15331 15361:16381">
      <c r="A226" s="67" t="s">
        <v>22</v>
      </c>
      <c r="B226" s="36">
        <v>17310.299242879464</v>
      </c>
      <c r="C226" s="36">
        <v>16505.534145266683</v>
      </c>
      <c r="D226" s="36">
        <v>15735.525753366408</v>
      </c>
      <c r="E226" s="36">
        <v>15015.237237411931</v>
      </c>
      <c r="F226" s="36">
        <v>14830.535064475198</v>
      </c>
      <c r="G226" s="36">
        <v>14692.517186781028</v>
      </c>
      <c r="H226" s="36">
        <v>14582.819086682093</v>
      </c>
      <c r="I226" s="36">
        <v>14494.592399699211</v>
      </c>
      <c r="J226" s="36">
        <v>14424.413881404251</v>
      </c>
      <c r="K226" s="36">
        <v>14463.077402926603</v>
      </c>
      <c r="L226" s="36">
        <v>14514.728347117123</v>
      </c>
      <c r="M226" s="36">
        <v>14575.173548943252</v>
      </c>
      <c r="N226" s="36">
        <v>14642.762475909583</v>
      </c>
      <c r="O226" s="36">
        <v>14716.667962884094</v>
      </c>
      <c r="P226" s="36">
        <v>14875.10023992678</v>
      </c>
      <c r="Q226" s="36">
        <v>15036.534726703087</v>
      </c>
      <c r="R226" s="36">
        <v>15196.694044609929</v>
      </c>
      <c r="S226" s="36">
        <v>15353.814227652745</v>
      </c>
      <c r="T226" s="36">
        <v>15507.013515414486</v>
      </c>
      <c r="U226" s="36">
        <v>15692.704448977174</v>
      </c>
      <c r="V226" s="36">
        <v>15872.222391822974</v>
      </c>
      <c r="W226" s="36">
        <v>16042.443362403861</v>
      </c>
      <c r="X226" s="36">
        <v>16201.970663558435</v>
      </c>
      <c r="Y226" s="36">
        <v>16350.105847636407</v>
      </c>
      <c r="Z226" s="36">
        <v>16523.081716419187</v>
      </c>
      <c r="AA226" s="36">
        <v>16681.032147291928</v>
      </c>
      <c r="AB226" s="36">
        <v>16817.982301292635</v>
      </c>
      <c r="AC226" s="36">
        <v>16931.085126592086</v>
      </c>
      <c r="AD226" s="36">
        <v>17018.915430522542</v>
      </c>
    </row>
    <row r="227" spans="1:1021 1051:2041 2071:3061 3091:4081 4111:5101 5131:6121 6151:7141 7171:8191 8221:9211 9241:10231 10261:11251 11281:12271 12301:13291 13321:14311 14341:15331 15361:16381">
      <c r="A227" s="67" t="s">
        <v>24</v>
      </c>
      <c r="B227" s="36">
        <v>17310.299242879464</v>
      </c>
      <c r="C227" s="36">
        <v>17185.131848115554</v>
      </c>
      <c r="D227" s="36">
        <v>17070.168172653306</v>
      </c>
      <c r="E227" s="36">
        <v>16964.863274692161</v>
      </c>
      <c r="F227" s="36">
        <v>16896.768225361167</v>
      </c>
      <c r="G227" s="36">
        <v>16836.568616774028</v>
      </c>
      <c r="H227" s="36">
        <v>16782.844373548658</v>
      </c>
      <c r="I227" s="36">
        <v>16735.022593338083</v>
      </c>
      <c r="J227" s="36">
        <v>16692.817108293078</v>
      </c>
      <c r="K227" s="36">
        <v>16727.156500301746</v>
      </c>
      <c r="L227" s="36">
        <v>16765.625570513552</v>
      </c>
      <c r="M227" s="36">
        <v>16804.912589609037</v>
      </c>
      <c r="N227" s="36">
        <v>16843.706707795878</v>
      </c>
      <c r="O227" s="36">
        <v>16881.355582084041</v>
      </c>
      <c r="P227" s="36">
        <v>16915.537878013354</v>
      </c>
      <c r="Q227" s="36">
        <v>16948.137860880455</v>
      </c>
      <c r="R227" s="36">
        <v>16979.190493434377</v>
      </c>
      <c r="S227" s="36">
        <v>17008.70372395415</v>
      </c>
      <c r="T227" s="36">
        <v>17036.681435459472</v>
      </c>
      <c r="U227" s="36">
        <v>17061.562896468924</v>
      </c>
      <c r="V227" s="36">
        <v>17084.976723291591</v>
      </c>
      <c r="W227" s="36">
        <v>17107.055360583519</v>
      </c>
      <c r="X227" s="36">
        <v>17127.857919243575</v>
      </c>
      <c r="Y227" s="36">
        <v>17147.413913711378</v>
      </c>
      <c r="Z227" s="36">
        <v>17165.669174352061</v>
      </c>
      <c r="AA227" s="36">
        <v>17182.706284454955</v>
      </c>
      <c r="AB227" s="36">
        <v>17198.540011121444</v>
      </c>
      <c r="AC227" s="36">
        <v>17213.177468686325</v>
      </c>
      <c r="AD227" s="36">
        <v>17226.622217234053</v>
      </c>
    </row>
    <row r="228" spans="1:1021 1051:2041 2071:3061 3091:4081 4111:5101 5131:6121 6151:7141 7171:8191 8221:9211 9241:10231 10261:11251 11281:12271 12301:13291 13321:14311 14341:15331 15361:16381">
      <c r="A228" s="67" t="s">
        <v>25</v>
      </c>
      <c r="B228" s="36">
        <v>17310.299242879464</v>
      </c>
      <c r="C228" s="36">
        <v>16980.649677243411</v>
      </c>
      <c r="D228" s="36">
        <v>16667.690652383</v>
      </c>
      <c r="E228" s="36">
        <v>16375.812723188737</v>
      </c>
      <c r="F228" s="36">
        <v>16300.751330839068</v>
      </c>
      <c r="G228" s="36">
        <v>16245.019783167429</v>
      </c>
      <c r="H228" s="36">
        <v>16200.949573882526</v>
      </c>
      <c r="I228" s="36">
        <v>16165.653827088861</v>
      </c>
      <c r="J228" s="36">
        <v>16137.693497028466</v>
      </c>
      <c r="K228" s="36">
        <v>15982.685864387327</v>
      </c>
      <c r="L228" s="36">
        <v>15836.549850249557</v>
      </c>
      <c r="M228" s="36">
        <v>15705.13476928361</v>
      </c>
      <c r="N228" s="36">
        <v>15590.719416583035</v>
      </c>
      <c r="O228" s="36">
        <v>15494.437628140497</v>
      </c>
      <c r="P228" s="36">
        <v>15461.259675728068</v>
      </c>
      <c r="Q228" s="36">
        <v>15445.803211617691</v>
      </c>
      <c r="R228" s="36">
        <v>15445.691736062014</v>
      </c>
      <c r="S228" s="36">
        <v>15459.941159610964</v>
      </c>
      <c r="T228" s="36">
        <v>15488.056729203548</v>
      </c>
      <c r="U228" s="36">
        <v>15551.214338590886</v>
      </c>
      <c r="V228" s="36">
        <v>15626.964385785774</v>
      </c>
      <c r="W228" s="36">
        <v>15713.480517845652</v>
      </c>
      <c r="X228" s="36">
        <v>15809.942670993145</v>
      </c>
      <c r="Y228" s="36">
        <v>15915.93989201188</v>
      </c>
      <c r="Z228" s="36">
        <v>16047.615942758695</v>
      </c>
      <c r="AA228" s="36">
        <v>16187.111979629331</v>
      </c>
      <c r="AB228" s="36">
        <v>16331.775955070216</v>
      </c>
      <c r="AC228" s="36">
        <v>16480.343161325349</v>
      </c>
      <c r="AD228" s="36">
        <v>16632.181465243204</v>
      </c>
    </row>
    <row r="229" spans="1:1021 1051:2041 2071:3061 3091:4081 4111:5101 5131:6121 6151:7141 7171:8191 8221:9211 9241:10231 10261:11251 11281:12271 12301:13291 13321:14311 14341:15331 15361:16381">
      <c r="A229" s="69"/>
    </row>
    <row r="230" spans="1:1021 1051:2041 2071:3061 3091:4081 4111:5101 5131:6121 6151:7141 7171:8191 8221:9211 9241:10231 10261:11251 11281:12271 12301:13291 13321:14311 14341:15331 15361:16381" s="68" customFormat="1">
      <c r="A230" s="67" t="s">
        <v>43</v>
      </c>
      <c r="B230" s="68">
        <v>2022</v>
      </c>
      <c r="C230" s="68">
        <v>2023</v>
      </c>
      <c r="D230" s="68">
        <v>2024</v>
      </c>
      <c r="E230" s="68">
        <v>2025</v>
      </c>
      <c r="F230" s="68">
        <v>2026</v>
      </c>
      <c r="G230" s="68">
        <v>2027</v>
      </c>
      <c r="H230" s="68">
        <v>2028</v>
      </c>
      <c r="I230" s="68">
        <v>2029</v>
      </c>
      <c r="J230" s="68">
        <v>2030</v>
      </c>
      <c r="K230" s="68">
        <v>2031</v>
      </c>
      <c r="L230" s="68">
        <v>2032</v>
      </c>
      <c r="M230" s="68">
        <v>2033</v>
      </c>
      <c r="N230" s="68">
        <v>2034</v>
      </c>
      <c r="O230" s="68">
        <v>2035</v>
      </c>
      <c r="P230" s="68">
        <v>2036</v>
      </c>
      <c r="Q230" s="68">
        <v>2037</v>
      </c>
      <c r="R230" s="68">
        <v>2038</v>
      </c>
      <c r="S230" s="68">
        <v>2039</v>
      </c>
      <c r="T230" s="68">
        <v>2040</v>
      </c>
      <c r="U230" s="68">
        <v>2041</v>
      </c>
      <c r="V230" s="68">
        <v>2042</v>
      </c>
      <c r="W230" s="68">
        <v>2043</v>
      </c>
      <c r="X230" s="68">
        <v>2044</v>
      </c>
      <c r="Y230" s="68">
        <v>2045</v>
      </c>
      <c r="Z230" s="68">
        <v>2046</v>
      </c>
      <c r="AA230" s="68">
        <v>2047</v>
      </c>
      <c r="AB230" s="68">
        <v>2048</v>
      </c>
      <c r="AC230" s="68">
        <v>2049</v>
      </c>
      <c r="AD230" s="68">
        <v>2050</v>
      </c>
      <c r="AE230" s="67"/>
      <c r="BI230" s="67"/>
      <c r="CM230" s="67"/>
      <c r="DQ230" s="67"/>
      <c r="EU230" s="67"/>
      <c r="FY230" s="67"/>
      <c r="HC230" s="67"/>
      <c r="IG230" s="67"/>
      <c r="JK230" s="67"/>
      <c r="KO230" s="67"/>
      <c r="LS230" s="67"/>
      <c r="MW230" s="67"/>
      <c r="OA230" s="67"/>
      <c r="PE230" s="67"/>
      <c r="QI230" s="67"/>
      <c r="RM230" s="67"/>
      <c r="SQ230" s="67"/>
      <c r="TU230" s="67"/>
      <c r="UY230" s="67"/>
      <c r="WC230" s="67"/>
      <c r="XG230" s="67"/>
      <c r="YK230" s="67"/>
      <c r="ZO230" s="67"/>
      <c r="AAS230" s="67"/>
      <c r="ABW230" s="67"/>
      <c r="ADA230" s="67"/>
      <c r="AEE230" s="67"/>
      <c r="AFI230" s="67"/>
      <c r="AGM230" s="67"/>
      <c r="AHQ230" s="67"/>
      <c r="AIU230" s="67"/>
      <c r="AJY230" s="67"/>
      <c r="ALC230" s="67"/>
      <c r="AMG230" s="67"/>
      <c r="ANK230" s="67"/>
      <c r="AOO230" s="67"/>
      <c r="APS230" s="67"/>
      <c r="AQW230" s="67"/>
      <c r="ASA230" s="67"/>
      <c r="ATE230" s="67"/>
      <c r="AUI230" s="67"/>
      <c r="AVM230" s="67"/>
      <c r="AWQ230" s="67"/>
      <c r="AXU230" s="67"/>
      <c r="AYY230" s="67"/>
      <c r="BAC230" s="67"/>
      <c r="BBG230" s="67"/>
      <c r="BCK230" s="67"/>
      <c r="BDO230" s="67"/>
      <c r="BES230" s="67"/>
      <c r="BFW230" s="67"/>
      <c r="BHA230" s="67"/>
      <c r="BIE230" s="67"/>
      <c r="BJI230" s="67"/>
      <c r="BKM230" s="67"/>
      <c r="BLQ230" s="67"/>
      <c r="BMU230" s="67"/>
      <c r="BNY230" s="67"/>
      <c r="BPC230" s="67"/>
      <c r="BQG230" s="67"/>
      <c r="BRK230" s="67"/>
      <c r="BSO230" s="67"/>
      <c r="BTS230" s="67"/>
      <c r="BUW230" s="67"/>
      <c r="BWA230" s="67"/>
      <c r="BXE230" s="67"/>
      <c r="BYI230" s="67"/>
      <c r="BZM230" s="67"/>
      <c r="CAQ230" s="67"/>
      <c r="CBU230" s="67"/>
      <c r="CCY230" s="67"/>
      <c r="CEC230" s="67"/>
      <c r="CFG230" s="67"/>
      <c r="CGK230" s="67"/>
      <c r="CHO230" s="67"/>
      <c r="CIS230" s="67"/>
      <c r="CJW230" s="67"/>
      <c r="CLA230" s="67"/>
      <c r="CME230" s="67"/>
      <c r="CNI230" s="67"/>
      <c r="COM230" s="67"/>
      <c r="CPQ230" s="67"/>
      <c r="CQU230" s="67"/>
      <c r="CRY230" s="67"/>
      <c r="CTC230" s="67"/>
      <c r="CUG230" s="67"/>
      <c r="CVK230" s="67"/>
      <c r="CWO230" s="67"/>
      <c r="CXS230" s="67"/>
      <c r="CYW230" s="67"/>
      <c r="DAA230" s="67"/>
      <c r="DBE230" s="67"/>
      <c r="DCI230" s="67"/>
      <c r="DDM230" s="67"/>
      <c r="DEQ230" s="67"/>
      <c r="DFU230" s="67"/>
      <c r="DGY230" s="67"/>
      <c r="DIC230" s="67"/>
      <c r="DJG230" s="67"/>
      <c r="DKK230" s="67"/>
      <c r="DLO230" s="67"/>
      <c r="DMS230" s="67"/>
      <c r="DNW230" s="67"/>
      <c r="DPA230" s="67"/>
      <c r="DQE230" s="67"/>
      <c r="DRI230" s="67"/>
      <c r="DSM230" s="67"/>
      <c r="DTQ230" s="67"/>
      <c r="DUU230" s="67"/>
      <c r="DVY230" s="67"/>
      <c r="DXC230" s="67"/>
      <c r="DYG230" s="67"/>
      <c r="DZK230" s="67"/>
      <c r="EAO230" s="67"/>
      <c r="EBS230" s="67"/>
      <c r="ECW230" s="67"/>
      <c r="EEA230" s="67"/>
      <c r="EFE230" s="67"/>
      <c r="EGI230" s="67"/>
      <c r="EHM230" s="67"/>
      <c r="EIQ230" s="67"/>
      <c r="EJU230" s="67"/>
      <c r="EKY230" s="67"/>
      <c r="EMC230" s="67"/>
      <c r="ENG230" s="67"/>
      <c r="EOK230" s="67"/>
      <c r="EPO230" s="67"/>
      <c r="EQS230" s="67"/>
      <c r="ERW230" s="67"/>
      <c r="ETA230" s="67"/>
      <c r="EUE230" s="67"/>
      <c r="EVI230" s="67"/>
      <c r="EWM230" s="67"/>
      <c r="EXQ230" s="67"/>
      <c r="EYU230" s="67"/>
      <c r="EZY230" s="67"/>
      <c r="FBC230" s="67"/>
      <c r="FCG230" s="67"/>
      <c r="FDK230" s="67"/>
      <c r="FEO230" s="67"/>
      <c r="FFS230" s="67"/>
      <c r="FGW230" s="67"/>
      <c r="FIA230" s="67"/>
      <c r="FJE230" s="67"/>
      <c r="FKI230" s="67"/>
      <c r="FLM230" s="67"/>
      <c r="FMQ230" s="67"/>
      <c r="FNU230" s="67"/>
      <c r="FOY230" s="67"/>
      <c r="FQC230" s="67"/>
      <c r="FRG230" s="67"/>
      <c r="FSK230" s="67"/>
      <c r="FTO230" s="67"/>
      <c r="FUS230" s="67"/>
      <c r="FVW230" s="67"/>
      <c r="FXA230" s="67"/>
      <c r="FYE230" s="67"/>
      <c r="FZI230" s="67"/>
      <c r="GAM230" s="67"/>
      <c r="GBQ230" s="67"/>
      <c r="GCU230" s="67"/>
      <c r="GDY230" s="67"/>
      <c r="GFC230" s="67"/>
      <c r="GGG230" s="67"/>
      <c r="GHK230" s="67"/>
      <c r="GIO230" s="67"/>
      <c r="GJS230" s="67"/>
      <c r="GKW230" s="67"/>
      <c r="GMA230" s="67"/>
      <c r="GNE230" s="67"/>
      <c r="GOI230" s="67"/>
      <c r="GPM230" s="67"/>
      <c r="GQQ230" s="67"/>
      <c r="GRU230" s="67"/>
      <c r="GSY230" s="67"/>
      <c r="GUC230" s="67"/>
      <c r="GVG230" s="67"/>
      <c r="GWK230" s="67"/>
      <c r="GXO230" s="67"/>
      <c r="GYS230" s="67"/>
      <c r="GZW230" s="67"/>
      <c r="HBA230" s="67"/>
      <c r="HCE230" s="67"/>
      <c r="HDI230" s="67"/>
      <c r="HEM230" s="67"/>
      <c r="HFQ230" s="67"/>
      <c r="HGU230" s="67"/>
      <c r="HHY230" s="67"/>
      <c r="HJC230" s="67"/>
      <c r="HKG230" s="67"/>
      <c r="HLK230" s="67"/>
      <c r="HMO230" s="67"/>
      <c r="HNS230" s="67"/>
      <c r="HOW230" s="67"/>
      <c r="HQA230" s="67"/>
      <c r="HRE230" s="67"/>
      <c r="HSI230" s="67"/>
      <c r="HTM230" s="67"/>
      <c r="HUQ230" s="67"/>
      <c r="HVU230" s="67"/>
      <c r="HWY230" s="67"/>
      <c r="HYC230" s="67"/>
      <c r="HZG230" s="67"/>
      <c r="IAK230" s="67"/>
      <c r="IBO230" s="67"/>
      <c r="ICS230" s="67"/>
      <c r="IDW230" s="67"/>
      <c r="IFA230" s="67"/>
      <c r="IGE230" s="67"/>
      <c r="IHI230" s="67"/>
      <c r="IIM230" s="67"/>
      <c r="IJQ230" s="67"/>
      <c r="IKU230" s="67"/>
      <c r="ILY230" s="67"/>
      <c r="INC230" s="67"/>
      <c r="IOG230" s="67"/>
      <c r="IPK230" s="67"/>
      <c r="IQO230" s="67"/>
      <c r="IRS230" s="67"/>
      <c r="ISW230" s="67"/>
      <c r="IUA230" s="67"/>
      <c r="IVE230" s="67"/>
      <c r="IWI230" s="67"/>
      <c r="IXM230" s="67"/>
      <c r="IYQ230" s="67"/>
      <c r="IZU230" s="67"/>
      <c r="JAY230" s="67"/>
      <c r="JCC230" s="67"/>
      <c r="JDG230" s="67"/>
      <c r="JEK230" s="67"/>
      <c r="JFO230" s="67"/>
      <c r="JGS230" s="67"/>
      <c r="JHW230" s="67"/>
      <c r="JJA230" s="67"/>
      <c r="JKE230" s="67"/>
      <c r="JLI230" s="67"/>
      <c r="JMM230" s="67"/>
      <c r="JNQ230" s="67"/>
      <c r="JOU230" s="67"/>
      <c r="JPY230" s="67"/>
      <c r="JRC230" s="67"/>
      <c r="JSG230" s="67"/>
      <c r="JTK230" s="67"/>
      <c r="JUO230" s="67"/>
      <c r="JVS230" s="67"/>
      <c r="JWW230" s="67"/>
      <c r="JYA230" s="67"/>
      <c r="JZE230" s="67"/>
      <c r="KAI230" s="67"/>
      <c r="KBM230" s="67"/>
      <c r="KCQ230" s="67"/>
      <c r="KDU230" s="67"/>
      <c r="KEY230" s="67"/>
      <c r="KGC230" s="67"/>
      <c r="KHG230" s="67"/>
      <c r="KIK230" s="67"/>
      <c r="KJO230" s="67"/>
      <c r="KKS230" s="67"/>
      <c r="KLW230" s="67"/>
      <c r="KNA230" s="67"/>
      <c r="KOE230" s="67"/>
      <c r="KPI230" s="67"/>
      <c r="KQM230" s="67"/>
      <c r="KRQ230" s="67"/>
      <c r="KSU230" s="67"/>
      <c r="KTY230" s="67"/>
      <c r="KVC230" s="67"/>
      <c r="KWG230" s="67"/>
      <c r="KXK230" s="67"/>
      <c r="KYO230" s="67"/>
      <c r="KZS230" s="67"/>
      <c r="LAW230" s="67"/>
      <c r="LCA230" s="67"/>
      <c r="LDE230" s="67"/>
      <c r="LEI230" s="67"/>
      <c r="LFM230" s="67"/>
      <c r="LGQ230" s="67"/>
      <c r="LHU230" s="67"/>
      <c r="LIY230" s="67"/>
      <c r="LKC230" s="67"/>
      <c r="LLG230" s="67"/>
      <c r="LMK230" s="67"/>
      <c r="LNO230" s="67"/>
      <c r="LOS230" s="67"/>
      <c r="LPW230" s="67"/>
      <c r="LRA230" s="67"/>
      <c r="LSE230" s="67"/>
      <c r="LTI230" s="67"/>
      <c r="LUM230" s="67"/>
      <c r="LVQ230" s="67"/>
      <c r="LWU230" s="67"/>
      <c r="LXY230" s="67"/>
      <c r="LZC230" s="67"/>
      <c r="MAG230" s="67"/>
      <c r="MBK230" s="67"/>
      <c r="MCO230" s="67"/>
      <c r="MDS230" s="67"/>
      <c r="MEW230" s="67"/>
      <c r="MGA230" s="67"/>
      <c r="MHE230" s="67"/>
      <c r="MII230" s="67"/>
      <c r="MJM230" s="67"/>
      <c r="MKQ230" s="67"/>
      <c r="MLU230" s="67"/>
      <c r="MMY230" s="67"/>
      <c r="MOC230" s="67"/>
      <c r="MPG230" s="67"/>
      <c r="MQK230" s="67"/>
      <c r="MRO230" s="67"/>
      <c r="MSS230" s="67"/>
      <c r="MTW230" s="67"/>
      <c r="MVA230" s="67"/>
      <c r="MWE230" s="67"/>
      <c r="MXI230" s="67"/>
      <c r="MYM230" s="67"/>
      <c r="MZQ230" s="67"/>
      <c r="NAU230" s="67"/>
      <c r="NBY230" s="67"/>
      <c r="NDC230" s="67"/>
      <c r="NEG230" s="67"/>
      <c r="NFK230" s="67"/>
      <c r="NGO230" s="67"/>
      <c r="NHS230" s="67"/>
      <c r="NIW230" s="67"/>
      <c r="NKA230" s="67"/>
      <c r="NLE230" s="67"/>
      <c r="NMI230" s="67"/>
      <c r="NNM230" s="67"/>
      <c r="NOQ230" s="67"/>
      <c r="NPU230" s="67"/>
      <c r="NQY230" s="67"/>
      <c r="NSC230" s="67"/>
      <c r="NTG230" s="67"/>
      <c r="NUK230" s="67"/>
      <c r="NVO230" s="67"/>
      <c r="NWS230" s="67"/>
      <c r="NXW230" s="67"/>
      <c r="NZA230" s="67"/>
      <c r="OAE230" s="67"/>
      <c r="OBI230" s="67"/>
      <c r="OCM230" s="67"/>
      <c r="ODQ230" s="67"/>
      <c r="OEU230" s="67"/>
      <c r="OFY230" s="67"/>
      <c r="OHC230" s="67"/>
      <c r="OIG230" s="67"/>
      <c r="OJK230" s="67"/>
      <c r="OKO230" s="67"/>
      <c r="OLS230" s="67"/>
      <c r="OMW230" s="67"/>
      <c r="OOA230" s="67"/>
      <c r="OPE230" s="67"/>
      <c r="OQI230" s="67"/>
      <c r="ORM230" s="67"/>
      <c r="OSQ230" s="67"/>
      <c r="OTU230" s="67"/>
      <c r="OUY230" s="67"/>
      <c r="OWC230" s="67"/>
      <c r="OXG230" s="67"/>
      <c r="OYK230" s="67"/>
      <c r="OZO230" s="67"/>
      <c r="PAS230" s="67"/>
      <c r="PBW230" s="67"/>
      <c r="PDA230" s="67"/>
      <c r="PEE230" s="67"/>
      <c r="PFI230" s="67"/>
      <c r="PGM230" s="67"/>
      <c r="PHQ230" s="67"/>
      <c r="PIU230" s="67"/>
      <c r="PJY230" s="67"/>
      <c r="PLC230" s="67"/>
      <c r="PMG230" s="67"/>
      <c r="PNK230" s="67"/>
      <c r="POO230" s="67"/>
      <c r="PPS230" s="67"/>
      <c r="PQW230" s="67"/>
      <c r="PSA230" s="67"/>
      <c r="PTE230" s="67"/>
      <c r="PUI230" s="67"/>
      <c r="PVM230" s="67"/>
      <c r="PWQ230" s="67"/>
      <c r="PXU230" s="67"/>
      <c r="PYY230" s="67"/>
      <c r="QAC230" s="67"/>
      <c r="QBG230" s="67"/>
      <c r="QCK230" s="67"/>
      <c r="QDO230" s="67"/>
      <c r="QES230" s="67"/>
      <c r="QFW230" s="67"/>
      <c r="QHA230" s="67"/>
      <c r="QIE230" s="67"/>
      <c r="QJI230" s="67"/>
      <c r="QKM230" s="67"/>
      <c r="QLQ230" s="67"/>
      <c r="QMU230" s="67"/>
      <c r="QNY230" s="67"/>
      <c r="QPC230" s="67"/>
      <c r="QQG230" s="67"/>
      <c r="QRK230" s="67"/>
      <c r="QSO230" s="67"/>
      <c r="QTS230" s="67"/>
      <c r="QUW230" s="67"/>
      <c r="QWA230" s="67"/>
      <c r="QXE230" s="67"/>
      <c r="QYI230" s="67"/>
      <c r="QZM230" s="67"/>
      <c r="RAQ230" s="67"/>
      <c r="RBU230" s="67"/>
      <c r="RCY230" s="67"/>
      <c r="REC230" s="67"/>
      <c r="RFG230" s="67"/>
      <c r="RGK230" s="67"/>
      <c r="RHO230" s="67"/>
      <c r="RIS230" s="67"/>
      <c r="RJW230" s="67"/>
      <c r="RLA230" s="67"/>
      <c r="RME230" s="67"/>
      <c r="RNI230" s="67"/>
      <c r="ROM230" s="67"/>
      <c r="RPQ230" s="67"/>
      <c r="RQU230" s="67"/>
      <c r="RRY230" s="67"/>
      <c r="RTC230" s="67"/>
      <c r="RUG230" s="67"/>
      <c r="RVK230" s="67"/>
      <c r="RWO230" s="67"/>
      <c r="RXS230" s="67"/>
      <c r="RYW230" s="67"/>
      <c r="SAA230" s="67"/>
      <c r="SBE230" s="67"/>
      <c r="SCI230" s="67"/>
      <c r="SDM230" s="67"/>
      <c r="SEQ230" s="67"/>
      <c r="SFU230" s="67"/>
      <c r="SGY230" s="67"/>
      <c r="SIC230" s="67"/>
      <c r="SJG230" s="67"/>
      <c r="SKK230" s="67"/>
      <c r="SLO230" s="67"/>
      <c r="SMS230" s="67"/>
      <c r="SNW230" s="67"/>
      <c r="SPA230" s="67"/>
      <c r="SQE230" s="67"/>
      <c r="SRI230" s="67"/>
      <c r="SSM230" s="67"/>
      <c r="STQ230" s="67"/>
      <c r="SUU230" s="67"/>
      <c r="SVY230" s="67"/>
      <c r="SXC230" s="67"/>
      <c r="SYG230" s="67"/>
      <c r="SZK230" s="67"/>
      <c r="TAO230" s="67"/>
      <c r="TBS230" s="67"/>
      <c r="TCW230" s="67"/>
      <c r="TEA230" s="67"/>
      <c r="TFE230" s="67"/>
      <c r="TGI230" s="67"/>
      <c r="THM230" s="67"/>
      <c r="TIQ230" s="67"/>
      <c r="TJU230" s="67"/>
      <c r="TKY230" s="67"/>
      <c r="TMC230" s="67"/>
      <c r="TNG230" s="67"/>
      <c r="TOK230" s="67"/>
      <c r="TPO230" s="67"/>
      <c r="TQS230" s="67"/>
      <c r="TRW230" s="67"/>
      <c r="TTA230" s="67"/>
      <c r="TUE230" s="67"/>
      <c r="TVI230" s="67"/>
      <c r="TWM230" s="67"/>
      <c r="TXQ230" s="67"/>
      <c r="TYU230" s="67"/>
      <c r="TZY230" s="67"/>
      <c r="UBC230" s="67"/>
      <c r="UCG230" s="67"/>
      <c r="UDK230" s="67"/>
      <c r="UEO230" s="67"/>
      <c r="UFS230" s="67"/>
      <c r="UGW230" s="67"/>
      <c r="UIA230" s="67"/>
      <c r="UJE230" s="67"/>
      <c r="UKI230" s="67"/>
      <c r="ULM230" s="67"/>
      <c r="UMQ230" s="67"/>
      <c r="UNU230" s="67"/>
      <c r="UOY230" s="67"/>
      <c r="UQC230" s="67"/>
      <c r="URG230" s="67"/>
      <c r="USK230" s="67"/>
      <c r="UTO230" s="67"/>
      <c r="UUS230" s="67"/>
      <c r="UVW230" s="67"/>
      <c r="UXA230" s="67"/>
      <c r="UYE230" s="67"/>
      <c r="UZI230" s="67"/>
      <c r="VAM230" s="67"/>
      <c r="VBQ230" s="67"/>
      <c r="VCU230" s="67"/>
      <c r="VDY230" s="67"/>
      <c r="VFC230" s="67"/>
      <c r="VGG230" s="67"/>
      <c r="VHK230" s="67"/>
      <c r="VIO230" s="67"/>
      <c r="VJS230" s="67"/>
      <c r="VKW230" s="67"/>
      <c r="VMA230" s="67"/>
      <c r="VNE230" s="67"/>
      <c r="VOI230" s="67"/>
      <c r="VPM230" s="67"/>
      <c r="VQQ230" s="67"/>
      <c r="VRU230" s="67"/>
      <c r="VSY230" s="67"/>
      <c r="VUC230" s="67"/>
      <c r="VVG230" s="67"/>
      <c r="VWK230" s="67"/>
      <c r="VXO230" s="67"/>
      <c r="VYS230" s="67"/>
      <c r="VZW230" s="67"/>
      <c r="WBA230" s="67"/>
      <c r="WCE230" s="67"/>
      <c r="WDI230" s="67"/>
      <c r="WEM230" s="67"/>
      <c r="WFQ230" s="67"/>
      <c r="WGU230" s="67"/>
      <c r="WHY230" s="67"/>
      <c r="WJC230" s="67"/>
      <c r="WKG230" s="67"/>
      <c r="WLK230" s="67"/>
      <c r="WMO230" s="67"/>
      <c r="WNS230" s="67"/>
      <c r="WOW230" s="67"/>
      <c r="WQA230" s="67"/>
      <c r="WRE230" s="67"/>
      <c r="WSI230" s="67"/>
      <c r="WTM230" s="67"/>
      <c r="WUQ230" s="67"/>
      <c r="WVU230" s="67"/>
      <c r="WWY230" s="67"/>
      <c r="WYC230" s="67"/>
      <c r="WZG230" s="67"/>
      <c r="XAK230" s="67"/>
      <c r="XBO230" s="67"/>
      <c r="XCS230" s="67"/>
      <c r="XDW230" s="67"/>
      <c r="XFA230" s="67"/>
    </row>
    <row r="231" spans="1:1021 1051:2041 2071:3061 3091:4081 4111:5101 5131:6121 6151:7141 7171:8191 8221:9211 9241:10231 10261:11251 11281:12271 12301:13291 13321:14311 14341:15331 15361:16381">
      <c r="A231" s="67" t="s">
        <v>12</v>
      </c>
      <c r="B231" s="36">
        <v>9980.7031047037453</v>
      </c>
      <c r="C231" s="36">
        <v>10052.111787323</v>
      </c>
      <c r="D231" s="36">
        <v>10115.690321255341</v>
      </c>
      <c r="E231" s="36">
        <v>10172.865191437562</v>
      </c>
      <c r="F231" s="36">
        <v>10197.162679098466</v>
      </c>
      <c r="G231" s="36">
        <v>10217.194739453073</v>
      </c>
      <c r="H231" s="36">
        <v>10234.304631403826</v>
      </c>
      <c r="I231" s="36">
        <v>10249.02837933208</v>
      </c>
      <c r="J231" s="36">
        <v>10261.632968779897</v>
      </c>
      <c r="K231" s="36">
        <v>10261.92231777473</v>
      </c>
      <c r="L231" s="36">
        <v>10260.433862956452</v>
      </c>
      <c r="M231" s="36">
        <v>10257.700920948599</v>
      </c>
      <c r="N231" s="36">
        <v>10253.940620149711</v>
      </c>
      <c r="O231" s="36">
        <v>10249.261151396748</v>
      </c>
      <c r="P231" s="36">
        <v>10233.92242271533</v>
      </c>
      <c r="Q231" s="36">
        <v>10217.959344582545</v>
      </c>
      <c r="R231" s="36">
        <v>10201.982518946465</v>
      </c>
      <c r="S231" s="36">
        <v>10186.251103639443</v>
      </c>
      <c r="T231" s="36">
        <v>10170.894298279816</v>
      </c>
      <c r="U231" s="36">
        <v>10148.175113899928</v>
      </c>
      <c r="V231" s="36">
        <v>10126.208081011295</v>
      </c>
      <c r="W231" s="36">
        <v>10105.690592057159</v>
      </c>
      <c r="X231" s="36">
        <v>10086.936150511474</v>
      </c>
      <c r="Y231" s="36">
        <v>10070.10120728107</v>
      </c>
      <c r="Z231" s="36">
        <v>10050.866326621919</v>
      </c>
      <c r="AA231" s="36">
        <v>10034.01738313585</v>
      </c>
      <c r="AB231" s="36">
        <v>10020.304232026074</v>
      </c>
      <c r="AC231" s="36">
        <v>10010.084611682016</v>
      </c>
      <c r="AD231" s="36">
        <v>10003.537243628554</v>
      </c>
    </row>
    <row r="232" spans="1:1021 1051:2041 2071:3061 3091:4081 4111:5101 5131:6121 6151:7141 7171:8191 8221:9211 9241:10231 10261:11251 11281:12271 12301:13291 13321:14311 14341:15331 15361:16381">
      <c r="A232" s="67" t="s">
        <v>15</v>
      </c>
      <c r="B232" s="36">
        <v>9980.7031047037453</v>
      </c>
      <c r="C232" s="36">
        <v>9967.8126686358264</v>
      </c>
      <c r="D232" s="36">
        <v>9950.3426357251319</v>
      </c>
      <c r="E232" s="36">
        <v>9931.4104446058482</v>
      </c>
      <c r="F232" s="36">
        <v>9928.725646096862</v>
      </c>
      <c r="G232" s="36">
        <v>9926.7458726730038</v>
      </c>
      <c r="H232" s="36">
        <v>9925.200313904721</v>
      </c>
      <c r="I232" s="36">
        <v>9924.0324725196151</v>
      </c>
      <c r="J232" s="36">
        <v>9923.2149263572428</v>
      </c>
      <c r="K232" s="36">
        <v>9923.2546847511167</v>
      </c>
      <c r="L232" s="36">
        <v>9923.6166692495444</v>
      </c>
      <c r="M232" s="36">
        <v>9924.2723273546635</v>
      </c>
      <c r="N232" s="36">
        <v>9925.2098954655794</v>
      </c>
      <c r="O232" s="36">
        <v>9926.4235172638655</v>
      </c>
      <c r="P232" s="36">
        <v>9928.2169246440753</v>
      </c>
      <c r="Q232" s="36">
        <v>9930.2748694926959</v>
      </c>
      <c r="R232" s="36">
        <v>9932.5780276038058</v>
      </c>
      <c r="S232" s="36">
        <v>9935.1181905967205</v>
      </c>
      <c r="T232" s="36">
        <v>9937.8912688491218</v>
      </c>
      <c r="U232" s="36">
        <v>9941.1132902024674</v>
      </c>
      <c r="V232" s="36">
        <v>9944.556317494722</v>
      </c>
      <c r="W232" s="36">
        <v>9948.2011939141612</v>
      </c>
      <c r="X232" s="36">
        <v>9952.0393371053233</v>
      </c>
      <c r="Y232" s="36">
        <v>9956.0664655929268</v>
      </c>
      <c r="Z232" s="36">
        <v>9960.2940459073016</v>
      </c>
      <c r="AA232" s="36">
        <v>9964.7058069208961</v>
      </c>
      <c r="AB232" s="36">
        <v>9969.2991981726082</v>
      </c>
      <c r="AC232" s="36">
        <v>9974.0730029444185</v>
      </c>
      <c r="AD232" s="36">
        <v>9979.0266133483019</v>
      </c>
    </row>
    <row r="233" spans="1:1021 1051:2041 2071:3061 3091:4081 4111:5101 5131:6121 6151:7141 7171:8191 8221:9211 9241:10231 10261:11251 11281:12271 12301:13291 13321:14311 14341:15331 15361:16381">
      <c r="A233" s="67" t="s">
        <v>19</v>
      </c>
      <c r="B233" s="36">
        <v>9980.7031047037453</v>
      </c>
      <c r="C233" s="36">
        <v>9967.8126686358264</v>
      </c>
      <c r="D233" s="36">
        <v>9950.3426357251319</v>
      </c>
      <c r="E233" s="36">
        <v>9931.4104446058482</v>
      </c>
      <c r="F233" s="36">
        <v>9928.725646096862</v>
      </c>
      <c r="G233" s="36">
        <v>9926.7458726730038</v>
      </c>
      <c r="H233" s="36">
        <v>9925.200313904721</v>
      </c>
      <c r="I233" s="36">
        <v>9924.0324725196151</v>
      </c>
      <c r="J233" s="36">
        <v>9923.2149263572428</v>
      </c>
      <c r="K233" s="36">
        <v>10261.66964894342</v>
      </c>
      <c r="L233" s="36">
        <v>10597.547096628467</v>
      </c>
      <c r="M233" s="36">
        <v>10913.327510788486</v>
      </c>
      <c r="N233" s="36">
        <v>11201.792196138405</v>
      </c>
      <c r="O233" s="36">
        <v>11459.342747299934</v>
      </c>
      <c r="P233" s="36">
        <v>11556.804526584956</v>
      </c>
      <c r="Q233" s="36">
        <v>11624.431297675941</v>
      </c>
      <c r="R233" s="36">
        <v>11669.07226225229</v>
      </c>
      <c r="S233" s="36">
        <v>11693.555387277076</v>
      </c>
      <c r="T233" s="36">
        <v>11699.297104623747</v>
      </c>
      <c r="U233" s="36">
        <v>11672.671972054448</v>
      </c>
      <c r="V233" s="36">
        <v>11628.972946097943</v>
      </c>
      <c r="W233" s="36">
        <v>11569.562639559696</v>
      </c>
      <c r="X233" s="36">
        <v>11495.060829296164</v>
      </c>
      <c r="Y233" s="36">
        <v>11405.778057964117</v>
      </c>
      <c r="Z233" s="36">
        <v>11293.929717124787</v>
      </c>
      <c r="AA233" s="36">
        <v>11168.23560522457</v>
      </c>
      <c r="AB233" s="36">
        <v>11029.981434061889</v>
      </c>
      <c r="AC233" s="36">
        <v>10879.777695571251</v>
      </c>
      <c r="AD233" s="36">
        <v>10717.926285776142</v>
      </c>
    </row>
    <row r="234" spans="1:1021 1051:2041 2071:3061 3091:4081 4111:5101 5131:6121 6151:7141 7171:8191 8221:9211 9241:10231 10261:11251 11281:12271 12301:13291 13321:14311 14341:15331 15361:16381">
      <c r="A234" s="67" t="s">
        <v>22</v>
      </c>
      <c r="B234" s="36">
        <v>9980.7031047037453</v>
      </c>
      <c r="C234" s="36">
        <v>10719.524743298663</v>
      </c>
      <c r="D234" s="36">
        <v>11426.437684134633</v>
      </c>
      <c r="E234" s="36">
        <v>12087.704857869154</v>
      </c>
      <c r="F234" s="36">
        <v>12257.272303656691</v>
      </c>
      <c r="G234" s="36">
        <v>12383.98082376508</v>
      </c>
      <c r="H234" s="36">
        <v>12484.690124288005</v>
      </c>
      <c r="I234" s="36">
        <v>12565.687406150564</v>
      </c>
      <c r="J234" s="36">
        <v>12630.115408849302</v>
      </c>
      <c r="K234" s="36">
        <v>12594.620024656164</v>
      </c>
      <c r="L234" s="36">
        <v>12547.201423458109</v>
      </c>
      <c r="M234" s="36">
        <v>12491.709177098452</v>
      </c>
      <c r="N234" s="36">
        <v>12429.65857137479</v>
      </c>
      <c r="O234" s="36">
        <v>12361.808992473274</v>
      </c>
      <c r="P234" s="36">
        <v>12216.358854441414</v>
      </c>
      <c r="Q234" s="36">
        <v>12068.152511497865</v>
      </c>
      <c r="R234" s="36">
        <v>11921.116848491127</v>
      </c>
      <c r="S234" s="36">
        <v>11776.8712898351</v>
      </c>
      <c r="T234" s="36">
        <v>11636.225343395006</v>
      </c>
      <c r="U234" s="36">
        <v>11465.750157264336</v>
      </c>
      <c r="V234" s="36">
        <v>11300.942139267589</v>
      </c>
      <c r="W234" s="36">
        <v>11144.669287996023</v>
      </c>
      <c r="X234" s="36">
        <v>10998.213853498097</v>
      </c>
      <c r="Y234" s="36">
        <v>10862.217051749732</v>
      </c>
      <c r="Z234" s="36">
        <v>10703.415042081859</v>
      </c>
      <c r="AA234" s="36">
        <v>10558.407267141894</v>
      </c>
      <c r="AB234" s="36">
        <v>10432.678980111592</v>
      </c>
      <c r="AC234" s="36">
        <v>10328.843941831066</v>
      </c>
      <c r="AD234" s="36">
        <v>10248.210562897664</v>
      </c>
    </row>
    <row r="235" spans="1:1021 1051:2041 2071:3061 3091:4081 4111:5101 5131:6121 6151:7141 7171:8191 8221:9211 9241:10231 10261:11251 11281:12271 12301:13291 13321:14311 14341:15331 15361:16381">
      <c r="A235" s="67" t="s">
        <v>24</v>
      </c>
      <c r="B235" s="36">
        <v>9980.7031047037453</v>
      </c>
      <c r="C235" s="36">
        <v>10095.614126531664</v>
      </c>
      <c r="D235" s="36">
        <v>10201.157534584358</v>
      </c>
      <c r="E235" s="36">
        <v>10297.833617449422</v>
      </c>
      <c r="F235" s="36">
        <v>10360.348873237928</v>
      </c>
      <c r="G235" s="36">
        <v>10415.615650575883</v>
      </c>
      <c r="H235" s="36">
        <v>10464.937662091768</v>
      </c>
      <c r="I235" s="36">
        <v>10508.840865797434</v>
      </c>
      <c r="J235" s="36">
        <v>10547.587980590484</v>
      </c>
      <c r="K235" s="36">
        <v>10516.062401328341</v>
      </c>
      <c r="L235" s="36">
        <v>10480.74553486207</v>
      </c>
      <c r="M235" s="36">
        <v>10444.677743267057</v>
      </c>
      <c r="N235" s="36">
        <v>10409.06246366352</v>
      </c>
      <c r="O235" s="36">
        <v>10374.498585240677</v>
      </c>
      <c r="P235" s="36">
        <v>10343.11722940859</v>
      </c>
      <c r="Q235" s="36">
        <v>10313.188529926612</v>
      </c>
      <c r="R235" s="36">
        <v>10284.680388937113</v>
      </c>
      <c r="S235" s="36">
        <v>10257.585509452989</v>
      </c>
      <c r="T235" s="36">
        <v>10231.900326634035</v>
      </c>
      <c r="U235" s="36">
        <v>10209.057683671299</v>
      </c>
      <c r="V235" s="36">
        <v>10187.562415113785</v>
      </c>
      <c r="W235" s="36">
        <v>10167.292928986275</v>
      </c>
      <c r="X235" s="36">
        <v>10148.194958010919</v>
      </c>
      <c r="Y235" s="36">
        <v>10130.241406198204</v>
      </c>
      <c r="Z235" s="36">
        <v>10113.482004455342</v>
      </c>
      <c r="AA235" s="36">
        <v>10097.840936471055</v>
      </c>
      <c r="AB235" s="36">
        <v>10083.304645178725</v>
      </c>
      <c r="AC235" s="36">
        <v>10069.86659920105</v>
      </c>
      <c r="AD235" s="36">
        <v>10057.523530171349</v>
      </c>
    </row>
    <row r="236" spans="1:1021 1051:2041 2071:3061 3091:4081 4111:5101 5131:6121 6151:7141 7171:8191 8221:9211 9241:10231 10261:11251 11281:12271 12301:13291 13321:14311 14341:15331 15361:16381">
      <c r="A236" s="67" t="s">
        <v>25</v>
      </c>
      <c r="B236" s="36">
        <v>9980.7031047037453</v>
      </c>
      <c r="C236" s="36">
        <v>10283.340772475118</v>
      </c>
      <c r="D236" s="36">
        <v>10570.655543265151</v>
      </c>
      <c r="E236" s="36">
        <v>10838.616629744522</v>
      </c>
      <c r="F236" s="36">
        <v>10907.527397688487</v>
      </c>
      <c r="G236" s="36">
        <v>10958.692232612781</v>
      </c>
      <c r="H236" s="36">
        <v>10999.151273808377</v>
      </c>
      <c r="I236" s="36">
        <v>11031.554842947844</v>
      </c>
      <c r="J236" s="36">
        <v>11057.224068579219</v>
      </c>
      <c r="K236" s="36">
        <v>11199.530181856697</v>
      </c>
      <c r="L236" s="36">
        <v>11333.691628151109</v>
      </c>
      <c r="M236" s="36">
        <v>11454.338392956588</v>
      </c>
      <c r="N236" s="36">
        <v>11559.378408500759</v>
      </c>
      <c r="O236" s="36">
        <v>11647.770746730856</v>
      </c>
      <c r="P236" s="36">
        <v>11678.230056210465</v>
      </c>
      <c r="Q236" s="36">
        <v>11692.419998312558</v>
      </c>
      <c r="R236" s="36">
        <v>11692.522339421726</v>
      </c>
      <c r="S236" s="36">
        <v>11679.440531467208</v>
      </c>
      <c r="T236" s="36">
        <v>11653.628786825151</v>
      </c>
      <c r="U236" s="36">
        <v>11595.646390973605</v>
      </c>
      <c r="V236" s="36">
        <v>11526.10339742408</v>
      </c>
      <c r="W236" s="36">
        <v>11446.676505473892</v>
      </c>
      <c r="X236" s="36">
        <v>11358.118581848435</v>
      </c>
      <c r="Y236" s="36">
        <v>11260.806905743355</v>
      </c>
      <c r="Z236" s="36">
        <v>11139.92055534738</v>
      </c>
      <c r="AA236" s="36">
        <v>11011.854998274912</v>
      </c>
      <c r="AB236" s="36">
        <v>10879.04496998475</v>
      </c>
      <c r="AC236" s="36">
        <v>10742.651546496967</v>
      </c>
      <c r="AD236" s="36">
        <v>10603.255063181732</v>
      </c>
    </row>
    <row r="237" spans="1:1021 1051:2041 2071:3061 3091:4081 4111:5101 5131:6121 6151:7141 7171:8191 8221:9211 9241:10231 10261:11251 11281:12271 12301:13291 13321:14311 14341:15331 15361:16381">
      <c r="A237" s="69"/>
    </row>
    <row r="238" spans="1:1021 1051:2041 2071:3061 3091:4081 4111:5101 5131:6121 6151:7141 7171:8191 8221:9211 9241:10231 10261:11251 11281:12271 12301:13291 13321:14311 14341:15331 15361:16381" s="68" customFormat="1">
      <c r="A238" s="67" t="s">
        <v>44</v>
      </c>
      <c r="B238" s="68">
        <v>2022</v>
      </c>
      <c r="C238" s="68">
        <v>2023</v>
      </c>
      <c r="D238" s="68">
        <v>2024</v>
      </c>
      <c r="E238" s="68">
        <v>2025</v>
      </c>
      <c r="F238" s="68">
        <v>2026</v>
      </c>
      <c r="G238" s="68">
        <v>2027</v>
      </c>
      <c r="H238" s="68">
        <v>2028</v>
      </c>
      <c r="I238" s="68">
        <v>2029</v>
      </c>
      <c r="J238" s="68">
        <v>2030</v>
      </c>
      <c r="K238" s="68">
        <v>2031</v>
      </c>
      <c r="L238" s="68">
        <v>2032</v>
      </c>
      <c r="M238" s="68">
        <v>2033</v>
      </c>
      <c r="N238" s="68">
        <v>2034</v>
      </c>
      <c r="O238" s="68">
        <v>2035</v>
      </c>
      <c r="P238" s="68">
        <v>2036</v>
      </c>
      <c r="Q238" s="68">
        <v>2037</v>
      </c>
      <c r="R238" s="68">
        <v>2038</v>
      </c>
      <c r="S238" s="68">
        <v>2039</v>
      </c>
      <c r="T238" s="68">
        <v>2040</v>
      </c>
      <c r="U238" s="68">
        <v>2041</v>
      </c>
      <c r="V238" s="68">
        <v>2042</v>
      </c>
      <c r="W238" s="68">
        <v>2043</v>
      </c>
      <c r="X238" s="68">
        <v>2044</v>
      </c>
      <c r="Y238" s="68">
        <v>2045</v>
      </c>
      <c r="Z238" s="68">
        <v>2046</v>
      </c>
      <c r="AA238" s="68">
        <v>2047</v>
      </c>
      <c r="AB238" s="68">
        <v>2048</v>
      </c>
      <c r="AC238" s="68">
        <v>2049</v>
      </c>
      <c r="AD238" s="68">
        <v>2050</v>
      </c>
      <c r="AE238" s="67"/>
      <c r="BI238" s="67"/>
      <c r="CM238" s="67"/>
      <c r="DQ238" s="67"/>
      <c r="EU238" s="67"/>
      <c r="FY238" s="67"/>
      <c r="HC238" s="67"/>
      <c r="IG238" s="67"/>
      <c r="JK238" s="67"/>
      <c r="KO238" s="67"/>
      <c r="LS238" s="67"/>
      <c r="MW238" s="67"/>
      <c r="OA238" s="67"/>
      <c r="PE238" s="67"/>
      <c r="QI238" s="67"/>
      <c r="RM238" s="67"/>
      <c r="SQ238" s="67"/>
      <c r="TU238" s="67"/>
      <c r="UY238" s="67"/>
      <c r="WC238" s="67"/>
      <c r="XG238" s="67"/>
      <c r="YK238" s="67"/>
      <c r="ZO238" s="67"/>
      <c r="AAS238" s="67"/>
      <c r="ABW238" s="67"/>
      <c r="ADA238" s="67"/>
      <c r="AEE238" s="67"/>
      <c r="AFI238" s="67"/>
      <c r="AGM238" s="67"/>
      <c r="AHQ238" s="67"/>
      <c r="AIU238" s="67"/>
      <c r="AJY238" s="67"/>
      <c r="ALC238" s="67"/>
      <c r="AMG238" s="67"/>
      <c r="ANK238" s="67"/>
      <c r="AOO238" s="67"/>
      <c r="APS238" s="67"/>
      <c r="AQW238" s="67"/>
      <c r="ASA238" s="67"/>
      <c r="ATE238" s="67"/>
      <c r="AUI238" s="67"/>
      <c r="AVM238" s="67"/>
      <c r="AWQ238" s="67"/>
      <c r="AXU238" s="67"/>
      <c r="AYY238" s="67"/>
      <c r="BAC238" s="67"/>
      <c r="BBG238" s="67"/>
      <c r="BCK238" s="67"/>
      <c r="BDO238" s="67"/>
      <c r="BES238" s="67"/>
      <c r="BFW238" s="67"/>
      <c r="BHA238" s="67"/>
      <c r="BIE238" s="67"/>
      <c r="BJI238" s="67"/>
      <c r="BKM238" s="67"/>
      <c r="BLQ238" s="67"/>
      <c r="BMU238" s="67"/>
      <c r="BNY238" s="67"/>
      <c r="BPC238" s="67"/>
      <c r="BQG238" s="67"/>
      <c r="BRK238" s="67"/>
      <c r="BSO238" s="67"/>
      <c r="BTS238" s="67"/>
      <c r="BUW238" s="67"/>
      <c r="BWA238" s="67"/>
      <c r="BXE238" s="67"/>
      <c r="BYI238" s="67"/>
      <c r="BZM238" s="67"/>
      <c r="CAQ238" s="67"/>
      <c r="CBU238" s="67"/>
      <c r="CCY238" s="67"/>
      <c r="CEC238" s="67"/>
      <c r="CFG238" s="67"/>
      <c r="CGK238" s="67"/>
      <c r="CHO238" s="67"/>
      <c r="CIS238" s="67"/>
      <c r="CJW238" s="67"/>
      <c r="CLA238" s="67"/>
      <c r="CME238" s="67"/>
      <c r="CNI238" s="67"/>
      <c r="COM238" s="67"/>
      <c r="CPQ238" s="67"/>
      <c r="CQU238" s="67"/>
      <c r="CRY238" s="67"/>
      <c r="CTC238" s="67"/>
      <c r="CUG238" s="67"/>
      <c r="CVK238" s="67"/>
      <c r="CWO238" s="67"/>
      <c r="CXS238" s="67"/>
      <c r="CYW238" s="67"/>
      <c r="DAA238" s="67"/>
      <c r="DBE238" s="67"/>
      <c r="DCI238" s="67"/>
      <c r="DDM238" s="67"/>
      <c r="DEQ238" s="67"/>
      <c r="DFU238" s="67"/>
      <c r="DGY238" s="67"/>
      <c r="DIC238" s="67"/>
      <c r="DJG238" s="67"/>
      <c r="DKK238" s="67"/>
      <c r="DLO238" s="67"/>
      <c r="DMS238" s="67"/>
      <c r="DNW238" s="67"/>
      <c r="DPA238" s="67"/>
      <c r="DQE238" s="67"/>
      <c r="DRI238" s="67"/>
      <c r="DSM238" s="67"/>
      <c r="DTQ238" s="67"/>
      <c r="DUU238" s="67"/>
      <c r="DVY238" s="67"/>
      <c r="DXC238" s="67"/>
      <c r="DYG238" s="67"/>
      <c r="DZK238" s="67"/>
      <c r="EAO238" s="67"/>
      <c r="EBS238" s="67"/>
      <c r="ECW238" s="67"/>
      <c r="EEA238" s="67"/>
      <c r="EFE238" s="67"/>
      <c r="EGI238" s="67"/>
      <c r="EHM238" s="67"/>
      <c r="EIQ238" s="67"/>
      <c r="EJU238" s="67"/>
      <c r="EKY238" s="67"/>
      <c r="EMC238" s="67"/>
      <c r="ENG238" s="67"/>
      <c r="EOK238" s="67"/>
      <c r="EPO238" s="67"/>
      <c r="EQS238" s="67"/>
      <c r="ERW238" s="67"/>
      <c r="ETA238" s="67"/>
      <c r="EUE238" s="67"/>
      <c r="EVI238" s="67"/>
      <c r="EWM238" s="67"/>
      <c r="EXQ238" s="67"/>
      <c r="EYU238" s="67"/>
      <c r="EZY238" s="67"/>
      <c r="FBC238" s="67"/>
      <c r="FCG238" s="67"/>
      <c r="FDK238" s="67"/>
      <c r="FEO238" s="67"/>
      <c r="FFS238" s="67"/>
      <c r="FGW238" s="67"/>
      <c r="FIA238" s="67"/>
      <c r="FJE238" s="67"/>
      <c r="FKI238" s="67"/>
      <c r="FLM238" s="67"/>
      <c r="FMQ238" s="67"/>
      <c r="FNU238" s="67"/>
      <c r="FOY238" s="67"/>
      <c r="FQC238" s="67"/>
      <c r="FRG238" s="67"/>
      <c r="FSK238" s="67"/>
      <c r="FTO238" s="67"/>
      <c r="FUS238" s="67"/>
      <c r="FVW238" s="67"/>
      <c r="FXA238" s="67"/>
      <c r="FYE238" s="67"/>
      <c r="FZI238" s="67"/>
      <c r="GAM238" s="67"/>
      <c r="GBQ238" s="67"/>
      <c r="GCU238" s="67"/>
      <c r="GDY238" s="67"/>
      <c r="GFC238" s="67"/>
      <c r="GGG238" s="67"/>
      <c r="GHK238" s="67"/>
      <c r="GIO238" s="67"/>
      <c r="GJS238" s="67"/>
      <c r="GKW238" s="67"/>
      <c r="GMA238" s="67"/>
      <c r="GNE238" s="67"/>
      <c r="GOI238" s="67"/>
      <c r="GPM238" s="67"/>
      <c r="GQQ238" s="67"/>
      <c r="GRU238" s="67"/>
      <c r="GSY238" s="67"/>
      <c r="GUC238" s="67"/>
      <c r="GVG238" s="67"/>
      <c r="GWK238" s="67"/>
      <c r="GXO238" s="67"/>
      <c r="GYS238" s="67"/>
      <c r="GZW238" s="67"/>
      <c r="HBA238" s="67"/>
      <c r="HCE238" s="67"/>
      <c r="HDI238" s="67"/>
      <c r="HEM238" s="67"/>
      <c r="HFQ238" s="67"/>
      <c r="HGU238" s="67"/>
      <c r="HHY238" s="67"/>
      <c r="HJC238" s="67"/>
      <c r="HKG238" s="67"/>
      <c r="HLK238" s="67"/>
      <c r="HMO238" s="67"/>
      <c r="HNS238" s="67"/>
      <c r="HOW238" s="67"/>
      <c r="HQA238" s="67"/>
      <c r="HRE238" s="67"/>
      <c r="HSI238" s="67"/>
      <c r="HTM238" s="67"/>
      <c r="HUQ238" s="67"/>
      <c r="HVU238" s="67"/>
      <c r="HWY238" s="67"/>
      <c r="HYC238" s="67"/>
      <c r="HZG238" s="67"/>
      <c r="IAK238" s="67"/>
      <c r="IBO238" s="67"/>
      <c r="ICS238" s="67"/>
      <c r="IDW238" s="67"/>
      <c r="IFA238" s="67"/>
      <c r="IGE238" s="67"/>
      <c r="IHI238" s="67"/>
      <c r="IIM238" s="67"/>
      <c r="IJQ238" s="67"/>
      <c r="IKU238" s="67"/>
      <c r="ILY238" s="67"/>
      <c r="INC238" s="67"/>
      <c r="IOG238" s="67"/>
      <c r="IPK238" s="67"/>
      <c r="IQO238" s="67"/>
      <c r="IRS238" s="67"/>
      <c r="ISW238" s="67"/>
      <c r="IUA238" s="67"/>
      <c r="IVE238" s="67"/>
      <c r="IWI238" s="67"/>
      <c r="IXM238" s="67"/>
      <c r="IYQ238" s="67"/>
      <c r="IZU238" s="67"/>
      <c r="JAY238" s="67"/>
      <c r="JCC238" s="67"/>
      <c r="JDG238" s="67"/>
      <c r="JEK238" s="67"/>
      <c r="JFO238" s="67"/>
      <c r="JGS238" s="67"/>
      <c r="JHW238" s="67"/>
      <c r="JJA238" s="67"/>
      <c r="JKE238" s="67"/>
      <c r="JLI238" s="67"/>
      <c r="JMM238" s="67"/>
      <c r="JNQ238" s="67"/>
      <c r="JOU238" s="67"/>
      <c r="JPY238" s="67"/>
      <c r="JRC238" s="67"/>
      <c r="JSG238" s="67"/>
      <c r="JTK238" s="67"/>
      <c r="JUO238" s="67"/>
      <c r="JVS238" s="67"/>
      <c r="JWW238" s="67"/>
      <c r="JYA238" s="67"/>
      <c r="JZE238" s="67"/>
      <c r="KAI238" s="67"/>
      <c r="KBM238" s="67"/>
      <c r="KCQ238" s="67"/>
      <c r="KDU238" s="67"/>
      <c r="KEY238" s="67"/>
      <c r="KGC238" s="67"/>
      <c r="KHG238" s="67"/>
      <c r="KIK238" s="67"/>
      <c r="KJO238" s="67"/>
      <c r="KKS238" s="67"/>
      <c r="KLW238" s="67"/>
      <c r="KNA238" s="67"/>
      <c r="KOE238" s="67"/>
      <c r="KPI238" s="67"/>
      <c r="KQM238" s="67"/>
      <c r="KRQ238" s="67"/>
      <c r="KSU238" s="67"/>
      <c r="KTY238" s="67"/>
      <c r="KVC238" s="67"/>
      <c r="KWG238" s="67"/>
      <c r="KXK238" s="67"/>
      <c r="KYO238" s="67"/>
      <c r="KZS238" s="67"/>
      <c r="LAW238" s="67"/>
      <c r="LCA238" s="67"/>
      <c r="LDE238" s="67"/>
      <c r="LEI238" s="67"/>
      <c r="LFM238" s="67"/>
      <c r="LGQ238" s="67"/>
      <c r="LHU238" s="67"/>
      <c r="LIY238" s="67"/>
      <c r="LKC238" s="67"/>
      <c r="LLG238" s="67"/>
      <c r="LMK238" s="67"/>
      <c r="LNO238" s="67"/>
      <c r="LOS238" s="67"/>
      <c r="LPW238" s="67"/>
      <c r="LRA238" s="67"/>
      <c r="LSE238" s="67"/>
      <c r="LTI238" s="67"/>
      <c r="LUM238" s="67"/>
      <c r="LVQ238" s="67"/>
      <c r="LWU238" s="67"/>
      <c r="LXY238" s="67"/>
      <c r="LZC238" s="67"/>
      <c r="MAG238" s="67"/>
      <c r="MBK238" s="67"/>
      <c r="MCO238" s="67"/>
      <c r="MDS238" s="67"/>
      <c r="MEW238" s="67"/>
      <c r="MGA238" s="67"/>
      <c r="MHE238" s="67"/>
      <c r="MII238" s="67"/>
      <c r="MJM238" s="67"/>
      <c r="MKQ238" s="67"/>
      <c r="MLU238" s="67"/>
      <c r="MMY238" s="67"/>
      <c r="MOC238" s="67"/>
      <c r="MPG238" s="67"/>
      <c r="MQK238" s="67"/>
      <c r="MRO238" s="67"/>
      <c r="MSS238" s="67"/>
      <c r="MTW238" s="67"/>
      <c r="MVA238" s="67"/>
      <c r="MWE238" s="67"/>
      <c r="MXI238" s="67"/>
      <c r="MYM238" s="67"/>
      <c r="MZQ238" s="67"/>
      <c r="NAU238" s="67"/>
      <c r="NBY238" s="67"/>
      <c r="NDC238" s="67"/>
      <c r="NEG238" s="67"/>
      <c r="NFK238" s="67"/>
      <c r="NGO238" s="67"/>
      <c r="NHS238" s="67"/>
      <c r="NIW238" s="67"/>
      <c r="NKA238" s="67"/>
      <c r="NLE238" s="67"/>
      <c r="NMI238" s="67"/>
      <c r="NNM238" s="67"/>
      <c r="NOQ238" s="67"/>
      <c r="NPU238" s="67"/>
      <c r="NQY238" s="67"/>
      <c r="NSC238" s="67"/>
      <c r="NTG238" s="67"/>
      <c r="NUK238" s="67"/>
      <c r="NVO238" s="67"/>
      <c r="NWS238" s="67"/>
      <c r="NXW238" s="67"/>
      <c r="NZA238" s="67"/>
      <c r="OAE238" s="67"/>
      <c r="OBI238" s="67"/>
      <c r="OCM238" s="67"/>
      <c r="ODQ238" s="67"/>
      <c r="OEU238" s="67"/>
      <c r="OFY238" s="67"/>
      <c r="OHC238" s="67"/>
      <c r="OIG238" s="67"/>
      <c r="OJK238" s="67"/>
      <c r="OKO238" s="67"/>
      <c r="OLS238" s="67"/>
      <c r="OMW238" s="67"/>
      <c r="OOA238" s="67"/>
      <c r="OPE238" s="67"/>
      <c r="OQI238" s="67"/>
      <c r="ORM238" s="67"/>
      <c r="OSQ238" s="67"/>
      <c r="OTU238" s="67"/>
      <c r="OUY238" s="67"/>
      <c r="OWC238" s="67"/>
      <c r="OXG238" s="67"/>
      <c r="OYK238" s="67"/>
      <c r="OZO238" s="67"/>
      <c r="PAS238" s="67"/>
      <c r="PBW238" s="67"/>
      <c r="PDA238" s="67"/>
      <c r="PEE238" s="67"/>
      <c r="PFI238" s="67"/>
      <c r="PGM238" s="67"/>
      <c r="PHQ238" s="67"/>
      <c r="PIU238" s="67"/>
      <c r="PJY238" s="67"/>
      <c r="PLC238" s="67"/>
      <c r="PMG238" s="67"/>
      <c r="PNK238" s="67"/>
      <c r="POO238" s="67"/>
      <c r="PPS238" s="67"/>
      <c r="PQW238" s="67"/>
      <c r="PSA238" s="67"/>
      <c r="PTE238" s="67"/>
      <c r="PUI238" s="67"/>
      <c r="PVM238" s="67"/>
      <c r="PWQ238" s="67"/>
      <c r="PXU238" s="67"/>
      <c r="PYY238" s="67"/>
      <c r="QAC238" s="67"/>
      <c r="QBG238" s="67"/>
      <c r="QCK238" s="67"/>
      <c r="QDO238" s="67"/>
      <c r="QES238" s="67"/>
      <c r="QFW238" s="67"/>
      <c r="QHA238" s="67"/>
      <c r="QIE238" s="67"/>
      <c r="QJI238" s="67"/>
      <c r="QKM238" s="67"/>
      <c r="QLQ238" s="67"/>
      <c r="QMU238" s="67"/>
      <c r="QNY238" s="67"/>
      <c r="QPC238" s="67"/>
      <c r="QQG238" s="67"/>
      <c r="QRK238" s="67"/>
      <c r="QSO238" s="67"/>
      <c r="QTS238" s="67"/>
      <c r="QUW238" s="67"/>
      <c r="QWA238" s="67"/>
      <c r="QXE238" s="67"/>
      <c r="QYI238" s="67"/>
      <c r="QZM238" s="67"/>
      <c r="RAQ238" s="67"/>
      <c r="RBU238" s="67"/>
      <c r="RCY238" s="67"/>
      <c r="REC238" s="67"/>
      <c r="RFG238" s="67"/>
      <c r="RGK238" s="67"/>
      <c r="RHO238" s="67"/>
      <c r="RIS238" s="67"/>
      <c r="RJW238" s="67"/>
      <c r="RLA238" s="67"/>
      <c r="RME238" s="67"/>
      <c r="RNI238" s="67"/>
      <c r="ROM238" s="67"/>
      <c r="RPQ238" s="67"/>
      <c r="RQU238" s="67"/>
      <c r="RRY238" s="67"/>
      <c r="RTC238" s="67"/>
      <c r="RUG238" s="67"/>
      <c r="RVK238" s="67"/>
      <c r="RWO238" s="67"/>
      <c r="RXS238" s="67"/>
      <c r="RYW238" s="67"/>
      <c r="SAA238" s="67"/>
      <c r="SBE238" s="67"/>
      <c r="SCI238" s="67"/>
      <c r="SDM238" s="67"/>
      <c r="SEQ238" s="67"/>
      <c r="SFU238" s="67"/>
      <c r="SGY238" s="67"/>
      <c r="SIC238" s="67"/>
      <c r="SJG238" s="67"/>
      <c r="SKK238" s="67"/>
      <c r="SLO238" s="67"/>
      <c r="SMS238" s="67"/>
      <c r="SNW238" s="67"/>
      <c r="SPA238" s="67"/>
      <c r="SQE238" s="67"/>
      <c r="SRI238" s="67"/>
      <c r="SSM238" s="67"/>
      <c r="STQ238" s="67"/>
      <c r="SUU238" s="67"/>
      <c r="SVY238" s="67"/>
      <c r="SXC238" s="67"/>
      <c r="SYG238" s="67"/>
      <c r="SZK238" s="67"/>
      <c r="TAO238" s="67"/>
      <c r="TBS238" s="67"/>
      <c r="TCW238" s="67"/>
      <c r="TEA238" s="67"/>
      <c r="TFE238" s="67"/>
      <c r="TGI238" s="67"/>
      <c r="THM238" s="67"/>
      <c r="TIQ238" s="67"/>
      <c r="TJU238" s="67"/>
      <c r="TKY238" s="67"/>
      <c r="TMC238" s="67"/>
      <c r="TNG238" s="67"/>
      <c r="TOK238" s="67"/>
      <c r="TPO238" s="67"/>
      <c r="TQS238" s="67"/>
      <c r="TRW238" s="67"/>
      <c r="TTA238" s="67"/>
      <c r="TUE238" s="67"/>
      <c r="TVI238" s="67"/>
      <c r="TWM238" s="67"/>
      <c r="TXQ238" s="67"/>
      <c r="TYU238" s="67"/>
      <c r="TZY238" s="67"/>
      <c r="UBC238" s="67"/>
      <c r="UCG238" s="67"/>
      <c r="UDK238" s="67"/>
      <c r="UEO238" s="67"/>
      <c r="UFS238" s="67"/>
      <c r="UGW238" s="67"/>
      <c r="UIA238" s="67"/>
      <c r="UJE238" s="67"/>
      <c r="UKI238" s="67"/>
      <c r="ULM238" s="67"/>
      <c r="UMQ238" s="67"/>
      <c r="UNU238" s="67"/>
      <c r="UOY238" s="67"/>
      <c r="UQC238" s="67"/>
      <c r="URG238" s="67"/>
      <c r="USK238" s="67"/>
      <c r="UTO238" s="67"/>
      <c r="UUS238" s="67"/>
      <c r="UVW238" s="67"/>
      <c r="UXA238" s="67"/>
      <c r="UYE238" s="67"/>
      <c r="UZI238" s="67"/>
      <c r="VAM238" s="67"/>
      <c r="VBQ238" s="67"/>
      <c r="VCU238" s="67"/>
      <c r="VDY238" s="67"/>
      <c r="VFC238" s="67"/>
      <c r="VGG238" s="67"/>
      <c r="VHK238" s="67"/>
      <c r="VIO238" s="67"/>
      <c r="VJS238" s="67"/>
      <c r="VKW238" s="67"/>
      <c r="VMA238" s="67"/>
      <c r="VNE238" s="67"/>
      <c r="VOI238" s="67"/>
      <c r="VPM238" s="67"/>
      <c r="VQQ238" s="67"/>
      <c r="VRU238" s="67"/>
      <c r="VSY238" s="67"/>
      <c r="VUC238" s="67"/>
      <c r="VVG238" s="67"/>
      <c r="VWK238" s="67"/>
      <c r="VXO238" s="67"/>
      <c r="VYS238" s="67"/>
      <c r="VZW238" s="67"/>
      <c r="WBA238" s="67"/>
      <c r="WCE238" s="67"/>
      <c r="WDI238" s="67"/>
      <c r="WEM238" s="67"/>
      <c r="WFQ238" s="67"/>
      <c r="WGU238" s="67"/>
      <c r="WHY238" s="67"/>
      <c r="WJC238" s="67"/>
      <c r="WKG238" s="67"/>
      <c r="WLK238" s="67"/>
      <c r="WMO238" s="67"/>
      <c r="WNS238" s="67"/>
      <c r="WOW238" s="67"/>
      <c r="WQA238" s="67"/>
      <c r="WRE238" s="67"/>
      <c r="WSI238" s="67"/>
      <c r="WTM238" s="67"/>
      <c r="WUQ238" s="67"/>
      <c r="WVU238" s="67"/>
      <c r="WWY238" s="67"/>
      <c r="WYC238" s="67"/>
      <c r="WZG238" s="67"/>
      <c r="XAK238" s="67"/>
      <c r="XBO238" s="67"/>
      <c r="XCS238" s="67"/>
      <c r="XDW238" s="67"/>
      <c r="XFA238" s="67"/>
    </row>
    <row r="239" spans="1:1021 1051:2041 2071:3061 3091:4081 4111:5101 5131:6121 6151:7141 7171:8191 8221:9211 9241:10231 10261:11251 11281:12271 12301:13291 13321:14311 14341:15331 15361:16381">
      <c r="A239" s="67" t="s">
        <v>12</v>
      </c>
      <c r="B239" s="36">
        <v>20293.522413171497</v>
      </c>
      <c r="C239" s="36">
        <v>20438.715961764876</v>
      </c>
      <c r="D239" s="36">
        <v>20567.988658269038</v>
      </c>
      <c r="E239" s="36">
        <v>20684.240940031261</v>
      </c>
      <c r="F239" s="36">
        <v>20733.644434480255</v>
      </c>
      <c r="G239" s="36">
        <v>20774.375138672491</v>
      </c>
      <c r="H239" s="36">
        <v>20809.164268470962</v>
      </c>
      <c r="I239" s="36">
        <v>20839.101709295861</v>
      </c>
      <c r="J239" s="36">
        <v>20864.730316397454</v>
      </c>
      <c r="K239" s="36">
        <v>20865.318642715778</v>
      </c>
      <c r="L239" s="36">
        <v>20862.292203506146</v>
      </c>
      <c r="M239" s="36">
        <v>20856.735378570222</v>
      </c>
      <c r="N239" s="36">
        <v>20849.089649833288</v>
      </c>
      <c r="O239" s="36">
        <v>20839.574999109405</v>
      </c>
      <c r="P239" s="36">
        <v>20808.387132781711</v>
      </c>
      <c r="Q239" s="36">
        <v>20775.929791803577</v>
      </c>
      <c r="R239" s="36">
        <v>20743.44449835924</v>
      </c>
      <c r="S239" s="36">
        <v>20711.458191805999</v>
      </c>
      <c r="T239" s="36">
        <v>20680.233570605367</v>
      </c>
      <c r="U239" s="36">
        <v>20634.039202073862</v>
      </c>
      <c r="V239" s="36">
        <v>20589.37416499183</v>
      </c>
      <c r="W239" s="36">
        <v>20547.656450559814</v>
      </c>
      <c r="X239" s="36">
        <v>20509.523497814782</v>
      </c>
      <c r="Y239" s="36">
        <v>20475.293414604545</v>
      </c>
      <c r="Z239" s="36">
        <v>20436.183596621166</v>
      </c>
      <c r="AA239" s="36">
        <v>20401.925047029432</v>
      </c>
      <c r="AB239" s="36">
        <v>20374.042428291854</v>
      </c>
      <c r="AC239" s="36">
        <v>20353.26312122996</v>
      </c>
      <c r="AD239" s="36">
        <v>20339.950516001012</v>
      </c>
    </row>
    <row r="240" spans="1:1021 1051:2041 2071:3061 3091:4081 4111:5101 5131:6121 6151:7141 7171:8191 8221:9211 9241:10231 10261:11251 11281:12271 12301:13291 13321:14311 14341:15331 15361:16381">
      <c r="A240" s="67" t="s">
        <v>15</v>
      </c>
      <c r="B240" s="36">
        <v>20293.522413171497</v>
      </c>
      <c r="C240" s="36">
        <v>20267.312601045476</v>
      </c>
      <c r="D240" s="36">
        <v>20231.7912053369</v>
      </c>
      <c r="E240" s="36">
        <v>20193.296838679649</v>
      </c>
      <c r="F240" s="36">
        <v>20187.837902756455</v>
      </c>
      <c r="G240" s="36">
        <v>20183.812477300096</v>
      </c>
      <c r="H240" s="36">
        <v>20180.669930008989</v>
      </c>
      <c r="I240" s="36">
        <v>20178.295386344573</v>
      </c>
      <c r="J240" s="36">
        <v>20176.633089490751</v>
      </c>
      <c r="K240" s="36">
        <v>20176.713929272148</v>
      </c>
      <c r="L240" s="36">
        <v>20177.449943604508</v>
      </c>
      <c r="M240" s="36">
        <v>20178.78307738396</v>
      </c>
      <c r="N240" s="36">
        <v>20180.689411965119</v>
      </c>
      <c r="O240" s="36">
        <v>20183.15703983725</v>
      </c>
      <c r="P240" s="36">
        <v>20186.803531721085</v>
      </c>
      <c r="Q240" s="36">
        <v>20190.987901246197</v>
      </c>
      <c r="R240" s="36">
        <v>20195.670856971719</v>
      </c>
      <c r="S240" s="36">
        <v>20200.835708995575</v>
      </c>
      <c r="T240" s="36">
        <v>20206.474141987539</v>
      </c>
      <c r="U240" s="36">
        <v>20213.025400136779</v>
      </c>
      <c r="V240" s="36">
        <v>20220.026024320421</v>
      </c>
      <c r="W240" s="36">
        <v>20227.43706345616</v>
      </c>
      <c r="X240" s="36">
        <v>20235.241067248047</v>
      </c>
      <c r="Y240" s="36">
        <v>20243.429330275867</v>
      </c>
      <c r="Z240" s="36">
        <v>20252.025167158619</v>
      </c>
      <c r="AA240" s="36">
        <v>20260.995494205894</v>
      </c>
      <c r="AB240" s="36">
        <v>20270.335125626767</v>
      </c>
      <c r="AC240" s="36">
        <v>20280.041587497893</v>
      </c>
      <c r="AD240" s="36">
        <v>20290.113643815243</v>
      </c>
    </row>
    <row r="241" spans="1:1021 1051:2041 2071:3061 3091:4081 4111:5101 5131:6121 6151:7141 7171:8191 8221:9211 9241:10231 10261:11251 11281:12271 12301:13291 13321:14311 14341:15331 15361:16381">
      <c r="A241" s="67" t="s">
        <v>19</v>
      </c>
      <c r="B241" s="36">
        <v>20293.522413171497</v>
      </c>
      <c r="C241" s="36">
        <v>20267.312601045476</v>
      </c>
      <c r="D241" s="36">
        <v>20231.7912053369</v>
      </c>
      <c r="E241" s="36">
        <v>20193.296838679649</v>
      </c>
      <c r="F241" s="36">
        <v>20187.837902756455</v>
      </c>
      <c r="G241" s="36">
        <v>20183.812477300096</v>
      </c>
      <c r="H241" s="36">
        <v>20180.669930008989</v>
      </c>
      <c r="I241" s="36">
        <v>20178.295386344573</v>
      </c>
      <c r="J241" s="36">
        <v>20176.633089490751</v>
      </c>
      <c r="K241" s="36">
        <v>20864.804897287471</v>
      </c>
      <c r="L241" s="36">
        <v>21547.73639431427</v>
      </c>
      <c r="M241" s="36">
        <v>22189.805078771657</v>
      </c>
      <c r="N241" s="36">
        <v>22776.333351995032</v>
      </c>
      <c r="O241" s="36">
        <v>23300.004663293523</v>
      </c>
      <c r="P241" s="36">
        <v>23498.171343696642</v>
      </c>
      <c r="Q241" s="36">
        <v>23635.675222979306</v>
      </c>
      <c r="R241" s="36">
        <v>23726.4426173875</v>
      </c>
      <c r="S241" s="36">
        <v>23776.223563802068</v>
      </c>
      <c r="T241" s="36">
        <v>23787.898058919538</v>
      </c>
      <c r="U241" s="36">
        <v>23733.761820331885</v>
      </c>
      <c r="V241" s="36">
        <v>23644.909646955024</v>
      </c>
      <c r="W241" s="36">
        <v>23524.112106475222</v>
      </c>
      <c r="X241" s="36">
        <v>23372.629376196204</v>
      </c>
      <c r="Y241" s="36">
        <v>23191.092874996899</v>
      </c>
      <c r="Z241" s="36">
        <v>22963.674346674055</v>
      </c>
      <c r="AA241" s="36">
        <v>22708.103546672141</v>
      </c>
      <c r="AB241" s="36">
        <v>22426.994681718319</v>
      </c>
      <c r="AC241" s="36">
        <v>22121.58905030891</v>
      </c>
      <c r="AD241" s="36">
        <v>21792.500490332361</v>
      </c>
    </row>
    <row r="242" spans="1:1021 1051:2041 2071:3061 3091:4081 4111:5101 5131:6121 6151:7141 7171:8191 8221:9211 9241:10231 10261:11251 11281:12271 12301:13291 13321:14311 14341:15331 15361:16381">
      <c r="A242" s="67" t="s">
        <v>22</v>
      </c>
      <c r="B242" s="36">
        <v>20293.522413171497</v>
      </c>
      <c r="C242" s="36">
        <v>21795.750595382022</v>
      </c>
      <c r="D242" s="36">
        <v>23233.099593595867</v>
      </c>
      <c r="E242" s="36">
        <v>24577.638156710891</v>
      </c>
      <c r="F242" s="36">
        <v>24922.415546192791</v>
      </c>
      <c r="G242" s="36">
        <v>25180.048917888576</v>
      </c>
      <c r="H242" s="36">
        <v>25384.818704739926</v>
      </c>
      <c r="I242" s="36">
        <v>25549.508520441297</v>
      </c>
      <c r="J242" s="36">
        <v>25680.508421258561</v>
      </c>
      <c r="K242" s="36">
        <v>25608.336514416838</v>
      </c>
      <c r="L242" s="36">
        <v>25511.921418594535</v>
      </c>
      <c r="M242" s="36">
        <v>25399.090375185759</v>
      </c>
      <c r="N242" s="36">
        <v>25272.924378181942</v>
      </c>
      <c r="O242" s="36">
        <v>25134.967469162853</v>
      </c>
      <c r="P242" s="36">
        <v>24839.227218683176</v>
      </c>
      <c r="Q242" s="36">
        <v>24537.882843367403</v>
      </c>
      <c r="R242" s="36">
        <v>24238.918783274628</v>
      </c>
      <c r="S242" s="36">
        <v>23945.627774928034</v>
      </c>
      <c r="T242" s="36">
        <v>23659.655771106121</v>
      </c>
      <c r="U242" s="36">
        <v>23313.032695122434</v>
      </c>
      <c r="V242" s="36">
        <v>22977.932535143609</v>
      </c>
      <c r="W242" s="36">
        <v>22660.18672339262</v>
      </c>
      <c r="X242" s="36">
        <v>22362.402427904086</v>
      </c>
      <c r="Y242" s="36">
        <v>22085.883417625202</v>
      </c>
      <c r="Z242" s="36">
        <v>21762.995129230683</v>
      </c>
      <c r="AA242" s="36">
        <v>21468.154324934898</v>
      </c>
      <c r="AB242" s="36">
        <v>21212.514037466903</v>
      </c>
      <c r="AC242" s="36">
        <v>21001.388763574603</v>
      </c>
      <c r="AD242" s="36">
        <v>20837.438862904419</v>
      </c>
    </row>
    <row r="243" spans="1:1021 1051:2041 2071:3061 3091:4081 4111:5101 5131:6121 6151:7141 7171:8191 8221:9211 9241:10231 10261:11251 11281:12271 12301:13291 13321:14311 14341:15331 15361:16381">
      <c r="A243" s="67" t="s">
        <v>24</v>
      </c>
      <c r="B243" s="36">
        <v>20293.522413171497</v>
      </c>
      <c r="C243" s="36">
        <v>20527.168216730795</v>
      </c>
      <c r="D243" s="36">
        <v>20741.767077593657</v>
      </c>
      <c r="E243" s="36">
        <v>20938.336220454465</v>
      </c>
      <c r="F243" s="36">
        <v>21065.446979205648</v>
      </c>
      <c r="G243" s="36">
        <v>21177.819581901644</v>
      </c>
      <c r="H243" s="36">
        <v>21278.104835922331</v>
      </c>
      <c r="I243" s="36">
        <v>21367.372158982078</v>
      </c>
      <c r="J243" s="36">
        <v>21446.155731066083</v>
      </c>
      <c r="K243" s="36">
        <v>21382.055532649902</v>
      </c>
      <c r="L243" s="36">
        <v>21310.246601587871</v>
      </c>
      <c r="M243" s="36">
        <v>21236.910832609625</v>
      </c>
      <c r="N243" s="36">
        <v>21164.495145327524</v>
      </c>
      <c r="O243" s="36">
        <v>21094.217246656284</v>
      </c>
      <c r="P243" s="36">
        <v>21030.4102942549</v>
      </c>
      <c r="Q243" s="36">
        <v>20969.556992902981</v>
      </c>
      <c r="R243" s="36">
        <v>20911.592078802329</v>
      </c>
      <c r="S243" s="36">
        <v>20856.500715165421</v>
      </c>
      <c r="T243" s="36">
        <v>20804.275653688819</v>
      </c>
      <c r="U243" s="36">
        <v>20757.830259804508</v>
      </c>
      <c r="V243" s="36">
        <v>20714.124449735529</v>
      </c>
      <c r="W243" s="36">
        <v>20672.910993457259</v>
      </c>
      <c r="X243" s="36">
        <v>20634.07955062516</v>
      </c>
      <c r="Y243" s="36">
        <v>20597.57502761859</v>
      </c>
      <c r="Z243" s="36">
        <v>20563.498541089317</v>
      </c>
      <c r="AA243" s="36">
        <v>20531.695935563912</v>
      </c>
      <c r="AB243" s="36">
        <v>20502.139645786465</v>
      </c>
      <c r="AC243" s="36">
        <v>20474.816391665354</v>
      </c>
      <c r="AD243" s="36">
        <v>20449.7195277096</v>
      </c>
    </row>
    <row r="244" spans="1:1021 1051:2041 2071:3061 3091:4081 4111:5101 5131:6121 6151:7141 7171:8191 8221:9211 9241:10231 10261:11251 11281:12271 12301:13291 13321:14311 14341:15331 15361:16381">
      <c r="A244" s="67" t="s">
        <v>25</v>
      </c>
      <c r="B244" s="36">
        <v>20293.522413171497</v>
      </c>
      <c r="C244" s="36">
        <v>20908.868269025465</v>
      </c>
      <c r="D244" s="36">
        <v>21493.058448764896</v>
      </c>
      <c r="E244" s="36">
        <v>22037.897249927519</v>
      </c>
      <c r="F244" s="36">
        <v>22178.011848980237</v>
      </c>
      <c r="G244" s="36">
        <v>22282.044071300628</v>
      </c>
      <c r="H244" s="36">
        <v>22364.308461965782</v>
      </c>
      <c r="I244" s="36">
        <v>22430.193855980622</v>
      </c>
      <c r="J244" s="36">
        <v>22482.38647209336</v>
      </c>
      <c r="K244" s="36">
        <v>22771.734053023487</v>
      </c>
      <c r="L244" s="36">
        <v>23044.521279413984</v>
      </c>
      <c r="M244" s="36">
        <v>23289.829430550424</v>
      </c>
      <c r="N244" s="36">
        <v>23503.404755591499</v>
      </c>
      <c r="O244" s="36">
        <v>23683.130760684235</v>
      </c>
      <c r="P244" s="36">
        <v>23745.062938520772</v>
      </c>
      <c r="Q244" s="36">
        <v>23773.91500486014</v>
      </c>
      <c r="R244" s="36">
        <v>23774.123092564074</v>
      </c>
      <c r="S244" s="36">
        <v>23747.524168606029</v>
      </c>
      <c r="T244" s="36">
        <v>23695.041772033208</v>
      </c>
      <c r="U244" s="36">
        <v>23577.147567843505</v>
      </c>
      <c r="V244" s="36">
        <v>23435.747479746387</v>
      </c>
      <c r="W244" s="36">
        <v>23274.250699901277</v>
      </c>
      <c r="X244" s="36">
        <v>23094.18801402596</v>
      </c>
      <c r="Y244" s="36">
        <v>22896.326534790991</v>
      </c>
      <c r="Z244" s="36">
        <v>22650.531240063596</v>
      </c>
      <c r="AA244" s="36">
        <v>22390.138637905075</v>
      </c>
      <c r="AB244" s="36">
        <v>22120.099217082094</v>
      </c>
      <c r="AC244" s="36">
        <v>21842.773765405847</v>
      </c>
      <c r="AD244" s="36">
        <v>21559.342264759183</v>
      </c>
    </row>
    <row r="245" spans="1:1021 1051:2041 2071:3061 3091:4081 4111:5101 5131:6121 6151:7141 7171:8191 8221:9211 9241:10231 10261:11251 11281:12271 12301:13291 13321:14311 14341:15331 15361:16381" hidden="1">
      <c r="A245" s="69"/>
    </row>
    <row r="246" spans="1:1021 1051:2041 2071:3061 3091:4081 4111:5101 5131:6121 6151:7141 7171:8191 8221:9211 9241:10231 10261:11251 11281:12271 12301:13291 13321:14311 14341:15331 15361:16381" hidden="1">
      <c r="A246" s="37" t="s">
        <v>45</v>
      </c>
      <c r="B246" s="1">
        <v>2022</v>
      </c>
      <c r="C246" s="1">
        <v>2023</v>
      </c>
      <c r="D246" s="1">
        <v>2024</v>
      </c>
      <c r="E246" s="1">
        <v>2025</v>
      </c>
      <c r="F246" s="1">
        <v>2026</v>
      </c>
      <c r="G246" s="1">
        <v>2027</v>
      </c>
      <c r="H246" s="1">
        <v>2028</v>
      </c>
      <c r="I246" s="1">
        <v>2029</v>
      </c>
      <c r="J246" s="1">
        <v>2030</v>
      </c>
      <c r="K246" s="1">
        <v>2031</v>
      </c>
      <c r="L246" s="1">
        <v>2032</v>
      </c>
      <c r="M246" s="1">
        <v>2033</v>
      </c>
      <c r="N246" s="1">
        <v>2034</v>
      </c>
      <c r="O246" s="1">
        <v>2035</v>
      </c>
      <c r="P246" s="1">
        <v>2036</v>
      </c>
      <c r="Q246" s="1">
        <v>2037</v>
      </c>
      <c r="R246" s="1">
        <v>2038</v>
      </c>
      <c r="S246" s="1">
        <v>2039</v>
      </c>
      <c r="T246" s="1">
        <v>2040</v>
      </c>
      <c r="U246" s="1">
        <v>2041</v>
      </c>
      <c r="V246" s="1">
        <v>2042</v>
      </c>
      <c r="W246" s="1">
        <v>2043</v>
      </c>
      <c r="X246" s="1">
        <v>2044</v>
      </c>
      <c r="Y246" s="1">
        <v>2045</v>
      </c>
      <c r="Z246" s="1">
        <v>2046</v>
      </c>
      <c r="AA246" s="1">
        <v>2047</v>
      </c>
      <c r="AB246" s="1">
        <v>2048</v>
      </c>
      <c r="AC246" s="1">
        <v>2049</v>
      </c>
      <c r="AD246" s="1">
        <v>2050</v>
      </c>
    </row>
    <row r="247" spans="1:1021 1051:2041 2071:3061 3091:4081 4111:5101 5131:6121 6151:7141 7171:8191 8221:9211 9241:10231 10261:11251 11281:12271 12301:13291 13321:14311 14341:15331 15361:16381" hidden="1">
      <c r="A247" s="67" t="s">
        <v>12</v>
      </c>
      <c r="B247" s="36">
        <v>1776.7095301045549</v>
      </c>
      <c r="C247" s="36">
        <v>1822.2629352503609</v>
      </c>
      <c r="D247" s="36">
        <v>1864.504181347495</v>
      </c>
      <c r="E247" s="36">
        <v>1903.6418674897436</v>
      </c>
      <c r="F247" s="36">
        <v>1914.1623924290732</v>
      </c>
      <c r="G247" s="36">
        <v>1922.274745790721</v>
      </c>
      <c r="H247" s="36">
        <v>1928.7646565075311</v>
      </c>
      <c r="I247" s="36">
        <v>1934.0253475498885</v>
      </c>
      <c r="J247" s="36">
        <v>1938.2536130869121</v>
      </c>
      <c r="K247" s="36">
        <v>1942.1815095267887</v>
      </c>
      <c r="L247" s="36">
        <v>1945.2016966854585</v>
      </c>
      <c r="M247" s="36">
        <v>1947.3189215116004</v>
      </c>
      <c r="N247" s="36">
        <v>1948.5357393271231</v>
      </c>
      <c r="O247" s="36">
        <v>1948.8535187361579</v>
      </c>
      <c r="P247" s="36">
        <v>1948.5830600717156</v>
      </c>
      <c r="Q247" s="36">
        <v>1947.3977501179454</v>
      </c>
      <c r="R247" s="36">
        <v>1945.2857761304169</v>
      </c>
      <c r="S247" s="36">
        <v>1942.2414371173163</v>
      </c>
      <c r="T247" s="36">
        <v>1938.2619817304058</v>
      </c>
      <c r="U247" s="36">
        <v>1933.8572633128124</v>
      </c>
      <c r="V247" s="36">
        <v>1928.4830483569683</v>
      </c>
      <c r="W247" s="36">
        <v>1922.1044023918826</v>
      </c>
      <c r="X247" s="36">
        <v>1914.7041056700402</v>
      </c>
      <c r="Y247" s="36">
        <v>1906.2736694879582</v>
      </c>
      <c r="Z247" s="36">
        <v>1897.1801944827173</v>
      </c>
      <c r="AA247" s="36">
        <v>1887.0076741193852</v>
      </c>
      <c r="AB247" s="36">
        <v>1875.7024389612909</v>
      </c>
      <c r="AC247" s="36">
        <v>1863.2379490773521</v>
      </c>
      <c r="AD247" s="36">
        <v>1849.6010913938278</v>
      </c>
    </row>
    <row r="248" spans="1:1021 1051:2041 2071:3061 3091:4081 4111:5101 5131:6121 6151:7141 7171:8191 8221:9211 9241:10231 10261:11251 11281:12271 12301:13291 13321:14311 14341:15331 15361:16381" hidden="1">
      <c r="A248" s="67" t="s">
        <v>15</v>
      </c>
      <c r="B248" s="36">
        <v>1776.7095301045549</v>
      </c>
      <c r="C248" s="36">
        <v>1773.9853475489253</v>
      </c>
      <c r="D248" s="36">
        <v>1770.3014445847871</v>
      </c>
      <c r="E248" s="36">
        <v>1766.3099635619142</v>
      </c>
      <c r="F248" s="36">
        <v>1766.0833687021211</v>
      </c>
      <c r="G248" s="36">
        <v>1765.963574717008</v>
      </c>
      <c r="H248" s="36">
        <v>1765.9192213754955</v>
      </c>
      <c r="I248" s="36">
        <v>1765.934626245903</v>
      </c>
      <c r="J248" s="36">
        <v>1766.0019469515021</v>
      </c>
      <c r="K248" s="36">
        <v>1766.2597242822442</v>
      </c>
      <c r="L248" s="36">
        <v>1766.560040502196</v>
      </c>
      <c r="M248" s="36">
        <v>1766.8965312568002</v>
      </c>
      <c r="N248" s="36">
        <v>1767.2660138077138</v>
      </c>
      <c r="O248" s="36">
        <v>1767.6668965018612</v>
      </c>
      <c r="P248" s="36">
        <v>1768.1895529265996</v>
      </c>
      <c r="Q248" s="36">
        <v>1768.7394103060719</v>
      </c>
      <c r="R248" s="36">
        <v>1769.3116878651692</v>
      </c>
      <c r="S248" s="36">
        <v>1769.9039947943588</v>
      </c>
      <c r="T248" s="36">
        <v>1770.5151354744237</v>
      </c>
      <c r="U248" s="36">
        <v>1771.2098904412192</v>
      </c>
      <c r="V248" s="36">
        <v>1771.9193232869543</v>
      </c>
      <c r="W248" s="36">
        <v>1772.6383705467645</v>
      </c>
      <c r="X248" s="36">
        <v>1773.3645000308677</v>
      </c>
      <c r="Y248" s="36">
        <v>1774.0964454133637</v>
      </c>
      <c r="Z248" s="36">
        <v>1774.8468590614841</v>
      </c>
      <c r="AA248" s="36">
        <v>1775.6007871599518</v>
      </c>
      <c r="AB248" s="36">
        <v>1776.3560886327696</v>
      </c>
      <c r="AC248" s="36">
        <v>1777.1116928728143</v>
      </c>
      <c r="AD248" s="36">
        <v>1777.8670645404588</v>
      </c>
    </row>
    <row r="249" spans="1:1021 1051:2041 2071:3061 3091:4081 4111:5101 5131:6121 6151:7141 7171:8191 8221:9211 9241:10231 10261:11251 11281:12271 12301:13291 13321:14311 14341:15331 15361:16381" hidden="1">
      <c r="A249" s="67" t="s">
        <v>19</v>
      </c>
      <c r="B249" s="36">
        <v>1776.7095301045549</v>
      </c>
      <c r="C249" s="36">
        <v>1773.9853475489253</v>
      </c>
      <c r="D249" s="36">
        <v>1770.3014445847871</v>
      </c>
      <c r="E249" s="36">
        <v>1766.3099635619142</v>
      </c>
      <c r="F249" s="36">
        <v>1766.0833687021211</v>
      </c>
      <c r="G249" s="36">
        <v>1765.963574717008</v>
      </c>
      <c r="H249" s="36">
        <v>1765.9192213754955</v>
      </c>
      <c r="I249" s="36">
        <v>1765.934626245903</v>
      </c>
      <c r="J249" s="36">
        <v>1766.0019469515021</v>
      </c>
      <c r="K249" s="36">
        <v>1881.8196735367935</v>
      </c>
      <c r="L249" s="36">
        <v>1995.581638843506</v>
      </c>
      <c r="M249" s="36">
        <v>2102.4824926793863</v>
      </c>
      <c r="N249" s="36">
        <v>2200.0944576726615</v>
      </c>
      <c r="O249" s="36">
        <v>2287.2015925359815</v>
      </c>
      <c r="P249" s="36">
        <v>2322.5272040514897</v>
      </c>
      <c r="Q249" s="36">
        <v>2348.0148532538956</v>
      </c>
      <c r="R249" s="36">
        <v>2365.4322593497113</v>
      </c>
      <c r="S249" s="36">
        <v>2375.6691114728269</v>
      </c>
      <c r="T249" s="36">
        <v>2379.1733128063761</v>
      </c>
      <c r="U249" s="36">
        <v>2378.3554326816543</v>
      </c>
      <c r="V249" s="36">
        <v>2370.9819721147878</v>
      </c>
      <c r="W249" s="36">
        <v>2356.9777996964217</v>
      </c>
      <c r="X249" s="36">
        <v>2336.3070891393018</v>
      </c>
      <c r="Y249" s="36">
        <v>2308.9523777386057</v>
      </c>
      <c r="Z249" s="36">
        <v>2274.9495714322811</v>
      </c>
      <c r="AA249" s="36">
        <v>2234.2283882683018</v>
      </c>
      <c r="AB249" s="36">
        <v>2186.7864616060247</v>
      </c>
      <c r="AC249" s="36">
        <v>2132.6225113878882</v>
      </c>
      <c r="AD249" s="36">
        <v>2071.7345592033053</v>
      </c>
    </row>
    <row r="250" spans="1:1021 1051:2041 2071:3061 3091:4081 4111:5101 5131:6121 6151:7141 7171:8191 8221:9211 9241:10231 10261:11251 11281:12271 12301:13291 13321:14311 14341:15331 15361:16381" hidden="1">
      <c r="A250" s="67" t="s">
        <v>22</v>
      </c>
      <c r="B250" s="36">
        <v>1776.7095301045549</v>
      </c>
      <c r="C250" s="36">
        <v>2025.8700812595448</v>
      </c>
      <c r="D250" s="36">
        <v>2263.1909104721435</v>
      </c>
      <c r="E250" s="36">
        <v>2485.9028987831402</v>
      </c>
      <c r="F250" s="36">
        <v>2547.7619146841994</v>
      </c>
      <c r="G250" s="36">
        <v>2596.6715388981011</v>
      </c>
      <c r="H250" s="36">
        <v>2636.5631187857643</v>
      </c>
      <c r="I250" s="36">
        <v>2669.4168270027276</v>
      </c>
      <c r="J250" s="36">
        <v>2696.2303727243325</v>
      </c>
      <c r="K250" s="36">
        <v>2715.5084694329094</v>
      </c>
      <c r="L250" s="36">
        <v>2729.4466131761346</v>
      </c>
      <c r="M250" s="36">
        <v>2738.3007231585689</v>
      </c>
      <c r="N250" s="36">
        <v>2742.2048700488672</v>
      </c>
      <c r="O250" s="36">
        <v>2741.2289480111167</v>
      </c>
      <c r="P250" s="36">
        <v>2735.8919964656111</v>
      </c>
      <c r="Q250" s="36">
        <v>2725.5817826277671</v>
      </c>
      <c r="R250" s="36">
        <v>2710.3516148381395</v>
      </c>
      <c r="S250" s="36">
        <v>2690.2340520380744</v>
      </c>
      <c r="T250" s="36">
        <v>2665.2478330810009</v>
      </c>
      <c r="U250" s="36">
        <v>2640.8500716103249</v>
      </c>
      <c r="V250" s="36">
        <v>2611.1868018789742</v>
      </c>
      <c r="W250" s="36">
        <v>2575.9345300422087</v>
      </c>
      <c r="X250" s="36">
        <v>2534.9363214056912</v>
      </c>
      <c r="Y250" s="36">
        <v>2488.1155935058091</v>
      </c>
      <c r="Z250" s="36">
        <v>2437.709162041222</v>
      </c>
      <c r="AA250" s="36">
        <v>2381.0975313349004</v>
      </c>
      <c r="AB250" s="36">
        <v>2317.9872860009636</v>
      </c>
      <c r="AC250" s="36">
        <v>2248.2411484863105</v>
      </c>
      <c r="AD250" s="36">
        <v>2171.7958580668087</v>
      </c>
    </row>
    <row r="251" spans="1:1021 1051:2041 2071:3061 3091:4081 4111:5101 5131:6121 6151:7141 7171:8191 8221:9211 9241:10231 10261:11251 11281:12271 12301:13291 13321:14311 14341:15331 15361:16381" hidden="1">
      <c r="A251" s="67" t="s">
        <v>24</v>
      </c>
      <c r="B251" s="36">
        <v>1776.7095301045549</v>
      </c>
      <c r="C251" s="36">
        <v>1801.7083298826117</v>
      </c>
      <c r="D251" s="36">
        <v>1824.417324281729</v>
      </c>
      <c r="E251" s="36">
        <v>1845.2234613666496</v>
      </c>
      <c r="F251" s="36">
        <v>1858.5999974840202</v>
      </c>
      <c r="G251" s="36">
        <v>1870.4781114929588</v>
      </c>
      <c r="H251" s="36">
        <v>1881.0796825344494</v>
      </c>
      <c r="I251" s="36">
        <v>1890.5160769736278</v>
      </c>
      <c r="J251" s="36">
        <v>1898.8432092672081</v>
      </c>
      <c r="K251" s="36">
        <v>1896.4949510781973</v>
      </c>
      <c r="L251" s="36">
        <v>1893.3474163949618</v>
      </c>
      <c r="M251" s="36">
        <v>1889.7497055303656</v>
      </c>
      <c r="N251" s="36">
        <v>1885.8767764410311</v>
      </c>
      <c r="O251" s="36">
        <v>1881.8163122362125</v>
      </c>
      <c r="P251" s="36">
        <v>1878.0017408850179</v>
      </c>
      <c r="Q251" s="36">
        <v>1874.0513786875872</v>
      </c>
      <c r="R251" s="36">
        <v>1869.957597412028</v>
      </c>
      <c r="S251" s="36">
        <v>1865.7165797628597</v>
      </c>
      <c r="T251" s="36">
        <v>1861.3264148187641</v>
      </c>
      <c r="U251" s="36">
        <v>1857.0914141873491</v>
      </c>
      <c r="V251" s="36">
        <v>1852.6900575781799</v>
      </c>
      <c r="W251" s="36">
        <v>1848.0996026602027</v>
      </c>
      <c r="X251" s="36">
        <v>1843.3086568669792</v>
      </c>
      <c r="Y251" s="36">
        <v>1838.3115127482367</v>
      </c>
      <c r="Z251" s="36">
        <v>1833.1188865728782</v>
      </c>
      <c r="AA251" s="36">
        <v>1827.714404503887</v>
      </c>
      <c r="AB251" s="36">
        <v>1822.0953225661335</v>
      </c>
      <c r="AC251" s="36">
        <v>1816.2602660490643</v>
      </c>
      <c r="AD251" s="36">
        <v>1810.2085463354949</v>
      </c>
    </row>
    <row r="252" spans="1:1021 1051:2041 2071:3061 3091:4081 4111:5101 5131:6121 6151:7141 7171:8191 8221:9211 9241:10231 10261:11251 11281:12271 12301:13291 13321:14311 14341:15331 15361:16381" hidden="1">
      <c r="A252" s="67" t="s">
        <v>25</v>
      </c>
      <c r="B252" s="36">
        <v>1776.7095301045549</v>
      </c>
      <c r="C252" s="36">
        <v>1883.6095186608316</v>
      </c>
      <c r="D252" s="36">
        <v>1984.6819459668707</v>
      </c>
      <c r="E252" s="36">
        <v>2079.2835077762152</v>
      </c>
      <c r="F252" s="36">
        <v>2105.58326098215</v>
      </c>
      <c r="G252" s="36">
        <v>2126.2644881800079</v>
      </c>
      <c r="H252" s="36">
        <v>2143.0654900064446</v>
      </c>
      <c r="I252" s="36">
        <v>2156.8590894402273</v>
      </c>
      <c r="J252" s="36">
        <v>2168.0835799138958</v>
      </c>
      <c r="K252" s="36">
        <v>2212.2412927522755</v>
      </c>
      <c r="L252" s="36">
        <v>2253.1356700036727</v>
      </c>
      <c r="M252" s="36">
        <v>2289.5882070806442</v>
      </c>
      <c r="N252" s="36">
        <v>2321.0073078211663</v>
      </c>
      <c r="O252" s="36">
        <v>2347.096765874674</v>
      </c>
      <c r="P252" s="36">
        <v>2367.3243049863445</v>
      </c>
      <c r="Q252" s="36">
        <v>2381.9582360021709</v>
      </c>
      <c r="R252" s="36">
        <v>2391.0104717813215</v>
      </c>
      <c r="S252" s="36">
        <v>2394.4903778397047</v>
      </c>
      <c r="T252" s="36">
        <v>2392.4043492018441</v>
      </c>
      <c r="U252" s="36">
        <v>2387.7249918983284</v>
      </c>
      <c r="V252" s="36">
        <v>2377.2644394200274</v>
      </c>
      <c r="W252" s="36">
        <v>2360.8449610593616</v>
      </c>
      <c r="X252" s="36">
        <v>2338.3800327160452</v>
      </c>
      <c r="Y252" s="36">
        <v>2309.8271326199238</v>
      </c>
      <c r="Z252" s="36">
        <v>2276.15483187053</v>
      </c>
      <c r="AA252" s="36">
        <v>2236.2212146200841</v>
      </c>
      <c r="AB252" s="36">
        <v>2189.8966713918385</v>
      </c>
      <c r="AC252" s="36">
        <v>2137.1185086984433</v>
      </c>
      <c r="AD252" s="36">
        <v>2077.8555080846691</v>
      </c>
    </row>
    <row r="253" spans="1:1021 1051:2041 2071:3061 3091:4081 4111:5101 5131:6121 6151:7141 7171:8191 8221:9211 9241:10231 10261:11251 11281:12271 12301:13291 13321:14311 14341:15331 15361:16381" hidden="1">
      <c r="A253" s="69"/>
    </row>
    <row r="254" spans="1:1021 1051:2041 2071:3061 3091:4081 4111:5101 5131:6121 6151:7141 7171:8191 8221:9211 9241:10231 10261:11251 11281:12271 12301:13291 13321:14311 14341:15331 15361:16381" s="68" customFormat="1" hidden="1">
      <c r="A254" s="67" t="s">
        <v>46</v>
      </c>
      <c r="B254" s="68">
        <v>2022</v>
      </c>
      <c r="C254" s="68">
        <v>2023</v>
      </c>
      <c r="D254" s="68">
        <v>2024</v>
      </c>
      <c r="E254" s="68">
        <v>2025</v>
      </c>
      <c r="F254" s="68">
        <v>2026</v>
      </c>
      <c r="G254" s="68">
        <v>2027</v>
      </c>
      <c r="H254" s="68">
        <v>2028</v>
      </c>
      <c r="I254" s="68">
        <v>2029</v>
      </c>
      <c r="J254" s="68">
        <v>2030</v>
      </c>
      <c r="K254" s="68">
        <v>2031</v>
      </c>
      <c r="L254" s="68">
        <v>2032</v>
      </c>
      <c r="M254" s="68">
        <v>2033</v>
      </c>
      <c r="N254" s="68">
        <v>2034</v>
      </c>
      <c r="O254" s="68">
        <v>2035</v>
      </c>
      <c r="P254" s="68">
        <v>2036</v>
      </c>
      <c r="Q254" s="68">
        <v>2037</v>
      </c>
      <c r="R254" s="68">
        <v>2038</v>
      </c>
      <c r="S254" s="68">
        <v>2039</v>
      </c>
      <c r="T254" s="68">
        <v>2040</v>
      </c>
      <c r="U254" s="68">
        <v>2041</v>
      </c>
      <c r="V254" s="68">
        <v>2042</v>
      </c>
      <c r="W254" s="68">
        <v>2043</v>
      </c>
      <c r="X254" s="68">
        <v>2044</v>
      </c>
      <c r="Y254" s="68">
        <v>2045</v>
      </c>
      <c r="Z254" s="68">
        <v>2046</v>
      </c>
      <c r="AA254" s="68">
        <v>2047</v>
      </c>
      <c r="AB254" s="68">
        <v>2048</v>
      </c>
      <c r="AC254" s="68">
        <v>2049</v>
      </c>
      <c r="AD254" s="68">
        <v>2050</v>
      </c>
      <c r="AE254" s="67"/>
      <c r="BI254" s="67"/>
      <c r="CM254" s="67"/>
      <c r="DQ254" s="67"/>
      <c r="EU254" s="67"/>
      <c r="FY254" s="67"/>
      <c r="HC254" s="67"/>
      <c r="IG254" s="67"/>
      <c r="JK254" s="67"/>
      <c r="KO254" s="67"/>
      <c r="LS254" s="67"/>
      <c r="MW254" s="67"/>
      <c r="OA254" s="67"/>
      <c r="PE254" s="67"/>
      <c r="QI254" s="67"/>
      <c r="RM254" s="67"/>
      <c r="SQ254" s="67"/>
      <c r="TU254" s="67"/>
      <c r="UY254" s="67"/>
      <c r="WC254" s="67"/>
      <c r="XG254" s="67"/>
      <c r="YK254" s="67"/>
      <c r="ZO254" s="67"/>
      <c r="AAS254" s="67"/>
      <c r="ABW254" s="67"/>
      <c r="ADA254" s="67"/>
      <c r="AEE254" s="67"/>
      <c r="AFI254" s="67"/>
      <c r="AGM254" s="67"/>
      <c r="AHQ254" s="67"/>
      <c r="AIU254" s="67"/>
      <c r="AJY254" s="67"/>
      <c r="ALC254" s="67"/>
      <c r="AMG254" s="67"/>
      <c r="ANK254" s="67"/>
      <c r="AOO254" s="67"/>
      <c r="APS254" s="67"/>
      <c r="AQW254" s="67"/>
      <c r="ASA254" s="67"/>
      <c r="ATE254" s="67"/>
      <c r="AUI254" s="67"/>
      <c r="AVM254" s="67"/>
      <c r="AWQ254" s="67"/>
      <c r="AXU254" s="67"/>
      <c r="AYY254" s="67"/>
      <c r="BAC254" s="67"/>
      <c r="BBG254" s="67"/>
      <c r="BCK254" s="67"/>
      <c r="BDO254" s="67"/>
      <c r="BES254" s="67"/>
      <c r="BFW254" s="67"/>
      <c r="BHA254" s="67"/>
      <c r="BIE254" s="67"/>
      <c r="BJI254" s="67"/>
      <c r="BKM254" s="67"/>
      <c r="BLQ254" s="67"/>
      <c r="BMU254" s="67"/>
      <c r="BNY254" s="67"/>
      <c r="BPC254" s="67"/>
      <c r="BQG254" s="67"/>
      <c r="BRK254" s="67"/>
      <c r="BSO254" s="67"/>
      <c r="BTS254" s="67"/>
      <c r="BUW254" s="67"/>
      <c r="BWA254" s="67"/>
      <c r="BXE254" s="67"/>
      <c r="BYI254" s="67"/>
      <c r="BZM254" s="67"/>
      <c r="CAQ254" s="67"/>
      <c r="CBU254" s="67"/>
      <c r="CCY254" s="67"/>
      <c r="CEC254" s="67"/>
      <c r="CFG254" s="67"/>
      <c r="CGK254" s="67"/>
      <c r="CHO254" s="67"/>
      <c r="CIS254" s="67"/>
      <c r="CJW254" s="67"/>
      <c r="CLA254" s="67"/>
      <c r="CME254" s="67"/>
      <c r="CNI254" s="67"/>
      <c r="COM254" s="67"/>
      <c r="CPQ254" s="67"/>
      <c r="CQU254" s="67"/>
      <c r="CRY254" s="67"/>
      <c r="CTC254" s="67"/>
      <c r="CUG254" s="67"/>
      <c r="CVK254" s="67"/>
      <c r="CWO254" s="67"/>
      <c r="CXS254" s="67"/>
      <c r="CYW254" s="67"/>
      <c r="DAA254" s="67"/>
      <c r="DBE254" s="67"/>
      <c r="DCI254" s="67"/>
      <c r="DDM254" s="67"/>
      <c r="DEQ254" s="67"/>
      <c r="DFU254" s="67"/>
      <c r="DGY254" s="67"/>
      <c r="DIC254" s="67"/>
      <c r="DJG254" s="67"/>
      <c r="DKK254" s="67"/>
      <c r="DLO254" s="67"/>
      <c r="DMS254" s="67"/>
      <c r="DNW254" s="67"/>
      <c r="DPA254" s="67"/>
      <c r="DQE254" s="67"/>
      <c r="DRI254" s="67"/>
      <c r="DSM254" s="67"/>
      <c r="DTQ254" s="67"/>
      <c r="DUU254" s="67"/>
      <c r="DVY254" s="67"/>
      <c r="DXC254" s="67"/>
      <c r="DYG254" s="67"/>
      <c r="DZK254" s="67"/>
      <c r="EAO254" s="67"/>
      <c r="EBS254" s="67"/>
      <c r="ECW254" s="67"/>
      <c r="EEA254" s="67"/>
      <c r="EFE254" s="67"/>
      <c r="EGI254" s="67"/>
      <c r="EHM254" s="67"/>
      <c r="EIQ254" s="67"/>
      <c r="EJU254" s="67"/>
      <c r="EKY254" s="67"/>
      <c r="EMC254" s="67"/>
      <c r="ENG254" s="67"/>
      <c r="EOK254" s="67"/>
      <c r="EPO254" s="67"/>
      <c r="EQS254" s="67"/>
      <c r="ERW254" s="67"/>
      <c r="ETA254" s="67"/>
      <c r="EUE254" s="67"/>
      <c r="EVI254" s="67"/>
      <c r="EWM254" s="67"/>
      <c r="EXQ254" s="67"/>
      <c r="EYU254" s="67"/>
      <c r="EZY254" s="67"/>
      <c r="FBC254" s="67"/>
      <c r="FCG254" s="67"/>
      <c r="FDK254" s="67"/>
      <c r="FEO254" s="67"/>
      <c r="FFS254" s="67"/>
      <c r="FGW254" s="67"/>
      <c r="FIA254" s="67"/>
      <c r="FJE254" s="67"/>
      <c r="FKI254" s="67"/>
      <c r="FLM254" s="67"/>
      <c r="FMQ254" s="67"/>
      <c r="FNU254" s="67"/>
      <c r="FOY254" s="67"/>
      <c r="FQC254" s="67"/>
      <c r="FRG254" s="67"/>
      <c r="FSK254" s="67"/>
      <c r="FTO254" s="67"/>
      <c r="FUS254" s="67"/>
      <c r="FVW254" s="67"/>
      <c r="FXA254" s="67"/>
      <c r="FYE254" s="67"/>
      <c r="FZI254" s="67"/>
      <c r="GAM254" s="67"/>
      <c r="GBQ254" s="67"/>
      <c r="GCU254" s="67"/>
      <c r="GDY254" s="67"/>
      <c r="GFC254" s="67"/>
      <c r="GGG254" s="67"/>
      <c r="GHK254" s="67"/>
      <c r="GIO254" s="67"/>
      <c r="GJS254" s="67"/>
      <c r="GKW254" s="67"/>
      <c r="GMA254" s="67"/>
      <c r="GNE254" s="67"/>
      <c r="GOI254" s="67"/>
      <c r="GPM254" s="67"/>
      <c r="GQQ254" s="67"/>
      <c r="GRU254" s="67"/>
      <c r="GSY254" s="67"/>
      <c r="GUC254" s="67"/>
      <c r="GVG254" s="67"/>
      <c r="GWK254" s="67"/>
      <c r="GXO254" s="67"/>
      <c r="GYS254" s="67"/>
      <c r="GZW254" s="67"/>
      <c r="HBA254" s="67"/>
      <c r="HCE254" s="67"/>
      <c r="HDI254" s="67"/>
      <c r="HEM254" s="67"/>
      <c r="HFQ254" s="67"/>
      <c r="HGU254" s="67"/>
      <c r="HHY254" s="67"/>
      <c r="HJC254" s="67"/>
      <c r="HKG254" s="67"/>
      <c r="HLK254" s="67"/>
      <c r="HMO254" s="67"/>
      <c r="HNS254" s="67"/>
      <c r="HOW254" s="67"/>
      <c r="HQA254" s="67"/>
      <c r="HRE254" s="67"/>
      <c r="HSI254" s="67"/>
      <c r="HTM254" s="67"/>
      <c r="HUQ254" s="67"/>
      <c r="HVU254" s="67"/>
      <c r="HWY254" s="67"/>
      <c r="HYC254" s="67"/>
      <c r="HZG254" s="67"/>
      <c r="IAK254" s="67"/>
      <c r="IBO254" s="67"/>
      <c r="ICS254" s="67"/>
      <c r="IDW254" s="67"/>
      <c r="IFA254" s="67"/>
      <c r="IGE254" s="67"/>
      <c r="IHI254" s="67"/>
      <c r="IIM254" s="67"/>
      <c r="IJQ254" s="67"/>
      <c r="IKU254" s="67"/>
      <c r="ILY254" s="67"/>
      <c r="INC254" s="67"/>
      <c r="IOG254" s="67"/>
      <c r="IPK254" s="67"/>
      <c r="IQO254" s="67"/>
      <c r="IRS254" s="67"/>
      <c r="ISW254" s="67"/>
      <c r="IUA254" s="67"/>
      <c r="IVE254" s="67"/>
      <c r="IWI254" s="67"/>
      <c r="IXM254" s="67"/>
      <c r="IYQ254" s="67"/>
      <c r="IZU254" s="67"/>
      <c r="JAY254" s="67"/>
      <c r="JCC254" s="67"/>
      <c r="JDG254" s="67"/>
      <c r="JEK254" s="67"/>
      <c r="JFO254" s="67"/>
      <c r="JGS254" s="67"/>
      <c r="JHW254" s="67"/>
      <c r="JJA254" s="67"/>
      <c r="JKE254" s="67"/>
      <c r="JLI254" s="67"/>
      <c r="JMM254" s="67"/>
      <c r="JNQ254" s="67"/>
      <c r="JOU254" s="67"/>
      <c r="JPY254" s="67"/>
      <c r="JRC254" s="67"/>
      <c r="JSG254" s="67"/>
      <c r="JTK254" s="67"/>
      <c r="JUO254" s="67"/>
      <c r="JVS254" s="67"/>
      <c r="JWW254" s="67"/>
      <c r="JYA254" s="67"/>
      <c r="JZE254" s="67"/>
      <c r="KAI254" s="67"/>
      <c r="KBM254" s="67"/>
      <c r="KCQ254" s="67"/>
      <c r="KDU254" s="67"/>
      <c r="KEY254" s="67"/>
      <c r="KGC254" s="67"/>
      <c r="KHG254" s="67"/>
      <c r="KIK254" s="67"/>
      <c r="KJO254" s="67"/>
      <c r="KKS254" s="67"/>
      <c r="KLW254" s="67"/>
      <c r="KNA254" s="67"/>
      <c r="KOE254" s="67"/>
      <c r="KPI254" s="67"/>
      <c r="KQM254" s="67"/>
      <c r="KRQ254" s="67"/>
      <c r="KSU254" s="67"/>
      <c r="KTY254" s="67"/>
      <c r="KVC254" s="67"/>
      <c r="KWG254" s="67"/>
      <c r="KXK254" s="67"/>
      <c r="KYO254" s="67"/>
      <c r="KZS254" s="67"/>
      <c r="LAW254" s="67"/>
      <c r="LCA254" s="67"/>
      <c r="LDE254" s="67"/>
      <c r="LEI254" s="67"/>
      <c r="LFM254" s="67"/>
      <c r="LGQ254" s="67"/>
      <c r="LHU254" s="67"/>
      <c r="LIY254" s="67"/>
      <c r="LKC254" s="67"/>
      <c r="LLG254" s="67"/>
      <c r="LMK254" s="67"/>
      <c r="LNO254" s="67"/>
      <c r="LOS254" s="67"/>
      <c r="LPW254" s="67"/>
      <c r="LRA254" s="67"/>
      <c r="LSE254" s="67"/>
      <c r="LTI254" s="67"/>
      <c r="LUM254" s="67"/>
      <c r="LVQ254" s="67"/>
      <c r="LWU254" s="67"/>
      <c r="LXY254" s="67"/>
      <c r="LZC254" s="67"/>
      <c r="MAG254" s="67"/>
      <c r="MBK254" s="67"/>
      <c r="MCO254" s="67"/>
      <c r="MDS254" s="67"/>
      <c r="MEW254" s="67"/>
      <c r="MGA254" s="67"/>
      <c r="MHE254" s="67"/>
      <c r="MII254" s="67"/>
      <c r="MJM254" s="67"/>
      <c r="MKQ254" s="67"/>
      <c r="MLU254" s="67"/>
      <c r="MMY254" s="67"/>
      <c r="MOC254" s="67"/>
      <c r="MPG254" s="67"/>
      <c r="MQK254" s="67"/>
      <c r="MRO254" s="67"/>
      <c r="MSS254" s="67"/>
      <c r="MTW254" s="67"/>
      <c r="MVA254" s="67"/>
      <c r="MWE254" s="67"/>
      <c r="MXI254" s="67"/>
      <c r="MYM254" s="67"/>
      <c r="MZQ254" s="67"/>
      <c r="NAU254" s="67"/>
      <c r="NBY254" s="67"/>
      <c r="NDC254" s="67"/>
      <c r="NEG254" s="67"/>
      <c r="NFK254" s="67"/>
      <c r="NGO254" s="67"/>
      <c r="NHS254" s="67"/>
      <c r="NIW254" s="67"/>
      <c r="NKA254" s="67"/>
      <c r="NLE254" s="67"/>
      <c r="NMI254" s="67"/>
      <c r="NNM254" s="67"/>
      <c r="NOQ254" s="67"/>
      <c r="NPU254" s="67"/>
      <c r="NQY254" s="67"/>
      <c r="NSC254" s="67"/>
      <c r="NTG254" s="67"/>
      <c r="NUK254" s="67"/>
      <c r="NVO254" s="67"/>
      <c r="NWS254" s="67"/>
      <c r="NXW254" s="67"/>
      <c r="NZA254" s="67"/>
      <c r="OAE254" s="67"/>
      <c r="OBI254" s="67"/>
      <c r="OCM254" s="67"/>
      <c r="ODQ254" s="67"/>
      <c r="OEU254" s="67"/>
      <c r="OFY254" s="67"/>
      <c r="OHC254" s="67"/>
      <c r="OIG254" s="67"/>
      <c r="OJK254" s="67"/>
      <c r="OKO254" s="67"/>
      <c r="OLS254" s="67"/>
      <c r="OMW254" s="67"/>
      <c r="OOA254" s="67"/>
      <c r="OPE254" s="67"/>
      <c r="OQI254" s="67"/>
      <c r="ORM254" s="67"/>
      <c r="OSQ254" s="67"/>
      <c r="OTU254" s="67"/>
      <c r="OUY254" s="67"/>
      <c r="OWC254" s="67"/>
      <c r="OXG254" s="67"/>
      <c r="OYK254" s="67"/>
      <c r="OZO254" s="67"/>
      <c r="PAS254" s="67"/>
      <c r="PBW254" s="67"/>
      <c r="PDA254" s="67"/>
      <c r="PEE254" s="67"/>
      <c r="PFI254" s="67"/>
      <c r="PGM254" s="67"/>
      <c r="PHQ254" s="67"/>
      <c r="PIU254" s="67"/>
      <c r="PJY254" s="67"/>
      <c r="PLC254" s="67"/>
      <c r="PMG254" s="67"/>
      <c r="PNK254" s="67"/>
      <c r="POO254" s="67"/>
      <c r="PPS254" s="67"/>
      <c r="PQW254" s="67"/>
      <c r="PSA254" s="67"/>
      <c r="PTE254" s="67"/>
      <c r="PUI254" s="67"/>
      <c r="PVM254" s="67"/>
      <c r="PWQ254" s="67"/>
      <c r="PXU254" s="67"/>
      <c r="PYY254" s="67"/>
      <c r="QAC254" s="67"/>
      <c r="QBG254" s="67"/>
      <c r="QCK254" s="67"/>
      <c r="QDO254" s="67"/>
      <c r="QES254" s="67"/>
      <c r="QFW254" s="67"/>
      <c r="QHA254" s="67"/>
      <c r="QIE254" s="67"/>
      <c r="QJI254" s="67"/>
      <c r="QKM254" s="67"/>
      <c r="QLQ254" s="67"/>
      <c r="QMU254" s="67"/>
      <c r="QNY254" s="67"/>
      <c r="QPC254" s="67"/>
      <c r="QQG254" s="67"/>
      <c r="QRK254" s="67"/>
      <c r="QSO254" s="67"/>
      <c r="QTS254" s="67"/>
      <c r="QUW254" s="67"/>
      <c r="QWA254" s="67"/>
      <c r="QXE254" s="67"/>
      <c r="QYI254" s="67"/>
      <c r="QZM254" s="67"/>
      <c r="RAQ254" s="67"/>
      <c r="RBU254" s="67"/>
      <c r="RCY254" s="67"/>
      <c r="REC254" s="67"/>
      <c r="RFG254" s="67"/>
      <c r="RGK254" s="67"/>
      <c r="RHO254" s="67"/>
      <c r="RIS254" s="67"/>
      <c r="RJW254" s="67"/>
      <c r="RLA254" s="67"/>
      <c r="RME254" s="67"/>
      <c r="RNI254" s="67"/>
      <c r="ROM254" s="67"/>
      <c r="RPQ254" s="67"/>
      <c r="RQU254" s="67"/>
      <c r="RRY254" s="67"/>
      <c r="RTC254" s="67"/>
      <c r="RUG254" s="67"/>
      <c r="RVK254" s="67"/>
      <c r="RWO254" s="67"/>
      <c r="RXS254" s="67"/>
      <c r="RYW254" s="67"/>
      <c r="SAA254" s="67"/>
      <c r="SBE254" s="67"/>
      <c r="SCI254" s="67"/>
      <c r="SDM254" s="67"/>
      <c r="SEQ254" s="67"/>
      <c r="SFU254" s="67"/>
      <c r="SGY254" s="67"/>
      <c r="SIC254" s="67"/>
      <c r="SJG254" s="67"/>
      <c r="SKK254" s="67"/>
      <c r="SLO254" s="67"/>
      <c r="SMS254" s="67"/>
      <c r="SNW254" s="67"/>
      <c r="SPA254" s="67"/>
      <c r="SQE254" s="67"/>
      <c r="SRI254" s="67"/>
      <c r="SSM254" s="67"/>
      <c r="STQ254" s="67"/>
      <c r="SUU254" s="67"/>
      <c r="SVY254" s="67"/>
      <c r="SXC254" s="67"/>
      <c r="SYG254" s="67"/>
      <c r="SZK254" s="67"/>
      <c r="TAO254" s="67"/>
      <c r="TBS254" s="67"/>
      <c r="TCW254" s="67"/>
      <c r="TEA254" s="67"/>
      <c r="TFE254" s="67"/>
      <c r="TGI254" s="67"/>
      <c r="THM254" s="67"/>
      <c r="TIQ254" s="67"/>
      <c r="TJU254" s="67"/>
      <c r="TKY254" s="67"/>
      <c r="TMC254" s="67"/>
      <c r="TNG254" s="67"/>
      <c r="TOK254" s="67"/>
      <c r="TPO254" s="67"/>
      <c r="TQS254" s="67"/>
      <c r="TRW254" s="67"/>
      <c r="TTA254" s="67"/>
      <c r="TUE254" s="67"/>
      <c r="TVI254" s="67"/>
      <c r="TWM254" s="67"/>
      <c r="TXQ254" s="67"/>
      <c r="TYU254" s="67"/>
      <c r="TZY254" s="67"/>
      <c r="UBC254" s="67"/>
      <c r="UCG254" s="67"/>
      <c r="UDK254" s="67"/>
      <c r="UEO254" s="67"/>
      <c r="UFS254" s="67"/>
      <c r="UGW254" s="67"/>
      <c r="UIA254" s="67"/>
      <c r="UJE254" s="67"/>
      <c r="UKI254" s="67"/>
      <c r="ULM254" s="67"/>
      <c r="UMQ254" s="67"/>
      <c r="UNU254" s="67"/>
      <c r="UOY254" s="67"/>
      <c r="UQC254" s="67"/>
      <c r="URG254" s="67"/>
      <c r="USK254" s="67"/>
      <c r="UTO254" s="67"/>
      <c r="UUS254" s="67"/>
      <c r="UVW254" s="67"/>
      <c r="UXA254" s="67"/>
      <c r="UYE254" s="67"/>
      <c r="UZI254" s="67"/>
      <c r="VAM254" s="67"/>
      <c r="VBQ254" s="67"/>
      <c r="VCU254" s="67"/>
      <c r="VDY254" s="67"/>
      <c r="VFC254" s="67"/>
      <c r="VGG254" s="67"/>
      <c r="VHK254" s="67"/>
      <c r="VIO254" s="67"/>
      <c r="VJS254" s="67"/>
      <c r="VKW254" s="67"/>
      <c r="VMA254" s="67"/>
      <c r="VNE254" s="67"/>
      <c r="VOI254" s="67"/>
      <c r="VPM254" s="67"/>
      <c r="VQQ254" s="67"/>
      <c r="VRU254" s="67"/>
      <c r="VSY254" s="67"/>
      <c r="VUC254" s="67"/>
      <c r="VVG254" s="67"/>
      <c r="VWK254" s="67"/>
      <c r="VXO254" s="67"/>
      <c r="VYS254" s="67"/>
      <c r="VZW254" s="67"/>
      <c r="WBA254" s="67"/>
      <c r="WCE254" s="67"/>
      <c r="WDI254" s="67"/>
      <c r="WEM254" s="67"/>
      <c r="WFQ254" s="67"/>
      <c r="WGU254" s="67"/>
      <c r="WHY254" s="67"/>
      <c r="WJC254" s="67"/>
      <c r="WKG254" s="67"/>
      <c r="WLK254" s="67"/>
      <c r="WMO254" s="67"/>
      <c r="WNS254" s="67"/>
      <c r="WOW254" s="67"/>
      <c r="WQA254" s="67"/>
      <c r="WRE254" s="67"/>
      <c r="WSI254" s="67"/>
      <c r="WTM254" s="67"/>
      <c r="WUQ254" s="67"/>
      <c r="WVU254" s="67"/>
      <c r="WWY254" s="67"/>
      <c r="WYC254" s="67"/>
      <c r="WZG254" s="67"/>
      <c r="XAK254" s="67"/>
      <c r="XBO254" s="67"/>
      <c r="XCS254" s="67"/>
      <c r="XDW254" s="67"/>
      <c r="XFA254" s="67"/>
    </row>
    <row r="255" spans="1:1021 1051:2041 2071:3061 3091:4081 4111:5101 5131:6121 6151:7141 7171:8191 8221:9211 9241:10231 10261:11251 11281:12271 12301:13291 13321:14311 14341:15331 15361:16381" hidden="1">
      <c r="A255" s="67" t="s">
        <v>12</v>
      </c>
      <c r="B255" s="36">
        <v>504.02595841845937</v>
      </c>
      <c r="C255" s="36">
        <v>619.94196994006404</v>
      </c>
      <c r="D255" s="36">
        <v>721.92787395289781</v>
      </c>
      <c r="E255" s="36">
        <v>813.65259716622108</v>
      </c>
      <c r="F255" s="36">
        <v>852.11761981593531</v>
      </c>
      <c r="G255" s="36">
        <v>884.22020036440142</v>
      </c>
      <c r="H255" s="36">
        <v>911.65214535728819</v>
      </c>
      <c r="I255" s="36">
        <v>935.26062840070335</v>
      </c>
      <c r="J255" s="36">
        <v>955.46988580993263</v>
      </c>
      <c r="K255" s="36">
        <v>955.72430093844446</v>
      </c>
      <c r="L255" s="36">
        <v>953.30318583627616</v>
      </c>
      <c r="M255" s="36">
        <v>948.89228809163819</v>
      </c>
      <c r="N255" s="36">
        <v>942.83495835449241</v>
      </c>
      <c r="O255" s="36">
        <v>935.30311181839738</v>
      </c>
      <c r="P255" s="36">
        <v>910.48404163661939</v>
      </c>
      <c r="Q255" s="36">
        <v>884.83353311076223</v>
      </c>
      <c r="R255" s="36">
        <v>859.17137207344285</v>
      </c>
      <c r="S255" s="36">
        <v>833.90781456908701</v>
      </c>
      <c r="T255" s="36">
        <v>809.24816100963824</v>
      </c>
      <c r="U255" s="36">
        <v>772.63093507228518</v>
      </c>
      <c r="V255" s="36">
        <v>737.36040336101792</v>
      </c>
      <c r="W255" s="36">
        <v>704.43003549094146</v>
      </c>
      <c r="X255" s="36">
        <v>674.33682316521549</v>
      </c>
      <c r="Y255" s="36">
        <v>647.32937497426019</v>
      </c>
      <c r="Z255" s="36">
        <v>616.39338180611969</v>
      </c>
      <c r="AA255" s="36">
        <v>589.37141292177785</v>
      </c>
      <c r="AB255" s="36">
        <v>567.39895076265225</v>
      </c>
      <c r="AC255" s="36">
        <v>551.0438964854128</v>
      </c>
      <c r="AD255" s="36">
        <v>540.59025454003745</v>
      </c>
    </row>
    <row r="256" spans="1:1021 1051:2041 2071:3061 3091:4081 4111:5101 5131:6121 6151:7141 7171:8191 8221:9211 9241:10231 10261:11251 11281:12271 12301:13291 13321:14311 14341:15331 15361:16381" hidden="1">
      <c r="A256" s="67" t="s">
        <v>15</v>
      </c>
      <c r="B256" s="36">
        <v>504.02595841845937</v>
      </c>
      <c r="C256" s="36">
        <v>483.10122096412982</v>
      </c>
      <c r="D256" s="36">
        <v>454.9626934392146</v>
      </c>
      <c r="E256" s="36">
        <v>424.52889590142451</v>
      </c>
      <c r="F256" s="36">
        <v>420.49407602730821</v>
      </c>
      <c r="G256" s="36">
        <v>417.32621165586789</v>
      </c>
      <c r="H256" s="36">
        <v>414.8511562093862</v>
      </c>
      <c r="I256" s="36">
        <v>412.98182427904175</v>
      </c>
      <c r="J256" s="36">
        <v>411.67466706245176</v>
      </c>
      <c r="K256" s="36">
        <v>411.75316907207383</v>
      </c>
      <c r="L256" s="36">
        <v>412.34009082814384</v>
      </c>
      <c r="M256" s="36">
        <v>413.39822253393351</v>
      </c>
      <c r="N256" s="36">
        <v>414.90895627476311</v>
      </c>
      <c r="O256" s="36">
        <v>416.8629865432477</v>
      </c>
      <c r="P256" s="36">
        <v>419.75345410244859</v>
      </c>
      <c r="Q256" s="36">
        <v>423.0634366644947</v>
      </c>
      <c r="R256" s="36">
        <v>426.76694993962934</v>
      </c>
      <c r="S256" s="36">
        <v>430.85099950411023</v>
      </c>
      <c r="T256" s="36">
        <v>435.30908696536432</v>
      </c>
      <c r="U256" s="36">
        <v>440.49195501463652</v>
      </c>
      <c r="V256" s="36">
        <v>446.0259090775927</v>
      </c>
      <c r="W256" s="36">
        <v>451.88374537717948</v>
      </c>
      <c r="X256" s="36">
        <v>458.05185956633909</v>
      </c>
      <c r="Y256" s="36">
        <v>464.52344820941011</v>
      </c>
      <c r="Z256" s="36">
        <v>471.3171977764265</v>
      </c>
      <c r="AA256" s="36">
        <v>478.40649989319758</v>
      </c>
      <c r="AB256" s="36">
        <v>485.78749235731868</v>
      </c>
      <c r="AC256" s="36">
        <v>493.45824365966013</v>
      </c>
      <c r="AD256" s="36">
        <v>501.41778781084435</v>
      </c>
    </row>
    <row r="257" spans="1:1021 1051:2041 2071:3061 3091:4081 4111:5101 5131:6121 6151:7141 7171:8191 8221:9211 9241:10231 10261:11251 11281:12271 12301:13291 13321:14311 14341:15331 15361:16381" hidden="1">
      <c r="A257" s="67" t="s">
        <v>19</v>
      </c>
      <c r="B257" s="36">
        <v>504.02595841845937</v>
      </c>
      <c r="C257" s="36">
        <v>483.10122096412982</v>
      </c>
      <c r="D257" s="36">
        <v>454.9626934392146</v>
      </c>
      <c r="E257" s="36">
        <v>424.52889590142451</v>
      </c>
      <c r="F257" s="36">
        <v>420.49407602730821</v>
      </c>
      <c r="G257" s="36">
        <v>417.32621165586789</v>
      </c>
      <c r="H257" s="36">
        <v>414.8511562093862</v>
      </c>
      <c r="I257" s="36">
        <v>412.98182427904175</v>
      </c>
      <c r="J257" s="36">
        <v>411.67466706245176</v>
      </c>
      <c r="K257" s="36">
        <v>961.09410983073701</v>
      </c>
      <c r="L257" s="36">
        <v>1500.53537390478</v>
      </c>
      <c r="M257" s="36">
        <v>2007.3976209173086</v>
      </c>
      <c r="N257" s="36">
        <v>2470.2621410543443</v>
      </c>
      <c r="O257" s="36">
        <v>2883.4110193041311</v>
      </c>
      <c r="P257" s="36">
        <v>3037.2196053252069</v>
      </c>
      <c r="Q257" s="36">
        <v>3145.3319462185959</v>
      </c>
      <c r="R257" s="36">
        <v>3216.6415381148231</v>
      </c>
      <c r="S257" s="36">
        <v>3255.6219724304451</v>
      </c>
      <c r="T257" s="36">
        <v>3264.5242094087221</v>
      </c>
      <c r="U257" s="36">
        <v>3221.2062018726306</v>
      </c>
      <c r="V257" s="36">
        <v>3150.7253551409976</v>
      </c>
      <c r="W257" s="36">
        <v>3055.0323723284364</v>
      </c>
      <c r="X257" s="36">
        <v>2935.1100498844453</v>
      </c>
      <c r="Y257" s="36">
        <v>2791.4518989120238</v>
      </c>
      <c r="Z257" s="36">
        <v>2611.4160463153262</v>
      </c>
      <c r="AA257" s="36">
        <v>2409.29008901205</v>
      </c>
      <c r="AB257" s="36">
        <v>2187.0121638132782</v>
      </c>
      <c r="AC257" s="36">
        <v>1945.5513085953637</v>
      </c>
      <c r="AD257" s="36">
        <v>1685.3871571681302</v>
      </c>
    </row>
    <row r="258" spans="1:1021 1051:2041 2071:3061 3091:4081 4111:5101 5131:6121 6151:7141 7171:8191 8221:9211 9241:10231 10261:11251 11281:12271 12301:13291 13321:14311 14341:15331 15361:16381" hidden="1">
      <c r="A258" s="67" t="s">
        <v>22</v>
      </c>
      <c r="B258" s="36">
        <v>504.02595841845937</v>
      </c>
      <c r="C258" s="36">
        <v>1703.3375047245356</v>
      </c>
      <c r="D258" s="36">
        <v>2838.2338296000225</v>
      </c>
      <c r="E258" s="36">
        <v>3899.5794491286374</v>
      </c>
      <c r="F258" s="36">
        <v>4163.5402265042112</v>
      </c>
      <c r="G258" s="36">
        <v>4366.3270436669445</v>
      </c>
      <c r="H258" s="36">
        <v>4527.6419503039742</v>
      </c>
      <c r="I258" s="36">
        <v>4657.4028569174479</v>
      </c>
      <c r="J258" s="36">
        <v>4760.6039162782754</v>
      </c>
      <c r="K258" s="36">
        <v>4701.8847172158721</v>
      </c>
      <c r="L258" s="36">
        <v>4625.5174708318482</v>
      </c>
      <c r="M258" s="36">
        <v>4536.2481095954608</v>
      </c>
      <c r="N258" s="36">
        <v>4436.4706126202636</v>
      </c>
      <c r="O258" s="36">
        <v>4327.3917932957593</v>
      </c>
      <c r="P258" s="36">
        <v>4092.4448796671327</v>
      </c>
      <c r="Q258" s="36">
        <v>3854.3492514428399</v>
      </c>
      <c r="R258" s="36">
        <v>3618.2010342295293</v>
      </c>
      <c r="S258" s="36">
        <v>3386.5619324172048</v>
      </c>
      <c r="T258" s="36">
        <v>3160.7183421018076</v>
      </c>
      <c r="U258" s="36">
        <v>2886.3921793359791</v>
      </c>
      <c r="V258" s="36">
        <v>2621.774859473549</v>
      </c>
      <c r="W258" s="36">
        <v>2370.9156806592064</v>
      </c>
      <c r="X258" s="36">
        <v>2135.8471052655132</v>
      </c>
      <c r="Y258" s="36">
        <v>1917.5881038969781</v>
      </c>
      <c r="Z258" s="36">
        <v>1662.1313257288055</v>
      </c>
      <c r="AA258" s="36">
        <v>1429.4558979527303</v>
      </c>
      <c r="AB258" s="36">
        <v>1227.8408065553911</v>
      </c>
      <c r="AC258" s="36">
        <v>1061.4352226161261</v>
      </c>
      <c r="AD258" s="36">
        <v>932.31841651815182</v>
      </c>
    </row>
    <row r="259" spans="1:1021 1051:2041 2071:3061 3091:4081 4111:5101 5131:6121 6151:7141 7171:8191 8221:9211 9241:10231 10261:11251 11281:12271 12301:13291 13321:14311 14341:15331 15361:16381" hidden="1">
      <c r="A259" s="67" t="s">
        <v>24</v>
      </c>
      <c r="B259" s="36">
        <v>504.02595841845937</v>
      </c>
      <c r="C259" s="36">
        <v>690.55827972153486</v>
      </c>
      <c r="D259" s="36">
        <v>859.92177142832134</v>
      </c>
      <c r="E259" s="36">
        <v>1015.0511383824645</v>
      </c>
      <c r="F259" s="36">
        <v>1114.8794975703079</v>
      </c>
      <c r="G259" s="36">
        <v>1203.5250192737906</v>
      </c>
      <c r="H259" s="36">
        <v>1282.6443436909012</v>
      </c>
      <c r="I259" s="36">
        <v>1353.0689793548527</v>
      </c>
      <c r="J259" s="36">
        <v>1415.2164085657851</v>
      </c>
      <c r="K259" s="36">
        <v>1363.379912046759</v>
      </c>
      <c r="L259" s="36">
        <v>1306.5893213595809</v>
      </c>
      <c r="M259" s="36">
        <v>1248.6445245401633</v>
      </c>
      <c r="N259" s="36">
        <v>1191.4471049579463</v>
      </c>
      <c r="O259" s="36">
        <v>1135.9486712275746</v>
      </c>
      <c r="P259" s="36">
        <v>1085.5983932723725</v>
      </c>
      <c r="Q259" s="36">
        <v>1037.55182230985</v>
      </c>
      <c r="R259" s="36">
        <v>991.78639964411411</v>
      </c>
      <c r="S259" s="36">
        <v>948.29082846056338</v>
      </c>
      <c r="T259" s="36">
        <v>907.05944666690084</v>
      </c>
      <c r="U259" s="36">
        <v>870.41821532946665</v>
      </c>
      <c r="V259" s="36">
        <v>835.91559599847983</v>
      </c>
      <c r="W259" s="36">
        <v>803.37974777431691</v>
      </c>
      <c r="X259" s="36">
        <v>772.72465659092143</v>
      </c>
      <c r="Y259" s="36">
        <v>743.90726502454106</v>
      </c>
      <c r="Z259" s="36">
        <v>717.00876285274887</v>
      </c>
      <c r="AA259" s="36">
        <v>691.90522989395936</v>
      </c>
      <c r="AB259" s="36">
        <v>668.57595417856498</v>
      </c>
      <c r="AC259" s="36">
        <v>647.0105650234342</v>
      </c>
      <c r="AD259" s="36">
        <v>627.20386851856017</v>
      </c>
    </row>
    <row r="260" spans="1:1021 1051:2041 2071:3061 3091:4081 4111:5101 5131:6121 6151:7141 7171:8191 8221:9211 9241:10231 10261:11251 11281:12271 12301:13291 13321:14311 14341:15331 15361:16381" hidden="1">
      <c r="A260" s="67" t="s">
        <v>25</v>
      </c>
      <c r="B260" s="36">
        <v>504.02595841845937</v>
      </c>
      <c r="C260" s="36">
        <v>995.29046712399224</v>
      </c>
      <c r="D260" s="36">
        <v>1456.5128279444987</v>
      </c>
      <c r="E260" s="36">
        <v>1886.5805196955757</v>
      </c>
      <c r="F260" s="36">
        <v>1993.8651247232203</v>
      </c>
      <c r="G260" s="36">
        <v>2075.7428299405765</v>
      </c>
      <c r="H260" s="36">
        <v>2140.5451645133694</v>
      </c>
      <c r="I260" s="36">
        <v>2192.4540914043291</v>
      </c>
      <c r="J260" s="36">
        <v>2233.5689013074707</v>
      </c>
      <c r="K260" s="36">
        <v>2464.1326075469701</v>
      </c>
      <c r="L260" s="36">
        <v>2679.483187886417</v>
      </c>
      <c r="M260" s="36">
        <v>2873.03481368451</v>
      </c>
      <c r="N260" s="36">
        <v>3041.4831975756451</v>
      </c>
      <c r="O260" s="36">
        <v>3183.1743570337271</v>
      </c>
      <c r="P260" s="36">
        <v>3231.1085440311358</v>
      </c>
      <c r="Q260" s="36">
        <v>3253.6225134335173</v>
      </c>
      <c r="R260" s="36">
        <v>3253.5462863282464</v>
      </c>
      <c r="S260" s="36">
        <v>3232.3091515346728</v>
      </c>
      <c r="T260" s="36">
        <v>3190.6329907991312</v>
      </c>
      <c r="U260" s="36">
        <v>3096.9523982136193</v>
      </c>
      <c r="V260" s="36">
        <v>2985.0552168958916</v>
      </c>
      <c r="W260" s="36">
        <v>2857.3111865122132</v>
      </c>
      <c r="X260" s="36">
        <v>2714.913780729255</v>
      </c>
      <c r="Y260" s="36">
        <v>2558.4625693935682</v>
      </c>
      <c r="Z260" s="36">
        <v>2363.8926598989869</v>
      </c>
      <c r="AA260" s="36">
        <v>2158.071555530671</v>
      </c>
      <c r="AB260" s="36">
        <v>1944.6714803654347</v>
      </c>
      <c r="AC260" s="36">
        <v>1725.5355977180322</v>
      </c>
      <c r="AD260" s="36">
        <v>1501.5861217311729</v>
      </c>
    </row>
    <row r="261" spans="1:1021 1051:2041 2071:3061 3091:4081 4111:5101 5131:6121 6151:7141 7171:8191 8221:9211 9241:10231 10261:11251 11281:12271 12301:13291 13321:14311 14341:15331 15361:16381">
      <c r="A261" s="69"/>
    </row>
    <row r="262" spans="1:1021 1051:2041 2071:3061 3091:4081 4111:5101 5131:6121 6151:7141 7171:8191 8221:9211 9241:10231 10261:11251 11281:12271 12301:13291 13321:14311 14341:15331 15361:16381" s="68" customFormat="1">
      <c r="A262" s="67" t="s">
        <v>47</v>
      </c>
      <c r="B262" s="68">
        <v>2022</v>
      </c>
      <c r="C262" s="68">
        <v>2023</v>
      </c>
      <c r="D262" s="68">
        <v>2024</v>
      </c>
      <c r="E262" s="68">
        <v>2025</v>
      </c>
      <c r="F262" s="68">
        <v>2026</v>
      </c>
      <c r="G262" s="68">
        <v>2027</v>
      </c>
      <c r="H262" s="68">
        <v>2028</v>
      </c>
      <c r="I262" s="68">
        <v>2029</v>
      </c>
      <c r="J262" s="68">
        <v>2030</v>
      </c>
      <c r="K262" s="68">
        <v>2031</v>
      </c>
      <c r="L262" s="68">
        <v>2032</v>
      </c>
      <c r="M262" s="68">
        <v>2033</v>
      </c>
      <c r="N262" s="68">
        <v>2034</v>
      </c>
      <c r="O262" s="68">
        <v>2035</v>
      </c>
      <c r="P262" s="68">
        <v>2036</v>
      </c>
      <c r="Q262" s="68">
        <v>2037</v>
      </c>
      <c r="R262" s="68">
        <v>2038</v>
      </c>
      <c r="S262" s="68">
        <v>2039</v>
      </c>
      <c r="T262" s="68">
        <v>2040</v>
      </c>
      <c r="U262" s="68">
        <v>2041</v>
      </c>
      <c r="V262" s="68">
        <v>2042</v>
      </c>
      <c r="W262" s="68">
        <v>2043</v>
      </c>
      <c r="X262" s="68">
        <v>2044</v>
      </c>
      <c r="Y262" s="68">
        <v>2045</v>
      </c>
      <c r="Z262" s="68">
        <v>2046</v>
      </c>
      <c r="AA262" s="68">
        <v>2047</v>
      </c>
      <c r="AB262" s="68">
        <v>2048</v>
      </c>
      <c r="AC262" s="68">
        <v>2049</v>
      </c>
      <c r="AD262" s="68">
        <v>2050</v>
      </c>
      <c r="AE262" s="67"/>
      <c r="BI262" s="67"/>
      <c r="CM262" s="67"/>
      <c r="DQ262" s="67"/>
      <c r="EU262" s="67"/>
      <c r="FY262" s="67"/>
      <c r="HC262" s="67"/>
      <c r="IG262" s="67"/>
      <c r="JK262" s="67"/>
      <c r="KO262" s="67"/>
      <c r="LS262" s="67"/>
      <c r="MW262" s="67"/>
      <c r="OA262" s="67"/>
      <c r="PE262" s="67"/>
      <c r="QI262" s="67"/>
      <c r="RM262" s="67"/>
      <c r="SQ262" s="67"/>
      <c r="TU262" s="67"/>
      <c r="UY262" s="67"/>
      <c r="WC262" s="67"/>
      <c r="XG262" s="67"/>
      <c r="YK262" s="67"/>
      <c r="ZO262" s="67"/>
      <c r="AAS262" s="67"/>
      <c r="ABW262" s="67"/>
      <c r="ADA262" s="67"/>
      <c r="AEE262" s="67"/>
      <c r="AFI262" s="67"/>
      <c r="AGM262" s="67"/>
      <c r="AHQ262" s="67"/>
      <c r="AIU262" s="67"/>
      <c r="AJY262" s="67"/>
      <c r="ALC262" s="67"/>
      <c r="AMG262" s="67"/>
      <c r="ANK262" s="67"/>
      <c r="AOO262" s="67"/>
      <c r="APS262" s="67"/>
      <c r="AQW262" s="67"/>
      <c r="ASA262" s="67"/>
      <c r="ATE262" s="67"/>
      <c r="AUI262" s="67"/>
      <c r="AVM262" s="67"/>
      <c r="AWQ262" s="67"/>
      <c r="AXU262" s="67"/>
      <c r="AYY262" s="67"/>
      <c r="BAC262" s="67"/>
      <c r="BBG262" s="67"/>
      <c r="BCK262" s="67"/>
      <c r="BDO262" s="67"/>
      <c r="BES262" s="67"/>
      <c r="BFW262" s="67"/>
      <c r="BHA262" s="67"/>
      <c r="BIE262" s="67"/>
      <c r="BJI262" s="67"/>
      <c r="BKM262" s="67"/>
      <c r="BLQ262" s="67"/>
      <c r="BMU262" s="67"/>
      <c r="BNY262" s="67"/>
      <c r="BPC262" s="67"/>
      <c r="BQG262" s="67"/>
      <c r="BRK262" s="67"/>
      <c r="BSO262" s="67"/>
      <c r="BTS262" s="67"/>
      <c r="BUW262" s="67"/>
      <c r="BWA262" s="67"/>
      <c r="BXE262" s="67"/>
      <c r="BYI262" s="67"/>
      <c r="BZM262" s="67"/>
      <c r="CAQ262" s="67"/>
      <c r="CBU262" s="67"/>
      <c r="CCY262" s="67"/>
      <c r="CEC262" s="67"/>
      <c r="CFG262" s="67"/>
      <c r="CGK262" s="67"/>
      <c r="CHO262" s="67"/>
      <c r="CIS262" s="67"/>
      <c r="CJW262" s="67"/>
      <c r="CLA262" s="67"/>
      <c r="CME262" s="67"/>
      <c r="CNI262" s="67"/>
      <c r="COM262" s="67"/>
      <c r="CPQ262" s="67"/>
      <c r="CQU262" s="67"/>
      <c r="CRY262" s="67"/>
      <c r="CTC262" s="67"/>
      <c r="CUG262" s="67"/>
      <c r="CVK262" s="67"/>
      <c r="CWO262" s="67"/>
      <c r="CXS262" s="67"/>
      <c r="CYW262" s="67"/>
      <c r="DAA262" s="67"/>
      <c r="DBE262" s="67"/>
      <c r="DCI262" s="67"/>
      <c r="DDM262" s="67"/>
      <c r="DEQ262" s="67"/>
      <c r="DFU262" s="67"/>
      <c r="DGY262" s="67"/>
      <c r="DIC262" s="67"/>
      <c r="DJG262" s="67"/>
      <c r="DKK262" s="67"/>
      <c r="DLO262" s="67"/>
      <c r="DMS262" s="67"/>
      <c r="DNW262" s="67"/>
      <c r="DPA262" s="67"/>
      <c r="DQE262" s="67"/>
      <c r="DRI262" s="67"/>
      <c r="DSM262" s="67"/>
      <c r="DTQ262" s="67"/>
      <c r="DUU262" s="67"/>
      <c r="DVY262" s="67"/>
      <c r="DXC262" s="67"/>
      <c r="DYG262" s="67"/>
      <c r="DZK262" s="67"/>
      <c r="EAO262" s="67"/>
      <c r="EBS262" s="67"/>
      <c r="ECW262" s="67"/>
      <c r="EEA262" s="67"/>
      <c r="EFE262" s="67"/>
      <c r="EGI262" s="67"/>
      <c r="EHM262" s="67"/>
      <c r="EIQ262" s="67"/>
      <c r="EJU262" s="67"/>
      <c r="EKY262" s="67"/>
      <c r="EMC262" s="67"/>
      <c r="ENG262" s="67"/>
      <c r="EOK262" s="67"/>
      <c r="EPO262" s="67"/>
      <c r="EQS262" s="67"/>
      <c r="ERW262" s="67"/>
      <c r="ETA262" s="67"/>
      <c r="EUE262" s="67"/>
      <c r="EVI262" s="67"/>
      <c r="EWM262" s="67"/>
      <c r="EXQ262" s="67"/>
      <c r="EYU262" s="67"/>
      <c r="EZY262" s="67"/>
      <c r="FBC262" s="67"/>
      <c r="FCG262" s="67"/>
      <c r="FDK262" s="67"/>
      <c r="FEO262" s="67"/>
      <c r="FFS262" s="67"/>
      <c r="FGW262" s="67"/>
      <c r="FIA262" s="67"/>
      <c r="FJE262" s="67"/>
      <c r="FKI262" s="67"/>
      <c r="FLM262" s="67"/>
      <c r="FMQ262" s="67"/>
      <c r="FNU262" s="67"/>
      <c r="FOY262" s="67"/>
      <c r="FQC262" s="67"/>
      <c r="FRG262" s="67"/>
      <c r="FSK262" s="67"/>
      <c r="FTO262" s="67"/>
      <c r="FUS262" s="67"/>
      <c r="FVW262" s="67"/>
      <c r="FXA262" s="67"/>
      <c r="FYE262" s="67"/>
      <c r="FZI262" s="67"/>
      <c r="GAM262" s="67"/>
      <c r="GBQ262" s="67"/>
      <c r="GCU262" s="67"/>
      <c r="GDY262" s="67"/>
      <c r="GFC262" s="67"/>
      <c r="GGG262" s="67"/>
      <c r="GHK262" s="67"/>
      <c r="GIO262" s="67"/>
      <c r="GJS262" s="67"/>
      <c r="GKW262" s="67"/>
      <c r="GMA262" s="67"/>
      <c r="GNE262" s="67"/>
      <c r="GOI262" s="67"/>
      <c r="GPM262" s="67"/>
      <c r="GQQ262" s="67"/>
      <c r="GRU262" s="67"/>
      <c r="GSY262" s="67"/>
      <c r="GUC262" s="67"/>
      <c r="GVG262" s="67"/>
      <c r="GWK262" s="67"/>
      <c r="GXO262" s="67"/>
      <c r="GYS262" s="67"/>
      <c r="GZW262" s="67"/>
      <c r="HBA262" s="67"/>
      <c r="HCE262" s="67"/>
      <c r="HDI262" s="67"/>
      <c r="HEM262" s="67"/>
      <c r="HFQ262" s="67"/>
      <c r="HGU262" s="67"/>
      <c r="HHY262" s="67"/>
      <c r="HJC262" s="67"/>
      <c r="HKG262" s="67"/>
      <c r="HLK262" s="67"/>
      <c r="HMO262" s="67"/>
      <c r="HNS262" s="67"/>
      <c r="HOW262" s="67"/>
      <c r="HQA262" s="67"/>
      <c r="HRE262" s="67"/>
      <c r="HSI262" s="67"/>
      <c r="HTM262" s="67"/>
      <c r="HUQ262" s="67"/>
      <c r="HVU262" s="67"/>
      <c r="HWY262" s="67"/>
      <c r="HYC262" s="67"/>
      <c r="HZG262" s="67"/>
      <c r="IAK262" s="67"/>
      <c r="IBO262" s="67"/>
      <c r="ICS262" s="67"/>
      <c r="IDW262" s="67"/>
      <c r="IFA262" s="67"/>
      <c r="IGE262" s="67"/>
      <c r="IHI262" s="67"/>
      <c r="IIM262" s="67"/>
      <c r="IJQ262" s="67"/>
      <c r="IKU262" s="67"/>
      <c r="ILY262" s="67"/>
      <c r="INC262" s="67"/>
      <c r="IOG262" s="67"/>
      <c r="IPK262" s="67"/>
      <c r="IQO262" s="67"/>
      <c r="IRS262" s="67"/>
      <c r="ISW262" s="67"/>
      <c r="IUA262" s="67"/>
      <c r="IVE262" s="67"/>
      <c r="IWI262" s="67"/>
      <c r="IXM262" s="67"/>
      <c r="IYQ262" s="67"/>
      <c r="IZU262" s="67"/>
      <c r="JAY262" s="67"/>
      <c r="JCC262" s="67"/>
      <c r="JDG262" s="67"/>
      <c r="JEK262" s="67"/>
      <c r="JFO262" s="67"/>
      <c r="JGS262" s="67"/>
      <c r="JHW262" s="67"/>
      <c r="JJA262" s="67"/>
      <c r="JKE262" s="67"/>
      <c r="JLI262" s="67"/>
      <c r="JMM262" s="67"/>
      <c r="JNQ262" s="67"/>
      <c r="JOU262" s="67"/>
      <c r="JPY262" s="67"/>
      <c r="JRC262" s="67"/>
      <c r="JSG262" s="67"/>
      <c r="JTK262" s="67"/>
      <c r="JUO262" s="67"/>
      <c r="JVS262" s="67"/>
      <c r="JWW262" s="67"/>
      <c r="JYA262" s="67"/>
      <c r="JZE262" s="67"/>
      <c r="KAI262" s="67"/>
      <c r="KBM262" s="67"/>
      <c r="KCQ262" s="67"/>
      <c r="KDU262" s="67"/>
      <c r="KEY262" s="67"/>
      <c r="KGC262" s="67"/>
      <c r="KHG262" s="67"/>
      <c r="KIK262" s="67"/>
      <c r="KJO262" s="67"/>
      <c r="KKS262" s="67"/>
      <c r="KLW262" s="67"/>
      <c r="KNA262" s="67"/>
      <c r="KOE262" s="67"/>
      <c r="KPI262" s="67"/>
      <c r="KQM262" s="67"/>
      <c r="KRQ262" s="67"/>
      <c r="KSU262" s="67"/>
      <c r="KTY262" s="67"/>
      <c r="KVC262" s="67"/>
      <c r="KWG262" s="67"/>
      <c r="KXK262" s="67"/>
      <c r="KYO262" s="67"/>
      <c r="KZS262" s="67"/>
      <c r="LAW262" s="67"/>
      <c r="LCA262" s="67"/>
      <c r="LDE262" s="67"/>
      <c r="LEI262" s="67"/>
      <c r="LFM262" s="67"/>
      <c r="LGQ262" s="67"/>
      <c r="LHU262" s="67"/>
      <c r="LIY262" s="67"/>
      <c r="LKC262" s="67"/>
      <c r="LLG262" s="67"/>
      <c r="LMK262" s="67"/>
      <c r="LNO262" s="67"/>
      <c r="LOS262" s="67"/>
      <c r="LPW262" s="67"/>
      <c r="LRA262" s="67"/>
      <c r="LSE262" s="67"/>
      <c r="LTI262" s="67"/>
      <c r="LUM262" s="67"/>
      <c r="LVQ262" s="67"/>
      <c r="LWU262" s="67"/>
      <c r="LXY262" s="67"/>
      <c r="LZC262" s="67"/>
      <c r="MAG262" s="67"/>
      <c r="MBK262" s="67"/>
      <c r="MCO262" s="67"/>
      <c r="MDS262" s="67"/>
      <c r="MEW262" s="67"/>
      <c r="MGA262" s="67"/>
      <c r="MHE262" s="67"/>
      <c r="MII262" s="67"/>
      <c r="MJM262" s="67"/>
      <c r="MKQ262" s="67"/>
      <c r="MLU262" s="67"/>
      <c r="MMY262" s="67"/>
      <c r="MOC262" s="67"/>
      <c r="MPG262" s="67"/>
      <c r="MQK262" s="67"/>
      <c r="MRO262" s="67"/>
      <c r="MSS262" s="67"/>
      <c r="MTW262" s="67"/>
      <c r="MVA262" s="67"/>
      <c r="MWE262" s="67"/>
      <c r="MXI262" s="67"/>
      <c r="MYM262" s="67"/>
      <c r="MZQ262" s="67"/>
      <c r="NAU262" s="67"/>
      <c r="NBY262" s="67"/>
      <c r="NDC262" s="67"/>
      <c r="NEG262" s="67"/>
      <c r="NFK262" s="67"/>
      <c r="NGO262" s="67"/>
      <c r="NHS262" s="67"/>
      <c r="NIW262" s="67"/>
      <c r="NKA262" s="67"/>
      <c r="NLE262" s="67"/>
      <c r="NMI262" s="67"/>
      <c r="NNM262" s="67"/>
      <c r="NOQ262" s="67"/>
      <c r="NPU262" s="67"/>
      <c r="NQY262" s="67"/>
      <c r="NSC262" s="67"/>
      <c r="NTG262" s="67"/>
      <c r="NUK262" s="67"/>
      <c r="NVO262" s="67"/>
      <c r="NWS262" s="67"/>
      <c r="NXW262" s="67"/>
      <c r="NZA262" s="67"/>
      <c r="OAE262" s="67"/>
      <c r="OBI262" s="67"/>
      <c r="OCM262" s="67"/>
      <c r="ODQ262" s="67"/>
      <c r="OEU262" s="67"/>
      <c r="OFY262" s="67"/>
      <c r="OHC262" s="67"/>
      <c r="OIG262" s="67"/>
      <c r="OJK262" s="67"/>
      <c r="OKO262" s="67"/>
      <c r="OLS262" s="67"/>
      <c r="OMW262" s="67"/>
      <c r="OOA262" s="67"/>
      <c r="OPE262" s="67"/>
      <c r="OQI262" s="67"/>
      <c r="ORM262" s="67"/>
      <c r="OSQ262" s="67"/>
      <c r="OTU262" s="67"/>
      <c r="OUY262" s="67"/>
      <c r="OWC262" s="67"/>
      <c r="OXG262" s="67"/>
      <c r="OYK262" s="67"/>
      <c r="OZO262" s="67"/>
      <c r="PAS262" s="67"/>
      <c r="PBW262" s="67"/>
      <c r="PDA262" s="67"/>
      <c r="PEE262" s="67"/>
      <c r="PFI262" s="67"/>
      <c r="PGM262" s="67"/>
      <c r="PHQ262" s="67"/>
      <c r="PIU262" s="67"/>
      <c r="PJY262" s="67"/>
      <c r="PLC262" s="67"/>
      <c r="PMG262" s="67"/>
      <c r="PNK262" s="67"/>
      <c r="POO262" s="67"/>
      <c r="PPS262" s="67"/>
      <c r="PQW262" s="67"/>
      <c r="PSA262" s="67"/>
      <c r="PTE262" s="67"/>
      <c r="PUI262" s="67"/>
      <c r="PVM262" s="67"/>
      <c r="PWQ262" s="67"/>
      <c r="PXU262" s="67"/>
      <c r="PYY262" s="67"/>
      <c r="QAC262" s="67"/>
      <c r="QBG262" s="67"/>
      <c r="QCK262" s="67"/>
      <c r="QDO262" s="67"/>
      <c r="QES262" s="67"/>
      <c r="QFW262" s="67"/>
      <c r="QHA262" s="67"/>
      <c r="QIE262" s="67"/>
      <c r="QJI262" s="67"/>
      <c r="QKM262" s="67"/>
      <c r="QLQ262" s="67"/>
      <c r="QMU262" s="67"/>
      <c r="QNY262" s="67"/>
      <c r="QPC262" s="67"/>
      <c r="QQG262" s="67"/>
      <c r="QRK262" s="67"/>
      <c r="QSO262" s="67"/>
      <c r="QTS262" s="67"/>
      <c r="QUW262" s="67"/>
      <c r="QWA262" s="67"/>
      <c r="QXE262" s="67"/>
      <c r="QYI262" s="67"/>
      <c r="QZM262" s="67"/>
      <c r="RAQ262" s="67"/>
      <c r="RBU262" s="67"/>
      <c r="RCY262" s="67"/>
      <c r="REC262" s="67"/>
      <c r="RFG262" s="67"/>
      <c r="RGK262" s="67"/>
      <c r="RHO262" s="67"/>
      <c r="RIS262" s="67"/>
      <c r="RJW262" s="67"/>
      <c r="RLA262" s="67"/>
      <c r="RME262" s="67"/>
      <c r="RNI262" s="67"/>
      <c r="ROM262" s="67"/>
      <c r="RPQ262" s="67"/>
      <c r="RQU262" s="67"/>
      <c r="RRY262" s="67"/>
      <c r="RTC262" s="67"/>
      <c r="RUG262" s="67"/>
      <c r="RVK262" s="67"/>
      <c r="RWO262" s="67"/>
      <c r="RXS262" s="67"/>
      <c r="RYW262" s="67"/>
      <c r="SAA262" s="67"/>
      <c r="SBE262" s="67"/>
      <c r="SCI262" s="67"/>
      <c r="SDM262" s="67"/>
      <c r="SEQ262" s="67"/>
      <c r="SFU262" s="67"/>
      <c r="SGY262" s="67"/>
      <c r="SIC262" s="67"/>
      <c r="SJG262" s="67"/>
      <c r="SKK262" s="67"/>
      <c r="SLO262" s="67"/>
      <c r="SMS262" s="67"/>
      <c r="SNW262" s="67"/>
      <c r="SPA262" s="67"/>
      <c r="SQE262" s="67"/>
      <c r="SRI262" s="67"/>
      <c r="SSM262" s="67"/>
      <c r="STQ262" s="67"/>
      <c r="SUU262" s="67"/>
      <c r="SVY262" s="67"/>
      <c r="SXC262" s="67"/>
      <c r="SYG262" s="67"/>
      <c r="SZK262" s="67"/>
      <c r="TAO262" s="67"/>
      <c r="TBS262" s="67"/>
      <c r="TCW262" s="67"/>
      <c r="TEA262" s="67"/>
      <c r="TFE262" s="67"/>
      <c r="TGI262" s="67"/>
      <c r="THM262" s="67"/>
      <c r="TIQ262" s="67"/>
      <c r="TJU262" s="67"/>
      <c r="TKY262" s="67"/>
      <c r="TMC262" s="67"/>
      <c r="TNG262" s="67"/>
      <c r="TOK262" s="67"/>
      <c r="TPO262" s="67"/>
      <c r="TQS262" s="67"/>
      <c r="TRW262" s="67"/>
      <c r="TTA262" s="67"/>
      <c r="TUE262" s="67"/>
      <c r="TVI262" s="67"/>
      <c r="TWM262" s="67"/>
      <c r="TXQ262" s="67"/>
      <c r="TYU262" s="67"/>
      <c r="TZY262" s="67"/>
      <c r="UBC262" s="67"/>
      <c r="UCG262" s="67"/>
      <c r="UDK262" s="67"/>
      <c r="UEO262" s="67"/>
      <c r="UFS262" s="67"/>
      <c r="UGW262" s="67"/>
      <c r="UIA262" s="67"/>
      <c r="UJE262" s="67"/>
      <c r="UKI262" s="67"/>
      <c r="ULM262" s="67"/>
      <c r="UMQ262" s="67"/>
      <c r="UNU262" s="67"/>
      <c r="UOY262" s="67"/>
      <c r="UQC262" s="67"/>
      <c r="URG262" s="67"/>
      <c r="USK262" s="67"/>
      <c r="UTO262" s="67"/>
      <c r="UUS262" s="67"/>
      <c r="UVW262" s="67"/>
      <c r="UXA262" s="67"/>
      <c r="UYE262" s="67"/>
      <c r="UZI262" s="67"/>
      <c r="VAM262" s="67"/>
      <c r="VBQ262" s="67"/>
      <c r="VCU262" s="67"/>
      <c r="VDY262" s="67"/>
      <c r="VFC262" s="67"/>
      <c r="VGG262" s="67"/>
      <c r="VHK262" s="67"/>
      <c r="VIO262" s="67"/>
      <c r="VJS262" s="67"/>
      <c r="VKW262" s="67"/>
      <c r="VMA262" s="67"/>
      <c r="VNE262" s="67"/>
      <c r="VOI262" s="67"/>
      <c r="VPM262" s="67"/>
      <c r="VQQ262" s="67"/>
      <c r="VRU262" s="67"/>
      <c r="VSY262" s="67"/>
      <c r="VUC262" s="67"/>
      <c r="VVG262" s="67"/>
      <c r="VWK262" s="67"/>
      <c r="VXO262" s="67"/>
      <c r="VYS262" s="67"/>
      <c r="VZW262" s="67"/>
      <c r="WBA262" s="67"/>
      <c r="WCE262" s="67"/>
      <c r="WDI262" s="67"/>
      <c r="WEM262" s="67"/>
      <c r="WFQ262" s="67"/>
      <c r="WGU262" s="67"/>
      <c r="WHY262" s="67"/>
      <c r="WJC262" s="67"/>
      <c r="WKG262" s="67"/>
      <c r="WLK262" s="67"/>
      <c r="WMO262" s="67"/>
      <c r="WNS262" s="67"/>
      <c r="WOW262" s="67"/>
      <c r="WQA262" s="67"/>
      <c r="WRE262" s="67"/>
      <c r="WSI262" s="67"/>
      <c r="WTM262" s="67"/>
      <c r="WUQ262" s="67"/>
      <c r="WVU262" s="67"/>
      <c r="WWY262" s="67"/>
      <c r="WYC262" s="67"/>
      <c r="WZG262" s="67"/>
      <c r="XAK262" s="67"/>
      <c r="XBO262" s="67"/>
      <c r="XCS262" s="67"/>
      <c r="XDW262" s="67"/>
      <c r="XFA262" s="67"/>
    </row>
    <row r="263" spans="1:1021 1051:2041 2071:3061 3091:4081 4111:5101 5131:6121 6151:7141 7171:8191 8221:9211 9241:10231 10261:11251 11281:12271 12301:13291 13321:14311 14341:15331 15361:16381">
      <c r="A263" s="67" t="s">
        <v>12</v>
      </c>
      <c r="B263" s="36">
        <f>B255</f>
        <v>504.02595841845937</v>
      </c>
      <c r="C263" s="36">
        <f t="shared" ref="C263:AD263" si="0">C255</f>
        <v>619.94196994006404</v>
      </c>
      <c r="D263" s="36">
        <f t="shared" si="0"/>
        <v>721.92787395289781</v>
      </c>
      <c r="E263" s="36">
        <f t="shared" si="0"/>
        <v>813.65259716622108</v>
      </c>
      <c r="F263" s="36">
        <f t="shared" si="0"/>
        <v>852.11761981593531</v>
      </c>
      <c r="G263" s="36">
        <f t="shared" si="0"/>
        <v>884.22020036440142</v>
      </c>
      <c r="H263" s="36">
        <f t="shared" si="0"/>
        <v>911.65214535728819</v>
      </c>
      <c r="I263" s="36">
        <f t="shared" si="0"/>
        <v>935.26062840070335</v>
      </c>
      <c r="J263" s="36">
        <f t="shared" si="0"/>
        <v>955.46988580993263</v>
      </c>
      <c r="K263" s="36">
        <f t="shared" si="0"/>
        <v>955.72430093844446</v>
      </c>
      <c r="L263" s="36">
        <f t="shared" si="0"/>
        <v>953.30318583627616</v>
      </c>
      <c r="M263" s="36">
        <f t="shared" si="0"/>
        <v>948.89228809163819</v>
      </c>
      <c r="N263" s="36">
        <f t="shared" si="0"/>
        <v>942.83495835449241</v>
      </c>
      <c r="O263" s="36">
        <f t="shared" si="0"/>
        <v>935.30311181839738</v>
      </c>
      <c r="P263" s="36">
        <f t="shared" si="0"/>
        <v>910.48404163661939</v>
      </c>
      <c r="Q263" s="36">
        <f t="shared" si="0"/>
        <v>884.83353311076223</v>
      </c>
      <c r="R263" s="36">
        <f t="shared" si="0"/>
        <v>859.17137207344285</v>
      </c>
      <c r="S263" s="36">
        <f t="shared" si="0"/>
        <v>833.90781456908701</v>
      </c>
      <c r="T263" s="36">
        <f t="shared" si="0"/>
        <v>809.24816100963824</v>
      </c>
      <c r="U263" s="36">
        <f t="shared" si="0"/>
        <v>772.63093507228518</v>
      </c>
      <c r="V263" s="36">
        <f t="shared" si="0"/>
        <v>737.36040336101792</v>
      </c>
      <c r="W263" s="36">
        <f t="shared" si="0"/>
        <v>704.43003549094146</v>
      </c>
      <c r="X263" s="36">
        <f t="shared" si="0"/>
        <v>674.33682316521549</v>
      </c>
      <c r="Y263" s="36">
        <f t="shared" si="0"/>
        <v>647.32937497426019</v>
      </c>
      <c r="Z263" s="36">
        <f t="shared" si="0"/>
        <v>616.39338180611969</v>
      </c>
      <c r="AA263" s="36">
        <f t="shared" si="0"/>
        <v>589.37141292177785</v>
      </c>
      <c r="AB263" s="36">
        <f t="shared" si="0"/>
        <v>567.39895076265225</v>
      </c>
      <c r="AC263" s="36">
        <f t="shared" si="0"/>
        <v>551.0438964854128</v>
      </c>
      <c r="AD263" s="36">
        <f t="shared" si="0"/>
        <v>540.59025454003745</v>
      </c>
    </row>
    <row r="264" spans="1:1021 1051:2041 2071:3061 3091:4081 4111:5101 5131:6121 6151:7141 7171:8191 8221:9211 9241:10231 10261:11251 11281:12271 12301:13291 13321:14311 14341:15331 15361:16381">
      <c r="A264" s="67" t="s">
        <v>15</v>
      </c>
      <c r="B264" s="36">
        <f t="shared" ref="B264:AD264" si="1">B256</f>
        <v>504.02595841845937</v>
      </c>
      <c r="C264" s="36">
        <f t="shared" si="1"/>
        <v>483.10122096412982</v>
      </c>
      <c r="D264" s="36">
        <f t="shared" si="1"/>
        <v>454.9626934392146</v>
      </c>
      <c r="E264" s="36">
        <f t="shared" si="1"/>
        <v>424.52889590142451</v>
      </c>
      <c r="F264" s="36">
        <f t="shared" si="1"/>
        <v>420.49407602730821</v>
      </c>
      <c r="G264" s="36">
        <f t="shared" si="1"/>
        <v>417.32621165586789</v>
      </c>
      <c r="H264" s="36">
        <f t="shared" si="1"/>
        <v>414.8511562093862</v>
      </c>
      <c r="I264" s="36">
        <f t="shared" si="1"/>
        <v>412.98182427904175</v>
      </c>
      <c r="J264" s="36">
        <f t="shared" si="1"/>
        <v>411.67466706245176</v>
      </c>
      <c r="K264" s="36">
        <f t="shared" si="1"/>
        <v>411.75316907207383</v>
      </c>
      <c r="L264" s="36">
        <f t="shared" si="1"/>
        <v>412.34009082814384</v>
      </c>
      <c r="M264" s="36">
        <f t="shared" si="1"/>
        <v>413.39822253393351</v>
      </c>
      <c r="N264" s="36">
        <f t="shared" si="1"/>
        <v>414.90895627476311</v>
      </c>
      <c r="O264" s="36">
        <f t="shared" si="1"/>
        <v>416.8629865432477</v>
      </c>
      <c r="P264" s="36">
        <f t="shared" si="1"/>
        <v>419.75345410244859</v>
      </c>
      <c r="Q264" s="36">
        <f t="shared" si="1"/>
        <v>423.0634366644947</v>
      </c>
      <c r="R264" s="36">
        <f t="shared" si="1"/>
        <v>426.76694993962934</v>
      </c>
      <c r="S264" s="36">
        <f t="shared" si="1"/>
        <v>430.85099950411023</v>
      </c>
      <c r="T264" s="36">
        <f t="shared" si="1"/>
        <v>435.30908696536432</v>
      </c>
      <c r="U264" s="36">
        <f t="shared" si="1"/>
        <v>440.49195501463652</v>
      </c>
      <c r="V264" s="36">
        <f t="shared" si="1"/>
        <v>446.0259090775927</v>
      </c>
      <c r="W264" s="36">
        <f t="shared" si="1"/>
        <v>451.88374537717948</v>
      </c>
      <c r="X264" s="36">
        <f t="shared" si="1"/>
        <v>458.05185956633909</v>
      </c>
      <c r="Y264" s="36">
        <f t="shared" si="1"/>
        <v>464.52344820941011</v>
      </c>
      <c r="Z264" s="36">
        <f t="shared" si="1"/>
        <v>471.3171977764265</v>
      </c>
      <c r="AA264" s="36">
        <f t="shared" si="1"/>
        <v>478.40649989319758</v>
      </c>
      <c r="AB264" s="36">
        <f t="shared" si="1"/>
        <v>485.78749235731868</v>
      </c>
      <c r="AC264" s="36">
        <f t="shared" si="1"/>
        <v>493.45824365966013</v>
      </c>
      <c r="AD264" s="36">
        <f t="shared" si="1"/>
        <v>501.41778781084435</v>
      </c>
    </row>
    <row r="265" spans="1:1021 1051:2041 2071:3061 3091:4081 4111:5101 5131:6121 6151:7141 7171:8191 8221:9211 9241:10231 10261:11251 11281:12271 12301:13291 13321:14311 14341:15331 15361:16381">
      <c r="A265" s="67" t="s">
        <v>19</v>
      </c>
      <c r="B265" s="36">
        <f t="shared" ref="B265:AD265" si="2">B257</f>
        <v>504.02595841845937</v>
      </c>
      <c r="C265" s="36">
        <f t="shared" si="2"/>
        <v>483.10122096412982</v>
      </c>
      <c r="D265" s="36">
        <f t="shared" si="2"/>
        <v>454.9626934392146</v>
      </c>
      <c r="E265" s="36">
        <f t="shared" si="2"/>
        <v>424.52889590142451</v>
      </c>
      <c r="F265" s="36">
        <f t="shared" si="2"/>
        <v>420.49407602730821</v>
      </c>
      <c r="G265" s="36">
        <f t="shared" si="2"/>
        <v>417.32621165586789</v>
      </c>
      <c r="H265" s="36">
        <f t="shared" si="2"/>
        <v>414.8511562093862</v>
      </c>
      <c r="I265" s="36">
        <f t="shared" si="2"/>
        <v>412.98182427904175</v>
      </c>
      <c r="J265" s="36">
        <f t="shared" si="2"/>
        <v>411.67466706245176</v>
      </c>
      <c r="K265" s="36">
        <f t="shared" si="2"/>
        <v>961.09410983073701</v>
      </c>
      <c r="L265" s="36">
        <f t="shared" si="2"/>
        <v>1500.53537390478</v>
      </c>
      <c r="M265" s="36">
        <f t="shared" si="2"/>
        <v>2007.3976209173086</v>
      </c>
      <c r="N265" s="36">
        <f t="shared" si="2"/>
        <v>2470.2621410543443</v>
      </c>
      <c r="O265" s="36">
        <f t="shared" si="2"/>
        <v>2883.4110193041311</v>
      </c>
      <c r="P265" s="36">
        <f t="shared" si="2"/>
        <v>3037.2196053252069</v>
      </c>
      <c r="Q265" s="36">
        <f t="shared" si="2"/>
        <v>3145.3319462185959</v>
      </c>
      <c r="R265" s="36">
        <f t="shared" si="2"/>
        <v>3216.6415381148231</v>
      </c>
      <c r="S265" s="36">
        <f t="shared" si="2"/>
        <v>3255.6219724304451</v>
      </c>
      <c r="T265" s="36">
        <f t="shared" si="2"/>
        <v>3264.5242094087221</v>
      </c>
      <c r="U265" s="36">
        <f t="shared" si="2"/>
        <v>3221.2062018726306</v>
      </c>
      <c r="V265" s="36">
        <f t="shared" si="2"/>
        <v>3150.7253551409976</v>
      </c>
      <c r="W265" s="36">
        <f t="shared" si="2"/>
        <v>3055.0323723284364</v>
      </c>
      <c r="X265" s="36">
        <f t="shared" si="2"/>
        <v>2935.1100498844453</v>
      </c>
      <c r="Y265" s="36">
        <f t="shared" si="2"/>
        <v>2791.4518989120238</v>
      </c>
      <c r="Z265" s="36">
        <f t="shared" si="2"/>
        <v>2611.4160463153262</v>
      </c>
      <c r="AA265" s="36">
        <f t="shared" si="2"/>
        <v>2409.29008901205</v>
      </c>
      <c r="AB265" s="36">
        <f t="shared" si="2"/>
        <v>2187.0121638132782</v>
      </c>
      <c r="AC265" s="36">
        <f t="shared" si="2"/>
        <v>1945.5513085953637</v>
      </c>
      <c r="AD265" s="36">
        <f t="shared" si="2"/>
        <v>1685.3871571681302</v>
      </c>
    </row>
    <row r="266" spans="1:1021 1051:2041 2071:3061 3091:4081 4111:5101 5131:6121 6151:7141 7171:8191 8221:9211 9241:10231 10261:11251 11281:12271 12301:13291 13321:14311 14341:15331 15361:16381">
      <c r="A266" s="67" t="s">
        <v>22</v>
      </c>
      <c r="B266" s="36">
        <f t="shared" ref="B266:AD266" si="3">B258</f>
        <v>504.02595841845937</v>
      </c>
      <c r="C266" s="36">
        <f t="shared" si="3"/>
        <v>1703.3375047245356</v>
      </c>
      <c r="D266" s="36">
        <f t="shared" si="3"/>
        <v>2838.2338296000225</v>
      </c>
      <c r="E266" s="36">
        <f t="shared" si="3"/>
        <v>3899.5794491286374</v>
      </c>
      <c r="F266" s="36">
        <f t="shared" si="3"/>
        <v>4163.5402265042112</v>
      </c>
      <c r="G266" s="36">
        <f t="shared" si="3"/>
        <v>4366.3270436669445</v>
      </c>
      <c r="H266" s="36">
        <f t="shared" si="3"/>
        <v>4527.6419503039742</v>
      </c>
      <c r="I266" s="36">
        <f t="shared" si="3"/>
        <v>4657.4028569174479</v>
      </c>
      <c r="J266" s="36">
        <f t="shared" si="3"/>
        <v>4760.6039162782754</v>
      </c>
      <c r="K266" s="36">
        <f t="shared" si="3"/>
        <v>4701.8847172158721</v>
      </c>
      <c r="L266" s="36">
        <f t="shared" si="3"/>
        <v>4625.5174708318482</v>
      </c>
      <c r="M266" s="36">
        <f t="shared" si="3"/>
        <v>4536.2481095954608</v>
      </c>
      <c r="N266" s="36">
        <f t="shared" si="3"/>
        <v>4436.4706126202636</v>
      </c>
      <c r="O266" s="36">
        <f t="shared" si="3"/>
        <v>4327.3917932957593</v>
      </c>
      <c r="P266" s="36">
        <f t="shared" si="3"/>
        <v>4092.4448796671327</v>
      </c>
      <c r="Q266" s="36">
        <f t="shared" si="3"/>
        <v>3854.3492514428399</v>
      </c>
      <c r="R266" s="36">
        <f t="shared" si="3"/>
        <v>3618.2010342295293</v>
      </c>
      <c r="S266" s="36">
        <f t="shared" si="3"/>
        <v>3386.5619324172048</v>
      </c>
      <c r="T266" s="36">
        <f t="shared" si="3"/>
        <v>3160.7183421018076</v>
      </c>
      <c r="U266" s="36">
        <f t="shared" si="3"/>
        <v>2886.3921793359791</v>
      </c>
      <c r="V266" s="36">
        <f t="shared" si="3"/>
        <v>2621.774859473549</v>
      </c>
      <c r="W266" s="36">
        <f t="shared" si="3"/>
        <v>2370.9156806592064</v>
      </c>
      <c r="X266" s="36">
        <f t="shared" si="3"/>
        <v>2135.8471052655132</v>
      </c>
      <c r="Y266" s="36">
        <f t="shared" si="3"/>
        <v>1917.5881038969781</v>
      </c>
      <c r="Z266" s="36">
        <f t="shared" si="3"/>
        <v>1662.1313257288055</v>
      </c>
      <c r="AA266" s="36">
        <f t="shared" si="3"/>
        <v>1429.4558979527303</v>
      </c>
      <c r="AB266" s="36">
        <f t="shared" si="3"/>
        <v>1227.8408065553911</v>
      </c>
      <c r="AC266" s="36">
        <f t="shared" si="3"/>
        <v>1061.4352226161261</v>
      </c>
      <c r="AD266" s="36">
        <f t="shared" si="3"/>
        <v>932.31841651815182</v>
      </c>
    </row>
    <row r="267" spans="1:1021 1051:2041 2071:3061 3091:4081 4111:5101 5131:6121 6151:7141 7171:8191 8221:9211 9241:10231 10261:11251 11281:12271 12301:13291 13321:14311 14341:15331 15361:16381">
      <c r="A267" s="67" t="s">
        <v>24</v>
      </c>
      <c r="B267" s="36">
        <f t="shared" ref="B267:AD267" si="4">B259</f>
        <v>504.02595841845937</v>
      </c>
      <c r="C267" s="36">
        <f t="shared" si="4"/>
        <v>690.55827972153486</v>
      </c>
      <c r="D267" s="36">
        <f t="shared" si="4"/>
        <v>859.92177142832134</v>
      </c>
      <c r="E267" s="36">
        <f t="shared" si="4"/>
        <v>1015.0511383824645</v>
      </c>
      <c r="F267" s="36">
        <f t="shared" si="4"/>
        <v>1114.8794975703079</v>
      </c>
      <c r="G267" s="36">
        <f t="shared" si="4"/>
        <v>1203.5250192737906</v>
      </c>
      <c r="H267" s="36">
        <f t="shared" si="4"/>
        <v>1282.6443436909012</v>
      </c>
      <c r="I267" s="36">
        <f t="shared" si="4"/>
        <v>1353.0689793548527</v>
      </c>
      <c r="J267" s="36">
        <f t="shared" si="4"/>
        <v>1415.2164085657851</v>
      </c>
      <c r="K267" s="36">
        <f t="shared" si="4"/>
        <v>1363.379912046759</v>
      </c>
      <c r="L267" s="36">
        <f t="shared" si="4"/>
        <v>1306.5893213595809</v>
      </c>
      <c r="M267" s="36">
        <f t="shared" si="4"/>
        <v>1248.6445245401633</v>
      </c>
      <c r="N267" s="36">
        <f t="shared" si="4"/>
        <v>1191.4471049579463</v>
      </c>
      <c r="O267" s="36">
        <f t="shared" si="4"/>
        <v>1135.9486712275746</v>
      </c>
      <c r="P267" s="36">
        <f t="shared" si="4"/>
        <v>1085.5983932723725</v>
      </c>
      <c r="Q267" s="36">
        <f t="shared" si="4"/>
        <v>1037.55182230985</v>
      </c>
      <c r="R267" s="36">
        <f t="shared" si="4"/>
        <v>991.78639964411411</v>
      </c>
      <c r="S267" s="36">
        <f t="shared" si="4"/>
        <v>948.29082846056338</v>
      </c>
      <c r="T267" s="36">
        <f t="shared" si="4"/>
        <v>907.05944666690084</v>
      </c>
      <c r="U267" s="36">
        <f t="shared" si="4"/>
        <v>870.41821532946665</v>
      </c>
      <c r="V267" s="36">
        <f t="shared" si="4"/>
        <v>835.91559599847983</v>
      </c>
      <c r="W267" s="36">
        <f t="shared" si="4"/>
        <v>803.37974777431691</v>
      </c>
      <c r="X267" s="36">
        <f t="shared" si="4"/>
        <v>772.72465659092143</v>
      </c>
      <c r="Y267" s="36">
        <f t="shared" si="4"/>
        <v>743.90726502454106</v>
      </c>
      <c r="Z267" s="36">
        <f t="shared" si="4"/>
        <v>717.00876285274887</v>
      </c>
      <c r="AA267" s="36">
        <f t="shared" si="4"/>
        <v>691.90522989395936</v>
      </c>
      <c r="AB267" s="36">
        <f t="shared" si="4"/>
        <v>668.57595417856498</v>
      </c>
      <c r="AC267" s="36">
        <f t="shared" si="4"/>
        <v>647.0105650234342</v>
      </c>
      <c r="AD267" s="36">
        <f t="shared" si="4"/>
        <v>627.20386851856017</v>
      </c>
    </row>
    <row r="268" spans="1:1021 1051:2041 2071:3061 3091:4081 4111:5101 5131:6121 6151:7141 7171:8191 8221:9211 9241:10231 10261:11251 11281:12271 12301:13291 13321:14311 14341:15331 15361:16381">
      <c r="A268" s="67" t="s">
        <v>25</v>
      </c>
      <c r="B268" s="36">
        <f t="shared" ref="B268:AD268" si="5">B260</f>
        <v>504.02595841845937</v>
      </c>
      <c r="C268" s="36">
        <f t="shared" si="5"/>
        <v>995.29046712399224</v>
      </c>
      <c r="D268" s="36">
        <f t="shared" si="5"/>
        <v>1456.5128279444987</v>
      </c>
      <c r="E268" s="36">
        <f t="shared" si="5"/>
        <v>1886.5805196955757</v>
      </c>
      <c r="F268" s="36">
        <f t="shared" si="5"/>
        <v>1993.8651247232203</v>
      </c>
      <c r="G268" s="36">
        <f t="shared" si="5"/>
        <v>2075.7428299405765</v>
      </c>
      <c r="H268" s="36">
        <f t="shared" si="5"/>
        <v>2140.5451645133694</v>
      </c>
      <c r="I268" s="36">
        <f t="shared" si="5"/>
        <v>2192.4540914043291</v>
      </c>
      <c r="J268" s="36">
        <f t="shared" si="5"/>
        <v>2233.5689013074707</v>
      </c>
      <c r="K268" s="36">
        <f t="shared" si="5"/>
        <v>2464.1326075469701</v>
      </c>
      <c r="L268" s="36">
        <f t="shared" si="5"/>
        <v>2679.483187886417</v>
      </c>
      <c r="M268" s="36">
        <f t="shared" si="5"/>
        <v>2873.03481368451</v>
      </c>
      <c r="N268" s="36">
        <f t="shared" si="5"/>
        <v>3041.4831975756451</v>
      </c>
      <c r="O268" s="36">
        <f t="shared" si="5"/>
        <v>3183.1743570337271</v>
      </c>
      <c r="P268" s="36">
        <f t="shared" si="5"/>
        <v>3231.1085440311358</v>
      </c>
      <c r="Q268" s="36">
        <f t="shared" si="5"/>
        <v>3253.6225134335173</v>
      </c>
      <c r="R268" s="36">
        <f t="shared" si="5"/>
        <v>3253.5462863282464</v>
      </c>
      <c r="S268" s="36">
        <f t="shared" si="5"/>
        <v>3232.3091515346728</v>
      </c>
      <c r="T268" s="36">
        <f t="shared" si="5"/>
        <v>3190.6329907991312</v>
      </c>
      <c r="U268" s="36">
        <f t="shared" si="5"/>
        <v>3096.9523982136193</v>
      </c>
      <c r="V268" s="36">
        <f t="shared" si="5"/>
        <v>2985.0552168958916</v>
      </c>
      <c r="W268" s="36">
        <f t="shared" si="5"/>
        <v>2857.3111865122132</v>
      </c>
      <c r="X268" s="36">
        <f t="shared" si="5"/>
        <v>2714.913780729255</v>
      </c>
      <c r="Y268" s="36">
        <f t="shared" si="5"/>
        <v>2558.4625693935682</v>
      </c>
      <c r="Z268" s="36">
        <f t="shared" si="5"/>
        <v>2363.8926598989869</v>
      </c>
      <c r="AA268" s="36">
        <f t="shared" si="5"/>
        <v>2158.071555530671</v>
      </c>
      <c r="AB268" s="36">
        <f t="shared" si="5"/>
        <v>1944.6714803654347</v>
      </c>
      <c r="AC268" s="36">
        <f t="shared" si="5"/>
        <v>1725.5355977180322</v>
      </c>
      <c r="AD268" s="36">
        <f t="shared" si="5"/>
        <v>1501.5861217311729</v>
      </c>
    </row>
  </sheetData>
  <mergeCells count="9">
    <mergeCell ref="K123:L123"/>
    <mergeCell ref="H123:J123"/>
    <mergeCell ref="H8:J8"/>
    <mergeCell ref="K8:L8"/>
    <mergeCell ref="A1:W1"/>
    <mergeCell ref="H6:J6"/>
    <mergeCell ref="K6:L6"/>
    <mergeCell ref="H4:J4"/>
    <mergeCell ref="K4:L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F2B1C2E-E0DF-4BA6-8456-07E969D6DB56}">
          <x14:formula1>
            <xm:f>Admin!$C$2:$C$4</xm:f>
          </x14:formula1>
          <xm:sqref>K123</xm:sqref>
        </x14:dataValidation>
        <x14:dataValidation type="list" allowBlank="1" showInputMessage="1" showErrorMessage="1" xr:uid="{51C366ED-8295-40DD-9AB9-4BC0C3DC2D3E}">
          <x14:formula1>
            <xm:f>Admin!$E$2:$E$101</xm:f>
          </x14:formula1>
          <xm:sqref>K6:L6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results"/>
  <dimension ref="A2:AK319"/>
  <sheetViews>
    <sheetView topLeftCell="A20" zoomScale="74" zoomScaleNormal="80" workbookViewId="0">
      <pane xSplit="3" topLeftCell="D1" activePane="topRight" state="frozen"/>
      <selection pane="topRight" activeCell="K278" sqref="K278"/>
      <selection sqref="A1:W1"/>
    </sheetView>
  </sheetViews>
  <sheetFormatPr defaultColWidth="8.5703125" defaultRowHeight="14.45" outlineLevelRow="1"/>
  <cols>
    <col min="1" max="1" width="2.5703125" style="1" customWidth="1"/>
    <col min="2" max="2" width="61.85546875" style="19" customWidth="1"/>
    <col min="3" max="3" width="21.85546875" style="1" bestFit="1" customWidth="1"/>
    <col min="4" max="4" width="13.85546875" style="1" customWidth="1"/>
    <col min="5" max="6" width="10.5703125" style="1" bestFit="1" customWidth="1"/>
    <col min="7" max="7" width="11.42578125" style="1" customWidth="1"/>
    <col min="8" max="20" width="10.5703125" style="1" bestFit="1" customWidth="1"/>
    <col min="21" max="21" width="12.42578125" style="1" bestFit="1" customWidth="1"/>
    <col min="22" max="34" width="10.5703125" style="1" bestFit="1" customWidth="1"/>
    <col min="35" max="16384" width="8.5703125" style="1"/>
  </cols>
  <sheetData>
    <row r="2" spans="2:7" s="2" customFormat="1" ht="21">
      <c r="B2" s="17" t="s">
        <v>48</v>
      </c>
    </row>
    <row r="4" spans="2:7" s="33" customFormat="1" ht="21">
      <c r="B4" s="151" t="s">
        <v>49</v>
      </c>
      <c r="C4" s="47" t="s">
        <v>25</v>
      </c>
      <c r="D4" s="150" cm="1">
        <f t="array" aca="1" ref="D4" ca="1">VLOOKUP(Results!C4,INDIRECT("'" &amp; INDIRECT("Admin!I2") &amp; "'!E173:F182"),2,FALSE)</f>
        <v>0</v>
      </c>
    </row>
    <row r="5" spans="2:7" s="33" customFormat="1" ht="21">
      <c r="B5" s="151" t="s">
        <v>28</v>
      </c>
      <c r="C5" s="47" t="s">
        <v>10</v>
      </c>
      <c r="D5" s="39"/>
    </row>
    <row r="7" spans="2:7" s="2" customFormat="1" ht="21">
      <c r="B7" s="17" t="s">
        <v>50</v>
      </c>
    </row>
    <row r="9" spans="2:7">
      <c r="B9" s="16" t="s">
        <v>51</v>
      </c>
    </row>
    <row r="10" spans="2:7">
      <c r="B10" s="47" t="s">
        <v>52</v>
      </c>
      <c r="C10" s="49" t="str">
        <f t="shared" ref="C10:C15" si="0">$C$4</f>
        <v>Net Zero 2050</v>
      </c>
      <c r="D10" s="3" cm="1">
        <f t="array" aca="1" ref="D10" ca="1">VLOOKUP(C10,INDIRECT("'" &amp; INDIRECT("Admin!I2") &amp; "'!E5:F14"),2,FALSE)</f>
        <v>-1</v>
      </c>
      <c r="E10" s="13"/>
    </row>
    <row r="11" spans="2:7">
      <c r="B11" s="47" t="s">
        <v>53</v>
      </c>
      <c r="C11" s="49" t="str">
        <f t="shared" si="0"/>
        <v>Net Zero 2050</v>
      </c>
      <c r="D11" s="3" cm="1">
        <f t="array" aca="1" ref="D11" ca="1">VLOOKUP(C10,INDIRECT("'" &amp; INDIRECT("Admin!I2") &amp; "'!E17:F26"),2,FALSE)</f>
        <v>0.1</v>
      </c>
      <c r="E11" s="13"/>
    </row>
    <row r="12" spans="2:7" ht="16.5">
      <c r="B12" s="47" t="s">
        <v>54</v>
      </c>
      <c r="C12" s="49" t="str">
        <f t="shared" si="0"/>
        <v>Net Zero 2050</v>
      </c>
      <c r="D12" s="3" cm="1">
        <f t="array" aca="1" ref="D12" ca="1">VLOOKUP(C10,INDIRECT("'" &amp; INDIRECT("Admin!I2") &amp; "'!E29:F38"),2,FALSE)</f>
        <v>0.1</v>
      </c>
      <c r="E12" s="13"/>
    </row>
    <row r="13" spans="2:7">
      <c r="B13" s="47" t="s">
        <v>55</v>
      </c>
      <c r="C13" s="49" t="str">
        <f t="shared" si="0"/>
        <v>Net Zero 2050</v>
      </c>
      <c r="D13" s="40" cm="1">
        <f t="array" aca="1" ref="D13" ca="1">VLOOKUP(C13,INDIRECT("'" &amp; INDIRECT("Admin!I2") &amp; "'!E137:F146"),2,FALSE)</f>
        <v>0.20343256017222472</v>
      </c>
    </row>
    <row r="14" spans="2:7">
      <c r="B14" s="48" t="s">
        <v>56</v>
      </c>
      <c r="C14" s="49" t="str">
        <f t="shared" si="0"/>
        <v>Net Zero 2050</v>
      </c>
      <c r="D14" s="5">
        <v>0.5</v>
      </c>
    </row>
    <row r="15" spans="2:7">
      <c r="B15" s="48" t="s">
        <v>57</v>
      </c>
      <c r="C15" s="49" t="str">
        <f t="shared" si="0"/>
        <v>Net Zero 2050</v>
      </c>
      <c r="D15" s="5">
        <f>100%-D14</f>
        <v>0.5</v>
      </c>
      <c r="G15" s="42" t="s">
        <v>58</v>
      </c>
    </row>
    <row r="16" spans="2:7" outlineLevel="1">
      <c r="B16" s="48" t="s">
        <v>59</v>
      </c>
      <c r="C16" s="6"/>
      <c r="D16" s="3">
        <f ca="1">1/(1-D10*(D11-1))</f>
        <v>10.000000000000002</v>
      </c>
    </row>
    <row r="17" spans="2:34" outlineLevel="1">
      <c r="B17" s="48" t="s">
        <v>60</v>
      </c>
      <c r="C17" s="7"/>
      <c r="D17" s="3">
        <f ca="1">D10*D16</f>
        <v>-10.000000000000002</v>
      </c>
    </row>
    <row r="18" spans="2:34" outlineLevel="1">
      <c r="B18" s="48" t="s">
        <v>61</v>
      </c>
      <c r="C18" s="7"/>
      <c r="D18" s="3">
        <f ca="1">D16-1</f>
        <v>9.0000000000000018</v>
      </c>
      <c r="F18" s="8"/>
    </row>
    <row r="19" spans="2:34" ht="16.5" outlineLevel="1">
      <c r="B19" s="48" t="s">
        <v>62</v>
      </c>
      <c r="C19" s="7"/>
      <c r="D19" s="3">
        <f ca="1">1/(D12-1)</f>
        <v>-1.1111111111111112</v>
      </c>
    </row>
    <row r="20" spans="2:34">
      <c r="D20" s="8"/>
    </row>
    <row r="21" spans="2:34">
      <c r="D21" s="1">
        <v>2</v>
      </c>
      <c r="E21" s="1">
        <v>3</v>
      </c>
      <c r="F21" s="1">
        <v>4</v>
      </c>
      <c r="G21" s="1">
        <v>5</v>
      </c>
      <c r="H21" s="1">
        <v>6</v>
      </c>
      <c r="I21" s="1">
        <v>7</v>
      </c>
      <c r="J21" s="1">
        <v>8</v>
      </c>
      <c r="K21" s="1">
        <v>9</v>
      </c>
      <c r="L21" s="1">
        <v>10</v>
      </c>
      <c r="M21" s="1">
        <v>11</v>
      </c>
      <c r="N21" s="1">
        <v>12</v>
      </c>
      <c r="O21" s="1">
        <v>13</v>
      </c>
      <c r="P21" s="1">
        <v>14</v>
      </c>
      <c r="Q21" s="1">
        <v>15</v>
      </c>
      <c r="R21" s="1">
        <v>16</v>
      </c>
      <c r="S21" s="1">
        <v>17</v>
      </c>
      <c r="T21" s="1">
        <v>18</v>
      </c>
      <c r="U21" s="1">
        <v>19</v>
      </c>
      <c r="V21" s="1">
        <v>20</v>
      </c>
      <c r="W21" s="1">
        <v>21</v>
      </c>
      <c r="X21" s="1">
        <v>22</v>
      </c>
      <c r="Y21" s="1">
        <v>23</v>
      </c>
      <c r="Z21" s="1">
        <v>24</v>
      </c>
      <c r="AA21" s="1">
        <v>25</v>
      </c>
      <c r="AB21" s="1">
        <v>26</v>
      </c>
      <c r="AC21" s="1">
        <v>27</v>
      </c>
      <c r="AD21" s="1">
        <v>28</v>
      </c>
      <c r="AE21" s="1">
        <v>29</v>
      </c>
      <c r="AF21" s="1">
        <v>30</v>
      </c>
    </row>
    <row r="22" spans="2:34">
      <c r="B22" s="16" t="s">
        <v>63</v>
      </c>
      <c r="D22" s="1">
        <v>2023</v>
      </c>
      <c r="E22" s="1">
        <v>2024</v>
      </c>
      <c r="F22" s="1">
        <v>2025</v>
      </c>
      <c r="G22" s="1">
        <v>2026</v>
      </c>
      <c r="H22" s="1">
        <v>2027</v>
      </c>
      <c r="I22" s="1">
        <v>2028</v>
      </c>
      <c r="J22" s="1">
        <v>2029</v>
      </c>
      <c r="K22" s="1">
        <v>2030</v>
      </c>
      <c r="L22" s="1">
        <v>2031</v>
      </c>
      <c r="M22" s="1">
        <v>2032</v>
      </c>
      <c r="N22" s="1">
        <v>2033</v>
      </c>
      <c r="O22" s="1">
        <v>2034</v>
      </c>
      <c r="P22" s="1">
        <v>2035</v>
      </c>
      <c r="Q22" s="1">
        <v>2036</v>
      </c>
      <c r="R22" s="1">
        <v>2037</v>
      </c>
      <c r="S22" s="1">
        <v>2038</v>
      </c>
      <c r="T22" s="1">
        <v>2039</v>
      </c>
      <c r="U22" s="1">
        <v>2040</v>
      </c>
      <c r="V22" s="1">
        <v>2041</v>
      </c>
      <c r="W22" s="1">
        <v>2042</v>
      </c>
      <c r="X22" s="1">
        <v>2043</v>
      </c>
      <c r="Y22" s="1">
        <v>2044</v>
      </c>
      <c r="Z22" s="1">
        <v>2045</v>
      </c>
      <c r="AA22" s="1">
        <v>2046</v>
      </c>
      <c r="AB22" s="1">
        <v>2047</v>
      </c>
      <c r="AC22" s="1">
        <v>2048</v>
      </c>
      <c r="AD22" s="1">
        <v>2049</v>
      </c>
      <c r="AE22" s="1">
        <v>2050</v>
      </c>
      <c r="AF22" s="1">
        <v>2050</v>
      </c>
    </row>
    <row r="23" spans="2:34">
      <c r="B23" s="18" t="s">
        <v>64</v>
      </c>
      <c r="C23" s="49" t="str">
        <f t="shared" ref="C23:C32" si="1">$C$4</f>
        <v>Net Zero 2050</v>
      </c>
      <c r="D23" s="3" cm="1">
        <f t="array" aca="1" ref="D23" ca="1">VLOOKUP($C23,INDIRECT("'" &amp; INDIRECT("Admin!I2") &amp; "'!$H$5:$AM$14"),D$21,FALSE)</f>
        <v>5.4219287097010085</v>
      </c>
      <c r="E23" s="3" cm="1">
        <f t="array" aca="1" ref="E23" ca="1">VLOOKUP($C23,INDIRECT("'" &amp; INDIRECT("Admin!I2") &amp; "'!$H$5:$AM$14"),E$21,FALSE)</f>
        <v>5.2211165352676385</v>
      </c>
      <c r="F23" s="3" cm="1">
        <f t="array" aca="1" ref="F23" ca="1">VLOOKUP($C23,INDIRECT("'" &amp; INDIRECT("Admin!I2") &amp; "'!$H$5:$AM$14"),F$21,FALSE)</f>
        <v>5.0203043608342677</v>
      </c>
      <c r="G23" s="3" cm="1">
        <f t="array" aca="1" ref="G23" ca="1">VLOOKUP($C23,INDIRECT("'" &amp; INDIRECT("Admin!I2") &amp; "'!$H$5:$AM$14"),G$21,FALSE)</f>
        <v>4.8194921864008968</v>
      </c>
      <c r="H23" s="3" cm="1">
        <f t="array" aca="1" ref="H23" ca="1">VLOOKUP($C23,INDIRECT("'" &amp; INDIRECT("Admin!I2") &amp; "'!$H$5:$AM$14"),H$21,FALSE)</f>
        <v>4.618680011967526</v>
      </c>
      <c r="I23" s="3" cm="1">
        <f t="array" aca="1" ref="I23" ca="1">VLOOKUP($C23,INDIRECT("'" &amp; INDIRECT("Admin!I2") &amp; "'!$H$5:$AM$14"),I$21,FALSE)</f>
        <v>4.4178678375341551</v>
      </c>
      <c r="J23" s="3" cm="1">
        <f t="array" aca="1" ref="J23" ca="1">VLOOKUP($C23,INDIRECT("'" &amp; INDIRECT("Admin!I2") &amp; "'!$H$5:$AM$14"),J$21,FALSE)</f>
        <v>4.2170556631007843</v>
      </c>
      <c r="K23" s="3" cm="1">
        <f t="array" aca="1" ref="K23" ca="1">VLOOKUP($C23,INDIRECT("'" &amp; INDIRECT("Admin!I2") &amp; "'!$H$5:$AM$14"),K$21,FALSE)</f>
        <v>4.0162434886674134</v>
      </c>
      <c r="L23" s="3" cm="1">
        <f t="array" aca="1" ref="L23" ca="1">VLOOKUP($C23,INDIRECT("'" &amp; INDIRECT("Admin!I2") &amp; "'!$H$5:$AM$14"),L$21,FALSE)</f>
        <v>3.815431314234043</v>
      </c>
      <c r="M23" s="3" cm="1">
        <f t="array" aca="1" ref="M23" ca="1">VLOOKUP($C23,INDIRECT("'" &amp; INDIRECT("Admin!I2") &amp; "'!$H$5:$AM$14"),M$21,FALSE)</f>
        <v>3.6146191398006722</v>
      </c>
      <c r="N23" s="3" cm="1">
        <f t="array" aca="1" ref="N23" ca="1">VLOOKUP($C23,INDIRECT("'" &amp; INDIRECT("Admin!I2") &amp; "'!$H$5:$AM$14"),N$21,FALSE)</f>
        <v>3.4138069653673018</v>
      </c>
      <c r="O23" s="3" cm="1">
        <f t="array" aca="1" ref="O23" ca="1">VLOOKUP($C23,INDIRECT("'" &amp; INDIRECT("Admin!I2") &amp; "'!$H$5:$AM$14"),O$21,FALSE)</f>
        <v>3.2129947909339309</v>
      </c>
      <c r="P23" s="3" cm="1">
        <f t="array" aca="1" ref="P23" ca="1">VLOOKUP($C23,INDIRECT("'" &amp; INDIRECT("Admin!I2") &amp; "'!$H$5:$AM$14"),P$21,FALSE)</f>
        <v>3.0121826165005605</v>
      </c>
      <c r="Q23" s="3" cm="1">
        <f t="array" aca="1" ref="Q23" ca="1">VLOOKUP($C23,INDIRECT("'" &amp; INDIRECT("Admin!I2") &amp; "'!$H$5:$AM$14"),Q$21,FALSE)</f>
        <v>2.8113704420671897</v>
      </c>
      <c r="R23" s="3" cm="1">
        <f t="array" aca="1" ref="R23" ca="1">VLOOKUP($C23,INDIRECT("'" &amp; INDIRECT("Admin!I2") &amp; "'!$H$5:$AM$14"),R$21,FALSE)</f>
        <v>2.6105582676338193</v>
      </c>
      <c r="S23" s="3" cm="1">
        <f t="array" aca="1" ref="S23" ca="1">VLOOKUP($C23,INDIRECT("'" &amp; INDIRECT("Admin!I2") &amp; "'!$H$5:$AM$14"),S$21,FALSE)</f>
        <v>2.4097460932004484</v>
      </c>
      <c r="T23" s="3" cm="1">
        <f t="array" aca="1" ref="T23" ca="1">VLOOKUP($C23,INDIRECT("'" &amp; INDIRECT("Admin!I2") &amp; "'!$H$5:$AM$14"),T$21,FALSE)</f>
        <v>2.2089339187670776</v>
      </c>
      <c r="U23" s="3" cm="1">
        <f t="array" aca="1" ref="U23" ca="1">VLOOKUP($C23,INDIRECT("'" &amp; INDIRECT("Admin!I2") &amp; "'!$H$5:$AM$14"),U$21,FALSE)</f>
        <v>2.0081217443337067</v>
      </c>
      <c r="V23" s="3" cm="1">
        <f t="array" aca="1" ref="V23" ca="1">VLOOKUP($C23,INDIRECT("'" &amp; INDIRECT("Admin!I2") &amp; "'!$H$5:$AM$14"),V$21,FALSE)</f>
        <v>1.8073095699003361</v>
      </c>
      <c r="W23" s="3" cm="1">
        <f t="array" aca="1" ref="W23" ca="1">VLOOKUP($C23,INDIRECT("'" &amp; INDIRECT("Admin!I2") &amp; "'!$H$5:$AM$14"),W$21,FALSE)</f>
        <v>1.6064973954669655</v>
      </c>
      <c r="X23" s="3" cm="1">
        <f t="array" aca="1" ref="X23" ca="1">VLOOKUP($C23,INDIRECT("'" &amp; INDIRECT("Admin!I2") &amp; "'!$H$5:$AM$14"),X$21,FALSE)</f>
        <v>1.4056852210335948</v>
      </c>
      <c r="Y23" s="3" cm="1">
        <f t="array" aca="1" ref="Y23" ca="1">VLOOKUP($C23,INDIRECT("'" &amp; INDIRECT("Admin!I2") &amp; "'!$H$5:$AM$14"),Y$21,FALSE)</f>
        <v>1.2048730466002242</v>
      </c>
      <c r="Z23" s="3" cm="1">
        <f t="array" aca="1" ref="Z23" ca="1">VLOOKUP($C23,INDIRECT("'" &amp; INDIRECT("Admin!I2") &amp; "'!$H$5:$AM$14"),Z$21,FALSE)</f>
        <v>1.0040608721668534</v>
      </c>
      <c r="AA23" s="3" cm="1">
        <f t="array" aca="1" ref="AA23" ca="1">VLOOKUP($C23,INDIRECT("'" &amp; INDIRECT("Admin!I2") &amp; "'!$H$5:$AM$14"),AA$21,FALSE)</f>
        <v>0.80324869773348273</v>
      </c>
      <c r="AB23" s="3" cm="1">
        <f t="array" aca="1" ref="AB23" ca="1">VLOOKUP($C23,INDIRECT("'" &amp; INDIRECT("Admin!I2") &amp; "'!$H$5:$AM$14"),AB$21,FALSE)</f>
        <v>0.6024365233001121</v>
      </c>
      <c r="AC23" s="3" cm="1">
        <f t="array" aca="1" ref="AC23" ca="1">VLOOKUP($C23,INDIRECT("'" &amp; INDIRECT("Admin!I2") &amp; "'!$H$5:$AM$14"),AC$21,FALSE)</f>
        <v>0.40162434886674137</v>
      </c>
      <c r="AD23" s="3" cm="1">
        <f t="array" aca="1" ref="AD23" ca="1">VLOOKUP($C23,INDIRECT("'" &amp; INDIRECT("Admin!I2") &amp; "'!$H$5:$AM$14"),AD$21,FALSE)</f>
        <v>0.20081217443337068</v>
      </c>
      <c r="AE23" s="3" cm="1">
        <f t="array" aca="1" ref="AE23" ca="1">VLOOKUP($C23,INDIRECT("'" &amp; INDIRECT("Admin!I2") &amp; "'!$H$5:$AM$14"),AE$21,FALSE)</f>
        <v>0</v>
      </c>
      <c r="AF23" s="3" cm="1">
        <f t="array" aca="1" ref="AF23" ca="1">VLOOKUP($C23,INDIRECT("'" &amp; INDIRECT("Admin!I2") &amp; "'!$H$5:$AM$14"),AF$21,FALSE)</f>
        <v>0</v>
      </c>
      <c r="AG23" s="3"/>
      <c r="AH23" s="3"/>
    </row>
    <row r="24" spans="2:34">
      <c r="B24" s="18" t="s">
        <v>65</v>
      </c>
      <c r="C24" s="49" t="str">
        <f t="shared" si="1"/>
        <v>Net Zero 2050</v>
      </c>
      <c r="D24" s="3" cm="1">
        <f t="array" aca="1" ref="D24" ca="1">VLOOKUP($C24,INDIRECT("'" &amp; INDIRECT("Admin!I2") &amp; "'!$H$17:$AM$26"),D$21,FALSE)</f>
        <v>0.58425955923502249</v>
      </c>
      <c r="E24" s="3" cm="1">
        <f t="array" aca="1" ref="E24" ca="1">VLOOKUP($C24,INDIRECT("'" &amp; INDIRECT("Admin!I2") &amp; "'!$H$17:$AM$26"),E$21,FALSE)</f>
        <v>0.562620316300392</v>
      </c>
      <c r="F24" s="3" cm="1">
        <f t="array" aca="1" ref="F24" ca="1">VLOOKUP($C24,INDIRECT("'" &amp; INDIRECT("Admin!I2") &amp; "'!$H$17:$AM$26"),F$21,FALSE)</f>
        <v>0.54098107336576162</v>
      </c>
      <c r="G24" s="3" cm="1">
        <f t="array" aca="1" ref="G24" ca="1">VLOOKUP($C24,INDIRECT("'" &amp; INDIRECT("Admin!I2") &amp; "'!$H$17:$AM$26"),G$21,FALSE)</f>
        <v>0.51934183043113102</v>
      </c>
      <c r="H24" s="3" cm="1">
        <f t="array" aca="1" ref="H24" ca="1">VLOOKUP($C24,INDIRECT("'" &amp; INDIRECT("Admin!I2") &amp; "'!$H$17:$AM$26"),H$21,FALSE)</f>
        <v>0.49770258749650059</v>
      </c>
      <c r="I24" s="3" cm="1">
        <f t="array" aca="1" ref="I24" ca="1">VLOOKUP($C24,INDIRECT("'" &amp; INDIRECT("Admin!I2") &amp; "'!$H$17:$AM$26"),I$21,FALSE)</f>
        <v>0.47606334456187016</v>
      </c>
      <c r="J24" s="3" cm="1">
        <f t="array" aca="1" ref="J24" ca="1">VLOOKUP($C24,INDIRECT("'" &amp; INDIRECT("Admin!I2") &amp; "'!$H$17:$AM$26"),J$21,FALSE)</f>
        <v>0.45442410162723973</v>
      </c>
      <c r="K24" s="3" cm="1">
        <f t="array" aca="1" ref="K24" ca="1">VLOOKUP($C24,INDIRECT("'" &amp; INDIRECT("Admin!I2") &amp; "'!$H$17:$AM$26"),K$21,FALSE)</f>
        <v>0.43278485869260924</v>
      </c>
      <c r="L24" s="3" cm="1">
        <f t="array" aca="1" ref="L24" ca="1">VLOOKUP($C24,INDIRECT("'" &amp; INDIRECT("Admin!I2") &amp; "'!$H$17:$AM$26"),L$21,FALSE)</f>
        <v>0.41114561575797881</v>
      </c>
      <c r="M24" s="3" cm="1">
        <f t="array" aca="1" ref="M24" ca="1">VLOOKUP($C24,INDIRECT("'" &amp; INDIRECT("Admin!I2") &amp; "'!$H$17:$AM$26"),M$21,FALSE)</f>
        <v>0.38950637282334832</v>
      </c>
      <c r="N24" s="3" cm="1">
        <f t="array" aca="1" ref="N24" ca="1">VLOOKUP($C24,INDIRECT("'" &amp; INDIRECT("Admin!I2") &amp; "'!$H$17:$AM$26"),N$21,FALSE)</f>
        <v>0.36786712988871784</v>
      </c>
      <c r="O24" s="3" cm="1">
        <f t="array" aca="1" ref="O24" ca="1">VLOOKUP($C24,INDIRECT("'" &amp; INDIRECT("Admin!I2") &amp; "'!$H$17:$AM$26"),O$21,FALSE)</f>
        <v>0.3462278869540874</v>
      </c>
      <c r="P24" s="3" cm="1">
        <f t="array" aca="1" ref="P24" ca="1">VLOOKUP($C24,INDIRECT("'" &amp; INDIRECT("Admin!I2") &amp; "'!$H$17:$AM$26"),P$21,FALSE)</f>
        <v>0.32458864401945697</v>
      </c>
      <c r="Q24" s="3" cm="1">
        <f t="array" aca="1" ref="Q24" ca="1">VLOOKUP($C24,INDIRECT("'" &amp; INDIRECT("Admin!I2") &amp; "'!$H$17:$AM$26"),Q$21,FALSE)</f>
        <v>0.30294940108482649</v>
      </c>
      <c r="R24" s="3" cm="1">
        <f t="array" aca="1" ref="R24" ca="1">VLOOKUP($C24,INDIRECT("'" &amp; INDIRECT("Admin!I2") &amp; "'!$H$17:$AM$26"),R$21,FALSE)</f>
        <v>0.281310158150196</v>
      </c>
      <c r="S24" s="3" cm="1">
        <f t="array" aca="1" ref="S24" ca="1">VLOOKUP($C24,INDIRECT("'" &amp; INDIRECT("Admin!I2") &amp; "'!$H$17:$AM$26"),S$21,FALSE)</f>
        <v>0.25967091521556551</v>
      </c>
      <c r="T24" s="3" cm="1">
        <f t="array" aca="1" ref="T24" ca="1">VLOOKUP($C24,INDIRECT("'" &amp; INDIRECT("Admin!I2") &amp; "'!$H$17:$AM$26"),T$21,FALSE)</f>
        <v>0.23803167228093508</v>
      </c>
      <c r="U24" s="3" cm="1">
        <f t="array" aca="1" ref="U24" ca="1">VLOOKUP($C24,INDIRECT("'" &amp; INDIRECT("Admin!I2") &amp; "'!$H$17:$AM$26"),U$21,FALSE)</f>
        <v>0.21639242934630462</v>
      </c>
      <c r="V24" s="3" cm="1">
        <f t="array" aca="1" ref="V24" ca="1">VLOOKUP($C24,INDIRECT("'" &amp; INDIRECT("Admin!I2") &amp; "'!$H$17:$AM$26"),V$21,FALSE)</f>
        <v>0.19475318641167416</v>
      </c>
      <c r="W24" s="3" cm="1">
        <f t="array" aca="1" ref="W24" ca="1">VLOOKUP($C24,INDIRECT("'" &amp; INDIRECT("Admin!I2") &amp; "'!$H$17:$AM$26"),W$21,FALSE)</f>
        <v>0.1731139434770437</v>
      </c>
      <c r="X24" s="3" cm="1">
        <f t="array" aca="1" ref="X24" ca="1">VLOOKUP($C24,INDIRECT("'" &amp; INDIRECT("Admin!I2") &amp; "'!$H$17:$AM$26"),X$21,FALSE)</f>
        <v>0.15147470054241324</v>
      </c>
      <c r="Y24" s="3" cm="1">
        <f t="array" aca="1" ref="Y24" ca="1">VLOOKUP($C24,INDIRECT("'" &amp; INDIRECT("Admin!I2") &amp; "'!$H$17:$AM$26"),Y$21,FALSE)</f>
        <v>0.12983545760778276</v>
      </c>
      <c r="Z24" s="3" cm="1">
        <f t="array" aca="1" ref="Z24" ca="1">VLOOKUP($C24,INDIRECT("'" &amp; INDIRECT("Admin!I2") &amp; "'!$H$17:$AM$26"),Z$21,FALSE)</f>
        <v>0.10819621467315231</v>
      </c>
      <c r="AA24" s="3" cm="1">
        <f t="array" aca="1" ref="AA24" ca="1">VLOOKUP($C24,INDIRECT("'" &amp; INDIRECT("Admin!I2") &amp; "'!$H$17:$AM$26"),AA$21,FALSE)</f>
        <v>8.6556971738521851E-2</v>
      </c>
      <c r="AB24" s="3" cm="1">
        <f t="array" aca="1" ref="AB24" ca="1">VLOOKUP($C24,INDIRECT("'" &amp; INDIRECT("Admin!I2") &amp; "'!$H$17:$AM$26"),AB$21,FALSE)</f>
        <v>6.4917728803891378E-2</v>
      </c>
      <c r="AC24" s="3" cm="1">
        <f t="array" aca="1" ref="AC24" ca="1">VLOOKUP($C24,INDIRECT("'" &amp; INDIRECT("Admin!I2") &amp; "'!$H$17:$AM$26"),AC$21,FALSE)</f>
        <v>4.3278485869260926E-2</v>
      </c>
      <c r="AD24" s="3" cm="1">
        <f t="array" aca="1" ref="AD24" ca="1">VLOOKUP($C24,INDIRECT("'" &amp; INDIRECT("Admin!I2") &amp; "'!$H$17:$AM$26"),AD$21,FALSE)</f>
        <v>2.1639242934630463E-2</v>
      </c>
      <c r="AE24" s="3" cm="1">
        <f t="array" aca="1" ref="AE24" ca="1">VLOOKUP($C24,INDIRECT("'" &amp; INDIRECT("Admin!I2") &amp; "'!$H$17:$AM$26"),AE$21,FALSE)</f>
        <v>0</v>
      </c>
      <c r="AF24" s="3" cm="1">
        <f t="array" aca="1" ref="AF24" ca="1">VLOOKUP($C24,INDIRECT("'" &amp; INDIRECT("Admin!I2") &amp; "'!$H$17:$AM$26"),AF$21,FALSE)</f>
        <v>0</v>
      </c>
      <c r="AG24" s="3"/>
      <c r="AH24" s="3"/>
    </row>
    <row r="25" spans="2:34">
      <c r="B25" s="18" t="s">
        <v>66</v>
      </c>
      <c r="C25" s="49" t="str">
        <f t="shared" si="1"/>
        <v>Net Zero 2050</v>
      </c>
      <c r="D25" s="3" cm="1">
        <f t="array" aca="1" ref="D25" ca="1">VLOOKUP($C25,INDIRECT("'" &amp; INDIRECT("Admin!I2") &amp; "'!$H$29:$AM$38"),D$21,FALSE)</f>
        <v>5.4219287097010085</v>
      </c>
      <c r="E25" s="3" cm="1">
        <f t="array" aca="1" ref="E25" ca="1">VLOOKUP($C25,INDIRECT("'" &amp; INDIRECT("Admin!I2") &amp; "'!$H$29:$AM$38"),E$21,FALSE)</f>
        <v>5.2211165352676385</v>
      </c>
      <c r="F25" s="3" cm="1">
        <f t="array" aca="1" ref="F25" ca="1">VLOOKUP($C25,INDIRECT("'" &amp; INDIRECT("Admin!I2") &amp; "'!$H$29:$AM$38"),F$21,FALSE)</f>
        <v>5.0203043608342677</v>
      </c>
      <c r="G25" s="3" cm="1">
        <f t="array" aca="1" ref="G25" ca="1">VLOOKUP($C25,INDIRECT("'" &amp; INDIRECT("Admin!I2") &amp; "'!$H$29:$AM$38"),G$21,FALSE)</f>
        <v>4.8194921864008968</v>
      </c>
      <c r="H25" s="3" cm="1">
        <f t="array" aca="1" ref="H25" ca="1">VLOOKUP($C25,INDIRECT("'" &amp; INDIRECT("Admin!I2") &amp; "'!$H$29:$AM$38"),H$21,FALSE)</f>
        <v>4.618680011967526</v>
      </c>
      <c r="I25" s="3" cm="1">
        <f t="array" aca="1" ref="I25" ca="1">VLOOKUP($C25,INDIRECT("'" &amp; INDIRECT("Admin!I2") &amp; "'!$H$29:$AM$38"),I$21,FALSE)</f>
        <v>4.4178678375341551</v>
      </c>
      <c r="J25" s="3" cm="1">
        <f t="array" aca="1" ref="J25" ca="1">VLOOKUP($C25,INDIRECT("'" &amp; INDIRECT("Admin!I2") &amp; "'!$H$29:$AM$38"),J$21,FALSE)</f>
        <v>4.2170556631007843</v>
      </c>
      <c r="K25" s="3" cm="1">
        <f t="array" aca="1" ref="K25" ca="1">VLOOKUP($C25,INDIRECT("'" &amp; INDIRECT("Admin!I2") &amp; "'!$H$29:$AM$38"),K$21,FALSE)</f>
        <v>4.0162434886674134</v>
      </c>
      <c r="L25" s="3" cm="1">
        <f t="array" aca="1" ref="L25" ca="1">VLOOKUP($C25,INDIRECT("'" &amp; INDIRECT("Admin!I2") &amp; "'!$H$29:$AM$38"),L$21,FALSE)</f>
        <v>3.815431314234043</v>
      </c>
      <c r="M25" s="3" cm="1">
        <f t="array" aca="1" ref="M25" ca="1">VLOOKUP($C25,INDIRECT("'" &amp; INDIRECT("Admin!I2") &amp; "'!$H$29:$AM$38"),M$21,FALSE)</f>
        <v>3.6146191398006722</v>
      </c>
      <c r="N25" s="3" cm="1">
        <f t="array" aca="1" ref="N25" ca="1">VLOOKUP($C25,INDIRECT("'" &amp; INDIRECT("Admin!I2") &amp; "'!$H$29:$AM$38"),N$21,FALSE)</f>
        <v>3.4138069653673018</v>
      </c>
      <c r="O25" s="3" cm="1">
        <f t="array" aca="1" ref="O25" ca="1">VLOOKUP($C25,INDIRECT("'" &amp; INDIRECT("Admin!I2") &amp; "'!$H$29:$AM$38"),O$21,FALSE)</f>
        <v>3.2129947909339309</v>
      </c>
      <c r="P25" s="3" cm="1">
        <f t="array" aca="1" ref="P25" ca="1">VLOOKUP($C25,INDIRECT("'" &amp; INDIRECT("Admin!I2") &amp; "'!$H$29:$AM$38"),P$21,FALSE)</f>
        <v>3.0121826165005605</v>
      </c>
      <c r="Q25" s="3" cm="1">
        <f t="array" aca="1" ref="Q25" ca="1">VLOOKUP($C25,INDIRECT("'" &amp; INDIRECT("Admin!I2") &amp; "'!$H$29:$AM$38"),Q$21,FALSE)</f>
        <v>2.8113704420671897</v>
      </c>
      <c r="R25" s="3" cm="1">
        <f t="array" aca="1" ref="R25" ca="1">VLOOKUP($C25,INDIRECT("'" &amp; INDIRECT("Admin!I2") &amp; "'!$H$29:$AM$38"),R$21,FALSE)</f>
        <v>2.6105582676338193</v>
      </c>
      <c r="S25" s="3" cm="1">
        <f t="array" aca="1" ref="S25" ca="1">VLOOKUP($C25,INDIRECT("'" &amp; INDIRECT("Admin!I2") &amp; "'!$H$29:$AM$38"),S$21,FALSE)</f>
        <v>2.4097460932004484</v>
      </c>
      <c r="T25" s="3" cm="1">
        <f t="array" aca="1" ref="T25" ca="1">VLOOKUP($C25,INDIRECT("'" &amp; INDIRECT("Admin!I2") &amp; "'!$H$29:$AM$38"),T$21,FALSE)</f>
        <v>2.2089339187670776</v>
      </c>
      <c r="U25" s="3" cm="1">
        <f t="array" aca="1" ref="U25" ca="1">VLOOKUP($C25,INDIRECT("'" &amp; INDIRECT("Admin!I2") &amp; "'!$H$29:$AM$38"),U$21,FALSE)</f>
        <v>2.0081217443337067</v>
      </c>
      <c r="V25" s="3" cm="1">
        <f t="array" aca="1" ref="V25" ca="1">VLOOKUP($C25,INDIRECT("'" &amp; INDIRECT("Admin!I2") &amp; "'!$H$29:$AM$38"),V$21,FALSE)</f>
        <v>1.8073095699003361</v>
      </c>
      <c r="W25" s="3" cm="1">
        <f t="array" aca="1" ref="W25" ca="1">VLOOKUP($C25,INDIRECT("'" &amp; INDIRECT("Admin!I2") &amp; "'!$H$29:$AM$38"),W$21,FALSE)</f>
        <v>1.6064973954669655</v>
      </c>
      <c r="X25" s="3" cm="1">
        <f t="array" aca="1" ref="X25" ca="1">VLOOKUP($C25,INDIRECT("'" &amp; INDIRECT("Admin!I2") &amp; "'!$H$29:$AM$38"),X$21,FALSE)</f>
        <v>1.4056852210335948</v>
      </c>
      <c r="Y25" s="3" cm="1">
        <f t="array" aca="1" ref="Y25" ca="1">VLOOKUP($C25,INDIRECT("'" &amp; INDIRECT("Admin!I2") &amp; "'!$H$29:$AM$38"),Y$21,FALSE)</f>
        <v>1.2048730466002242</v>
      </c>
      <c r="Z25" s="3" cm="1">
        <f t="array" aca="1" ref="Z25" ca="1">VLOOKUP($C25,INDIRECT("'" &amp; INDIRECT("Admin!I2") &amp; "'!$H$29:$AM$38"),Z$21,FALSE)</f>
        <v>1.0040608721668534</v>
      </c>
      <c r="AA25" s="3" cm="1">
        <f t="array" aca="1" ref="AA25" ca="1">VLOOKUP($C25,INDIRECT("'" &amp; INDIRECT("Admin!I2") &amp; "'!$H$29:$AM$38"),AA$21,FALSE)</f>
        <v>0.80324869773348273</v>
      </c>
      <c r="AB25" s="3" cm="1">
        <f t="array" aca="1" ref="AB25" ca="1">VLOOKUP($C25,INDIRECT("'" &amp; INDIRECT("Admin!I2") &amp; "'!$H$29:$AM$38"),AB$21,FALSE)</f>
        <v>0.6024365233001121</v>
      </c>
      <c r="AC25" s="3" cm="1">
        <f t="array" aca="1" ref="AC25" ca="1">VLOOKUP($C25,INDIRECT("'" &amp; INDIRECT("Admin!I2") &amp; "'!$H$29:$AM$38"),AC$21,FALSE)</f>
        <v>0.40162434886674137</v>
      </c>
      <c r="AD25" s="3" cm="1">
        <f t="array" aca="1" ref="AD25" ca="1">VLOOKUP($C25,INDIRECT("'" &amp; INDIRECT("Admin!I2") &amp; "'!$H$29:$AM$38"),AD$21,FALSE)</f>
        <v>0.20081217443337068</v>
      </c>
      <c r="AE25" s="3" cm="1">
        <f t="array" aca="1" ref="AE25" ca="1">VLOOKUP($C25,INDIRECT("'" &amp; INDIRECT("Admin!I2") &amp; "'!$H$29:$AM$38"),AE$21,FALSE)</f>
        <v>0</v>
      </c>
      <c r="AF25" s="3" cm="1">
        <f t="array" aca="1" ref="AF25" ca="1">VLOOKUP($C25,INDIRECT("'" &amp; INDIRECT("Admin!I2") &amp; "'!$H$29:$AM$38"),AF$21,FALSE)</f>
        <v>0</v>
      </c>
      <c r="AG25" s="3"/>
      <c r="AH25" s="3"/>
    </row>
    <row r="26" spans="2:34">
      <c r="B26" s="18" t="s">
        <v>67</v>
      </c>
      <c r="C26" s="49" t="str">
        <f t="shared" si="1"/>
        <v>Net Zero 2050</v>
      </c>
      <c r="D26" s="3" cm="1">
        <f t="array" aca="1" ref="D26" ca="1">VLOOKUP($C26,INDIRECT("'" &amp; INDIRECT("Admin!I2") &amp; "'!$H$41:$AM$50"),D$21,FALSE)</f>
        <v>0.58425955923502249</v>
      </c>
      <c r="E26" s="3" cm="1">
        <f t="array" aca="1" ref="E26" ca="1">VLOOKUP($C26,INDIRECT("'" &amp; INDIRECT("Admin!I2") &amp; "'!$H$41:$AM$50"),E$21,FALSE)</f>
        <v>0.562620316300392</v>
      </c>
      <c r="F26" s="3" cm="1">
        <f t="array" aca="1" ref="F26" ca="1">VLOOKUP($C26,INDIRECT("'" &amp; INDIRECT("Admin!I2") &amp; "'!$H$41:$AM$50"),F$21,FALSE)</f>
        <v>0.54098107336576162</v>
      </c>
      <c r="G26" s="3" cm="1">
        <f t="array" aca="1" ref="G26" ca="1">VLOOKUP($C26,INDIRECT("'" &amp; INDIRECT("Admin!I2") &amp; "'!$H$41:$AM$50"),G$21,FALSE)</f>
        <v>0.51934183043113102</v>
      </c>
      <c r="H26" s="3" cm="1">
        <f t="array" aca="1" ref="H26" ca="1">VLOOKUP($C26,INDIRECT("'" &amp; INDIRECT("Admin!I2") &amp; "'!$H$41:$AM$50"),H$21,FALSE)</f>
        <v>0.49770258749650059</v>
      </c>
      <c r="I26" s="3" cm="1">
        <f t="array" aca="1" ref="I26" ca="1">VLOOKUP($C26,INDIRECT("'" &amp; INDIRECT("Admin!I2") &amp; "'!$H$41:$AM$50"),I$21,FALSE)</f>
        <v>0.47606334456187016</v>
      </c>
      <c r="J26" s="3" cm="1">
        <f t="array" aca="1" ref="J26" ca="1">VLOOKUP($C26,INDIRECT("'" &amp; INDIRECT("Admin!I2") &amp; "'!$H$41:$AM$50"),J$21,FALSE)</f>
        <v>0.45442410162723973</v>
      </c>
      <c r="K26" s="3" cm="1">
        <f t="array" aca="1" ref="K26" ca="1">VLOOKUP($C26,INDIRECT("'" &amp; INDIRECT("Admin!I2") &amp; "'!$H$41:$AM$50"),K$21,FALSE)</f>
        <v>0.43278485869260924</v>
      </c>
      <c r="L26" s="3" cm="1">
        <f t="array" aca="1" ref="L26" ca="1">VLOOKUP($C26,INDIRECT("'" &amp; INDIRECT("Admin!I2") &amp; "'!$H$41:$AM$50"),L$21,FALSE)</f>
        <v>0.41114561575797881</v>
      </c>
      <c r="M26" s="3" cm="1">
        <f t="array" aca="1" ref="M26" ca="1">VLOOKUP($C26,INDIRECT("'" &amp; INDIRECT("Admin!I2") &amp; "'!$H$41:$AM$50"),M$21,FALSE)</f>
        <v>0.38950637282334832</v>
      </c>
      <c r="N26" s="3" cm="1">
        <f t="array" aca="1" ref="N26" ca="1">VLOOKUP($C26,INDIRECT("'" &amp; INDIRECT("Admin!I2") &amp; "'!$H$41:$AM$50"),N$21,FALSE)</f>
        <v>0.36786712988871784</v>
      </c>
      <c r="O26" s="3" cm="1">
        <f t="array" aca="1" ref="O26" ca="1">VLOOKUP($C26,INDIRECT("'" &amp; INDIRECT("Admin!I2") &amp; "'!$H$41:$AM$50"),O$21,FALSE)</f>
        <v>0.3462278869540874</v>
      </c>
      <c r="P26" s="3" cm="1">
        <f t="array" aca="1" ref="P26" ca="1">VLOOKUP($C26,INDIRECT("'" &amp; INDIRECT("Admin!I2") &amp; "'!$H$41:$AM$50"),P$21,FALSE)</f>
        <v>0.32458864401945697</v>
      </c>
      <c r="Q26" s="3" cm="1">
        <f t="array" aca="1" ref="Q26" ca="1">VLOOKUP($C26,INDIRECT("'" &amp; INDIRECT("Admin!I2") &amp; "'!$H$41:$AM$50"),Q$21,FALSE)</f>
        <v>0.30294940108482649</v>
      </c>
      <c r="R26" s="3" cm="1">
        <f t="array" aca="1" ref="R26" ca="1">VLOOKUP($C26,INDIRECT("'" &amp; INDIRECT("Admin!I2") &amp; "'!$H$41:$AM$50"),R$21,FALSE)</f>
        <v>0.281310158150196</v>
      </c>
      <c r="S26" s="3" cm="1">
        <f t="array" aca="1" ref="S26" ca="1">VLOOKUP($C26,INDIRECT("'" &amp; INDIRECT("Admin!I2") &amp; "'!$H$41:$AM$50"),S$21,FALSE)</f>
        <v>0.25967091521556551</v>
      </c>
      <c r="T26" s="3" cm="1">
        <f t="array" aca="1" ref="T26" ca="1">VLOOKUP($C26,INDIRECT("'" &amp; INDIRECT("Admin!I2") &amp; "'!$H$41:$AM$50"),T$21,FALSE)</f>
        <v>0.23803167228093508</v>
      </c>
      <c r="U26" s="3" cm="1">
        <f t="array" aca="1" ref="U26" ca="1">VLOOKUP($C26,INDIRECT("'" &amp; INDIRECT("Admin!I2") &amp; "'!$H$41:$AM$50"),U$21,FALSE)</f>
        <v>0.21639242934630462</v>
      </c>
      <c r="V26" s="3" cm="1">
        <f t="array" aca="1" ref="V26" ca="1">VLOOKUP($C26,INDIRECT("'" &amp; INDIRECT("Admin!I2") &amp; "'!$H$41:$AM$50"),V$21,FALSE)</f>
        <v>0.19475318641167416</v>
      </c>
      <c r="W26" s="3" cm="1">
        <f t="array" aca="1" ref="W26" ca="1">VLOOKUP($C26,INDIRECT("'" &amp; INDIRECT("Admin!I2") &amp; "'!$H$41:$AM$50"),W$21,FALSE)</f>
        <v>0.1731139434770437</v>
      </c>
      <c r="X26" s="3" cm="1">
        <f t="array" aca="1" ref="X26" ca="1">VLOOKUP($C26,INDIRECT("'" &amp; INDIRECT("Admin!I2") &amp; "'!$H$41:$AM$50"),X$21,FALSE)</f>
        <v>0.15147470054241324</v>
      </c>
      <c r="Y26" s="3" cm="1">
        <f t="array" aca="1" ref="Y26" ca="1">VLOOKUP($C26,INDIRECT("'" &amp; INDIRECT("Admin!I2") &amp; "'!$H$41:$AM$50"),Y$21,FALSE)</f>
        <v>0.12983545760778276</v>
      </c>
      <c r="Z26" s="3" cm="1">
        <f t="array" aca="1" ref="Z26" ca="1">VLOOKUP($C26,INDIRECT("'" &amp; INDIRECT("Admin!I2") &amp; "'!$H$41:$AM$50"),Z$21,FALSE)</f>
        <v>0.10819621467315231</v>
      </c>
      <c r="AA26" s="3" cm="1">
        <f t="array" aca="1" ref="AA26" ca="1">VLOOKUP($C26,INDIRECT("'" &amp; INDIRECT("Admin!I2") &amp; "'!$H$41:$AM$50"),AA$21,FALSE)</f>
        <v>8.6556971738521851E-2</v>
      </c>
      <c r="AB26" s="3" cm="1">
        <f t="array" aca="1" ref="AB26" ca="1">VLOOKUP($C26,INDIRECT("'" &amp; INDIRECT("Admin!I2") &amp; "'!$H$41:$AM$50"),AB$21,FALSE)</f>
        <v>6.4917728803891378E-2</v>
      </c>
      <c r="AC26" s="3" cm="1">
        <f t="array" aca="1" ref="AC26" ca="1">VLOOKUP($C26,INDIRECT("'" &amp; INDIRECT("Admin!I2") &amp; "'!$H$41:$AM$50"),AC$21,FALSE)</f>
        <v>4.3278485869260926E-2</v>
      </c>
      <c r="AD26" s="3" cm="1">
        <f t="array" aca="1" ref="AD26" ca="1">VLOOKUP($C26,INDIRECT("'" &amp; INDIRECT("Admin!I2") &amp; "'!$H$41:$AM$50"),AD$21,FALSE)</f>
        <v>2.1639242934630463E-2</v>
      </c>
      <c r="AE26" s="3" cm="1">
        <f t="array" aca="1" ref="AE26" ca="1">VLOOKUP($C26,INDIRECT("'" &amp; INDIRECT("Admin!I2") &amp; "'!$H$41:$AM$50"),AE$21,FALSE)</f>
        <v>0</v>
      </c>
      <c r="AF26" s="3" cm="1">
        <f t="array" aca="1" ref="AF26" ca="1">VLOOKUP($C26,INDIRECT("'" &amp; INDIRECT("Admin!I2") &amp; "'!$H$41:$AM$50"),AF$21,FALSE)</f>
        <v>0</v>
      </c>
      <c r="AG26" s="3"/>
      <c r="AH26" s="3"/>
    </row>
    <row r="27" spans="2:34">
      <c r="B27" s="18" t="s">
        <v>68</v>
      </c>
      <c r="C27" s="49" t="str">
        <f t="shared" si="1"/>
        <v>Net Zero 2050</v>
      </c>
      <c r="D27" s="3" cm="1">
        <f t="array" aca="1" ref="D27" ca="1">VLOOKUP($C27,INDIRECT("'" &amp; INDIRECT("Admin!I2") &amp; "'!$H$53:$AM$62"),D$21,FALSE)</f>
        <v>65.469516307497202</v>
      </c>
      <c r="E27" s="3" cm="1">
        <f t="array" aca="1" ref="E27" ca="1">VLOOKUP($C27,INDIRECT("'" &amp; INDIRECT("Admin!I2") &amp; "'!$H$53:$AM$62"),E$21,FALSE)</f>
        <v>92.699462609486801</v>
      </c>
      <c r="F27" s="3" cm="1">
        <f t="array" aca="1" ref="F27" ca="1">VLOOKUP($C27,INDIRECT("'" &amp; INDIRECT("Admin!I2") &amp; "'!$H$53:$AM$62"),F$21,FALSE)</f>
        <v>119.9294089114764</v>
      </c>
      <c r="G27" s="3" cm="1">
        <f t="array" aca="1" ref="G27" ca="1">VLOOKUP($C27,INDIRECT("'" &amp; INDIRECT("Admin!I2") &amp; "'!$H$53:$AM$62"),G$21,FALSE)</f>
        <v>147.159355213466</v>
      </c>
      <c r="H27" s="3" cm="1">
        <f t="array" aca="1" ref="H27" ca="1">VLOOKUP($C27,INDIRECT("'" &amp; INDIRECT("Admin!I2") &amp; "'!$H$53:$AM$62"),H$21,FALSE)</f>
        <v>156.13345781564999</v>
      </c>
      <c r="I27" s="3" cm="1">
        <f t="array" aca="1" ref="I27" ca="1">VLOOKUP($C27,INDIRECT("'" &amp; INDIRECT("Admin!I2") &amp; "'!$H$53:$AM$62"),I$21,FALSE)</f>
        <v>165.10756041783398</v>
      </c>
      <c r="J27" s="3" cm="1">
        <f t="array" aca="1" ref="J27" ca="1">VLOOKUP($C27,INDIRECT("'" &amp; INDIRECT("Admin!I2") &amp; "'!$H$53:$AM$62"),J$21,FALSE)</f>
        <v>174.08166302001797</v>
      </c>
      <c r="K27" s="3" cm="1">
        <f t="array" aca="1" ref="K27" ca="1">VLOOKUP($C27,INDIRECT("'" &amp; INDIRECT("Admin!I2") &amp; "'!$H$53:$AM$62"),K$21,FALSE)</f>
        <v>183.05576562220196</v>
      </c>
      <c r="L27" s="3" cm="1">
        <f t="array" aca="1" ref="L27" ca="1">VLOOKUP($C27,INDIRECT("'" &amp; INDIRECT("Admin!I2") &amp; "'!$H$53:$AM$62"),L$21,FALSE)</f>
        <v>192.02986822438601</v>
      </c>
      <c r="M27" s="3" cm="1">
        <f t="array" aca="1" ref="M27" ca="1">VLOOKUP($C27,INDIRECT("'" &amp; INDIRECT("Admin!I2") &amp; "'!$H$53:$AM$62"),M$21,FALSE)</f>
        <v>205.74762901307679</v>
      </c>
      <c r="N27" s="3" cm="1">
        <f t="array" aca="1" ref="N27" ca="1">VLOOKUP($C27,INDIRECT("'" &amp; INDIRECT("Admin!I2") &amp; "'!$H$53:$AM$62"),N$21,FALSE)</f>
        <v>219.46538980176757</v>
      </c>
      <c r="O27" s="3" cm="1">
        <f t="array" aca="1" ref="O27" ca="1">VLOOKUP($C27,INDIRECT("'" &amp; INDIRECT("Admin!I2") &amp; "'!$H$53:$AM$62"),O$21,FALSE)</f>
        <v>233.18315059045835</v>
      </c>
      <c r="P27" s="3" cm="1">
        <f t="array" aca="1" ref="P27" ca="1">VLOOKUP($C27,INDIRECT("'" &amp; INDIRECT("Admin!I2") &amp; "'!$H$53:$AM$62"),P$21,FALSE)</f>
        <v>246.90091137914914</v>
      </c>
      <c r="Q27" s="3" cm="1">
        <f t="array" aca="1" ref="Q27" ca="1">VLOOKUP($C27,INDIRECT("'" &amp; INDIRECT("Admin!I2") &amp; "'!$H$53:$AM$62"),Q$21,FALSE)</f>
        <v>260.61867216783997</v>
      </c>
      <c r="R27" s="3" cm="1">
        <f t="array" aca="1" ref="R27" ca="1">VLOOKUP($C27,INDIRECT("'" &amp; INDIRECT("Admin!I2") &amp; "'!$H$53:$AM$62"),R$21,FALSE)</f>
        <v>276.92654087641876</v>
      </c>
      <c r="S27" s="3" cm="1">
        <f t="array" aca="1" ref="S27" ca="1">VLOOKUP($C27,INDIRECT("'" &amp; INDIRECT("Admin!I2") &amp; "'!$H$53:$AM$62"),S$21,FALSE)</f>
        <v>293.23440958499754</v>
      </c>
      <c r="T27" s="3" cm="1">
        <f t="array" aca="1" ref="T27" ca="1">VLOOKUP($C27,INDIRECT("'" &amp; INDIRECT("Admin!I2") &amp; "'!$H$53:$AM$62"),T$21,FALSE)</f>
        <v>309.54227829357632</v>
      </c>
      <c r="U27" s="3" cm="1">
        <f t="array" aca="1" ref="U27" ca="1">VLOOKUP($C27,INDIRECT("'" &amp; INDIRECT("Admin!I2") &amp; "'!$H$53:$AM$62"),U$21,FALSE)</f>
        <v>325.8501470021551</v>
      </c>
      <c r="V27" s="3" cm="1">
        <f t="array" aca="1" ref="V27" ca="1">VLOOKUP($C27,INDIRECT("'" &amp; INDIRECT("Admin!I2") &amp; "'!$H$53:$AM$62"),V$21,FALSE)</f>
        <v>342.15801571073399</v>
      </c>
      <c r="W27" s="3" cm="1">
        <f t="array" aca="1" ref="W27" ca="1">VLOOKUP($C27,INDIRECT("'" &amp; INDIRECT("Admin!I2") &amp; "'!$H$53:$AM$62"),W$21,FALSE)</f>
        <v>362.56755237622519</v>
      </c>
      <c r="X27" s="3" cm="1">
        <f t="array" aca="1" ref="X27" ca="1">VLOOKUP($C27,INDIRECT("'" &amp; INDIRECT("Admin!I2") &amp; "'!$H$53:$AM$62"),X$21,FALSE)</f>
        <v>382.9770890417164</v>
      </c>
      <c r="Y27" s="3" cm="1">
        <f t="array" aca="1" ref="Y27" ca="1">VLOOKUP($C27,INDIRECT("'" &amp; INDIRECT("Admin!I2") &amp; "'!$H$53:$AM$62"),Y$21,FALSE)</f>
        <v>403.3866257072076</v>
      </c>
      <c r="Z27" s="3" cm="1">
        <f t="array" aca="1" ref="Z27" ca="1">VLOOKUP($C27,INDIRECT("'" &amp; INDIRECT("Admin!I2") &amp; "'!$H$53:$AM$62"),Z$21,FALSE)</f>
        <v>423.7961623726988</v>
      </c>
      <c r="AA27" s="3" cm="1">
        <f t="array" aca="1" ref="AA27" ca="1">VLOOKUP($C27,INDIRECT("'" &amp; INDIRECT("Admin!I2") &amp; "'!$H$53:$AM$62"),AA$21,FALSE)</f>
        <v>444.20569903818989</v>
      </c>
      <c r="AB27" s="3" cm="1">
        <f t="array" aca="1" ref="AB27" ca="1">VLOOKUP($C27,INDIRECT("'" &amp; INDIRECT("Admin!I2") &amp; "'!$H$53:$AM$62"),AB$21,FALSE)</f>
        <v>469.32704171267989</v>
      </c>
      <c r="AC27" s="3" cm="1">
        <f t="array" aca="1" ref="AC27" ca="1">VLOOKUP($C27,INDIRECT("'" &amp; INDIRECT("Admin!I2") &amp; "'!$H$53:$AM$62"),AC$21,FALSE)</f>
        <v>494.44838438716988</v>
      </c>
      <c r="AD27" s="3" cm="1">
        <f t="array" aca="1" ref="AD27" ca="1">VLOOKUP($C27,INDIRECT("'" &amp; INDIRECT("Admin!I2") &amp; "'!$H$53:$AM$62"),AD$21,FALSE)</f>
        <v>519.56972706165993</v>
      </c>
      <c r="AE27" s="3" cm="1">
        <f t="array" aca="1" ref="AE27" ca="1">VLOOKUP($C27,INDIRECT("'" &amp; INDIRECT("Admin!I2") &amp; "'!$H$53:$AM$62"),AE$21,FALSE)</f>
        <v>544.69106973614998</v>
      </c>
      <c r="AF27" s="3" cm="1">
        <f t="array" aca="1" ref="AF27" ca="1">VLOOKUP($C27,INDIRECT("'" &amp; INDIRECT("Admin!I2") &amp; "'!$H$53:$AM$62"),AF$21,FALSE)</f>
        <v>0</v>
      </c>
      <c r="AG27" s="3"/>
      <c r="AH27" s="3"/>
    </row>
    <row r="28" spans="2:34">
      <c r="B28" s="18" t="s">
        <v>69</v>
      </c>
      <c r="C28" s="49" t="str">
        <f t="shared" si="1"/>
        <v>Net Zero 2050</v>
      </c>
      <c r="D28" s="3" cm="1">
        <f t="array" aca="1" ref="D28" ca="1">VLOOKUP($C28,INDIRECT("'" &amp; INDIRECT("Admin!I2") &amp; "'!$H$65:$AM$74"),D$21,FALSE)</f>
        <v>65.469516307497202</v>
      </c>
      <c r="E28" s="3" cm="1">
        <f t="array" aca="1" ref="E28" ca="1">VLOOKUP($C28,INDIRECT("'" &amp; INDIRECT("Admin!I2") &amp; "'!$H$65:$AM$74"),E$21,FALSE)</f>
        <v>92.699462609486801</v>
      </c>
      <c r="F28" s="3" cm="1">
        <f t="array" aca="1" ref="F28" ca="1">VLOOKUP($C28,INDIRECT("'" &amp; INDIRECT("Admin!I2") &amp; "'!$H$65:$AM$74"),F$21,FALSE)</f>
        <v>119.9294089114764</v>
      </c>
      <c r="G28" s="3" cm="1">
        <f t="array" aca="1" ref="G28" ca="1">VLOOKUP($C28,INDIRECT("'" &amp; INDIRECT("Admin!I2") &amp; "'!$H$65:$AM$74"),G$21,FALSE)</f>
        <v>147.159355213466</v>
      </c>
      <c r="H28" s="3" cm="1">
        <f t="array" aca="1" ref="H28" ca="1">VLOOKUP($C28,INDIRECT("'" &amp; INDIRECT("Admin!I2") &amp; "'!$H$65:$AM$74"),H$21,FALSE)</f>
        <v>156.13345781564999</v>
      </c>
      <c r="I28" s="3" cm="1">
        <f t="array" aca="1" ref="I28" ca="1">VLOOKUP($C28,INDIRECT("'" &amp; INDIRECT("Admin!I2") &amp; "'!$H$65:$AM$74"),I$21,FALSE)</f>
        <v>165.10756041783398</v>
      </c>
      <c r="J28" s="3" cm="1">
        <f t="array" aca="1" ref="J28" ca="1">VLOOKUP($C28,INDIRECT("'" &amp; INDIRECT("Admin!I2") &amp; "'!$H$65:$AM$74"),J$21,FALSE)</f>
        <v>174.08166302001797</v>
      </c>
      <c r="K28" s="3" cm="1">
        <f t="array" aca="1" ref="K28" ca="1">VLOOKUP($C28,INDIRECT("'" &amp; INDIRECT("Admin!I2") &amp; "'!$H$65:$AM$74"),K$21,FALSE)</f>
        <v>183.05576562220196</v>
      </c>
      <c r="L28" s="3" cm="1">
        <f t="array" aca="1" ref="L28" ca="1">VLOOKUP($C28,INDIRECT("'" &amp; INDIRECT("Admin!I2") &amp; "'!$H$65:$AM$74"),L$21,FALSE)</f>
        <v>192.02986822438601</v>
      </c>
      <c r="M28" s="3" cm="1">
        <f t="array" aca="1" ref="M28" ca="1">VLOOKUP($C28,INDIRECT("'" &amp; INDIRECT("Admin!I2") &amp; "'!$H$65:$AM$74"),M$21,FALSE)</f>
        <v>205.74762901307679</v>
      </c>
      <c r="N28" s="3" cm="1">
        <f t="array" aca="1" ref="N28" ca="1">VLOOKUP($C28,INDIRECT("'" &amp; INDIRECT("Admin!I2") &amp; "'!$H$65:$AM$74"),N$21,FALSE)</f>
        <v>219.46538980176757</v>
      </c>
      <c r="O28" s="3" cm="1">
        <f t="array" aca="1" ref="O28" ca="1">VLOOKUP($C28,INDIRECT("'" &amp; INDIRECT("Admin!I2") &amp; "'!$H$65:$AM$74"),O$21,FALSE)</f>
        <v>233.18315059045835</v>
      </c>
      <c r="P28" s="3" cm="1">
        <f t="array" aca="1" ref="P28" ca="1">VLOOKUP($C28,INDIRECT("'" &amp; INDIRECT("Admin!I2") &amp; "'!$H$65:$AM$74"),P$21,FALSE)</f>
        <v>246.90091137914914</v>
      </c>
      <c r="Q28" s="3" cm="1">
        <f t="array" aca="1" ref="Q28" ca="1">VLOOKUP($C28,INDIRECT("'" &amp; INDIRECT("Admin!I2") &amp; "'!$H$65:$AM$74"),Q$21,FALSE)</f>
        <v>260.61867216783997</v>
      </c>
      <c r="R28" s="3" cm="1">
        <f t="array" aca="1" ref="R28" ca="1">VLOOKUP($C28,INDIRECT("'" &amp; INDIRECT("Admin!I2") &amp; "'!$H$65:$AM$74"),R$21,FALSE)</f>
        <v>276.92654087641876</v>
      </c>
      <c r="S28" s="3" cm="1">
        <f t="array" aca="1" ref="S28" ca="1">VLOOKUP($C28,INDIRECT("'" &amp; INDIRECT("Admin!I2") &amp; "'!$H$65:$AM$74"),S$21,FALSE)</f>
        <v>293.23440958499754</v>
      </c>
      <c r="T28" s="3" cm="1">
        <f t="array" aca="1" ref="T28" ca="1">VLOOKUP($C28,INDIRECT("'" &amp; INDIRECT("Admin!I2") &amp; "'!$H$65:$AM$74"),T$21,FALSE)</f>
        <v>309.54227829357632</v>
      </c>
      <c r="U28" s="3" cm="1">
        <f t="array" aca="1" ref="U28" ca="1">VLOOKUP($C28,INDIRECT("'" &amp; INDIRECT("Admin!I2") &amp; "'!$H$65:$AM$74"),U$21,FALSE)</f>
        <v>325.8501470021551</v>
      </c>
      <c r="V28" s="3" cm="1">
        <f t="array" aca="1" ref="V28" ca="1">VLOOKUP($C28,INDIRECT("'" &amp; INDIRECT("Admin!I2") &amp; "'!$H$65:$AM$74"),V$21,FALSE)</f>
        <v>342.15801571073399</v>
      </c>
      <c r="W28" s="3" cm="1">
        <f t="array" aca="1" ref="W28" ca="1">VLOOKUP($C28,INDIRECT("'" &amp; INDIRECT("Admin!I2") &amp; "'!$H$65:$AM$74"),W$21,FALSE)</f>
        <v>362.56755237622519</v>
      </c>
      <c r="X28" s="3" cm="1">
        <f t="array" aca="1" ref="X28" ca="1">VLOOKUP($C28,INDIRECT("'" &amp; INDIRECT("Admin!I2") &amp; "'!$H$65:$AM$74"),X$21,FALSE)</f>
        <v>382.9770890417164</v>
      </c>
      <c r="Y28" s="3" cm="1">
        <f t="array" aca="1" ref="Y28" ca="1">VLOOKUP($C28,INDIRECT("'" &amp; INDIRECT("Admin!I2") &amp; "'!$H$65:$AM$74"),Y$21,FALSE)</f>
        <v>403.3866257072076</v>
      </c>
      <c r="Z28" s="3" cm="1">
        <f t="array" aca="1" ref="Z28" ca="1">VLOOKUP($C28,INDIRECT("'" &amp; INDIRECT("Admin!I2") &amp; "'!$H$65:$AM$74"),Z$21,FALSE)</f>
        <v>423.7961623726988</v>
      </c>
      <c r="AA28" s="3" cm="1">
        <f t="array" aca="1" ref="AA28" ca="1">VLOOKUP($C28,INDIRECT("'" &amp; INDIRECT("Admin!I2") &amp; "'!$H$65:$AM$74"),AA$21,FALSE)</f>
        <v>444.20569903818989</v>
      </c>
      <c r="AB28" s="3" cm="1">
        <f t="array" aca="1" ref="AB28" ca="1">VLOOKUP($C28,INDIRECT("'" &amp; INDIRECT("Admin!I2") &amp; "'!$H$65:$AM$74"),AB$21,FALSE)</f>
        <v>469.32704171267989</v>
      </c>
      <c r="AC28" s="3" cm="1">
        <f t="array" aca="1" ref="AC28" ca="1">VLOOKUP($C28,INDIRECT("'" &amp; INDIRECT("Admin!I2") &amp; "'!$H$65:$AM$74"),AC$21,FALSE)</f>
        <v>494.44838438716988</v>
      </c>
      <c r="AD28" s="3" cm="1">
        <f t="array" aca="1" ref="AD28" ca="1">VLOOKUP($C28,INDIRECT("'" &amp; INDIRECT("Admin!I2") &amp; "'!$H$65:$AM$74"),AD$21,FALSE)</f>
        <v>519.56972706165993</v>
      </c>
      <c r="AE28" s="3" cm="1">
        <f t="array" aca="1" ref="AE28" ca="1">VLOOKUP($C28,INDIRECT("'" &amp; INDIRECT("Admin!I2") &amp; "'!$H$65:$AM$74"),AE$21,FALSE)</f>
        <v>544.69106973614998</v>
      </c>
      <c r="AF28" s="3" cm="1">
        <f t="array" aca="1" ref="AF28" ca="1">VLOOKUP($C28,INDIRECT("'" &amp; INDIRECT("Admin!I2") &amp; "'!$H$65:$AM$74"),AF$21,FALSE)</f>
        <v>0</v>
      </c>
      <c r="AG28" s="3"/>
      <c r="AH28" s="3"/>
    </row>
    <row r="29" spans="2:34">
      <c r="B29" s="18" t="s">
        <v>70</v>
      </c>
      <c r="C29" s="49" t="str">
        <f t="shared" si="1"/>
        <v>Net Zero 2050</v>
      </c>
      <c r="D29" s="3" cm="1">
        <f t="array" aca="1" ref="D29" ca="1">VLOOKUP($C29,INDIRECT("'" &amp; INDIRECT("Admin!I2") &amp; "'!$H$77:$AM$86"),D$21,FALSE)</f>
        <v>25.389440745104398</v>
      </c>
      <c r="E29" s="3" cm="1">
        <f t="array" aca="1" ref="E29" ca="1">VLOOKUP($C29,INDIRECT("'" &amp; INDIRECT("Admin!I2") &amp; "'!$H$77:$AM$86"),E$21,FALSE)</f>
        <v>37.530299813415596</v>
      </c>
      <c r="F29" s="3" cm="1">
        <f t="array" aca="1" ref="F29" ca="1">VLOOKUP($C29,INDIRECT("'" &amp; INDIRECT("Admin!I2") &amp; "'!$H$77:$AM$86"),F$21,FALSE)</f>
        <v>49.671158881726797</v>
      </c>
      <c r="G29" s="3" cm="1">
        <f t="array" aca="1" ref="G29" ca="1">VLOOKUP($C29,INDIRECT("'" &amp; INDIRECT("Admin!I2") &amp; "'!$H$77:$AM$86"),G$21,FALSE)</f>
        <v>61.812017950037998</v>
      </c>
      <c r="H29" s="3" cm="1">
        <f t="array" aca="1" ref="H29" ca="1">VLOOKUP($C29,INDIRECT("'" &amp; INDIRECT("Admin!I2") &amp; "'!$H$77:$AM$86"),H$21,FALSE)</f>
        <v>67.143963640499592</v>
      </c>
      <c r="I29" s="3" cm="1">
        <f t="array" aca="1" ref="I29" ca="1">VLOOKUP($C29,INDIRECT("'" &amp; INDIRECT("Admin!I2") &amp; "'!$H$77:$AM$86"),I$21,FALSE)</f>
        <v>72.475909330961187</v>
      </c>
      <c r="J29" s="3" cm="1">
        <f t="array" aca="1" ref="J29" ca="1">VLOOKUP($C29,INDIRECT("'" &amp; INDIRECT("Admin!I2") &amp; "'!$H$77:$AM$86"),J$21,FALSE)</f>
        <v>77.807855021422782</v>
      </c>
      <c r="K29" s="3" cm="1">
        <f t="array" aca="1" ref="K29" ca="1">VLOOKUP($C29,INDIRECT("'" &amp; INDIRECT("Admin!I2") &amp; "'!$H$77:$AM$86"),K$21,FALSE)</f>
        <v>83.139800711884376</v>
      </c>
      <c r="L29" s="3" cm="1">
        <f t="array" aca="1" ref="L29" ca="1">VLOOKUP($C29,INDIRECT("'" &amp; INDIRECT("Admin!I2") &amp; "'!$H$77:$AM$86"),L$21,FALSE)</f>
        <v>88.471746402346</v>
      </c>
      <c r="M29" s="3" cm="1">
        <f t="array" aca="1" ref="M29" ca="1">VLOOKUP($C29,INDIRECT("'" &amp; INDIRECT("Admin!I2") &amp; "'!$H$77:$AM$86"),M$21,FALSE)</f>
        <v>98.112007994063603</v>
      </c>
      <c r="N29" s="3" cm="1">
        <f t="array" aca="1" ref="N29" ca="1">VLOOKUP($C29,INDIRECT("'" &amp; INDIRECT("Admin!I2") &amp; "'!$H$77:$AM$86"),N$21,FALSE)</f>
        <v>107.75226958578121</v>
      </c>
      <c r="O29" s="3" cm="1">
        <f t="array" aca="1" ref="O29" ca="1">VLOOKUP($C29,INDIRECT("'" &amp; INDIRECT("Admin!I2") &amp; "'!$H$77:$AM$86"),O$21,FALSE)</f>
        <v>117.39253117749881</v>
      </c>
      <c r="P29" s="3" cm="1">
        <f t="array" aca="1" ref="P29" ca="1">VLOOKUP($C29,INDIRECT("'" &amp; INDIRECT("Admin!I2") &amp; "'!$H$77:$AM$86"),P$21,FALSE)</f>
        <v>127.03279276921641</v>
      </c>
      <c r="Q29" s="3" cm="1">
        <f t="array" aca="1" ref="Q29" ca="1">VLOOKUP($C29,INDIRECT("'" &amp; INDIRECT("Admin!I2") &amp; "'!$H$77:$AM$86"),Q$21,FALSE)</f>
        <v>136.673054360934</v>
      </c>
      <c r="R29" s="3" cm="1">
        <f t="array" aca="1" ref="R29" ca="1">VLOOKUP($C29,INDIRECT("'" &amp; INDIRECT("Admin!I2") &amp; "'!$H$77:$AM$86"),R$21,FALSE)</f>
        <v>152.3950284390416</v>
      </c>
      <c r="S29" s="3" cm="1">
        <f t="array" aca="1" ref="S29" ca="1">VLOOKUP($C29,INDIRECT("'" &amp; INDIRECT("Admin!I2") &amp; "'!$H$77:$AM$86"),S$21,FALSE)</f>
        <v>168.11700251714919</v>
      </c>
      <c r="T29" s="3" cm="1">
        <f t="array" aca="1" ref="T29" ca="1">VLOOKUP($C29,INDIRECT("'" &amp; INDIRECT("Admin!I2") &amp; "'!$H$77:$AM$86"),T$21,FALSE)</f>
        <v>183.83897659525678</v>
      </c>
      <c r="U29" s="3" cm="1">
        <f t="array" aca="1" ref="U29" ca="1">VLOOKUP($C29,INDIRECT("'" &amp; INDIRECT("Admin!I2") &amp; "'!$H$77:$AM$86"),U$21,FALSE)</f>
        <v>199.56095067336437</v>
      </c>
      <c r="V29" s="3" cm="1">
        <f t="array" aca="1" ref="V29" ca="1">VLOOKUP($C29,INDIRECT("'" &amp; INDIRECT("Admin!I2") &amp; "'!$H$77:$AM$86"),V$21,FALSE)</f>
        <v>215.282924751472</v>
      </c>
      <c r="W29" s="3" cm="1">
        <f t="array" aca="1" ref="W29" ca="1">VLOOKUP($C29,INDIRECT("'" &amp; INDIRECT("Admin!I2") &amp; "'!$H$77:$AM$86"),W$21,FALSE)</f>
        <v>238.91711118915001</v>
      </c>
      <c r="X29" s="3" cm="1">
        <f t="array" aca="1" ref="X29" ca="1">VLOOKUP($C29,INDIRECT("'" &amp; INDIRECT("Admin!I2") &amp; "'!$H$77:$AM$86"),X$21,FALSE)</f>
        <v>262.55129762682799</v>
      </c>
      <c r="Y29" s="3" cm="1">
        <f t="array" aca="1" ref="Y29" ca="1">VLOOKUP($C29,INDIRECT("'" &amp; INDIRECT("Admin!I2") &amp; "'!$H$77:$AM$86"),Y$21,FALSE)</f>
        <v>286.185484064506</v>
      </c>
      <c r="Z29" s="3" cm="1">
        <f t="array" aca="1" ref="Z29" ca="1">VLOOKUP($C29,INDIRECT("'" &amp; INDIRECT("Admin!I2") &amp; "'!$H$77:$AM$86"),Z$21,FALSE)</f>
        <v>309.81967050218401</v>
      </c>
      <c r="AA29" s="3" cm="1">
        <f t="array" aca="1" ref="AA29" ca="1">VLOOKUP($C29,INDIRECT("'" &amp; INDIRECT("Admin!I2") &amp; "'!$H$77:$AM$86"),AA$21,FALSE)</f>
        <v>333.45385693986202</v>
      </c>
      <c r="AB29" s="3" cm="1">
        <f t="array" aca="1" ref="AB29" ca="1">VLOOKUP($C29,INDIRECT("'" &amp; INDIRECT("Admin!I2") &amp; "'!$H$77:$AM$86"),AB$21,FALSE)</f>
        <v>366.77473710987164</v>
      </c>
      <c r="AC29" s="3" cm="1">
        <f t="array" aca="1" ref="AC29" ca="1">VLOOKUP($C29,INDIRECT("'" &amp; INDIRECT("Admin!I2") &amp; "'!$H$77:$AM$86"),AC$21,FALSE)</f>
        <v>400.09561727988125</v>
      </c>
      <c r="AD29" s="3" cm="1">
        <f t="array" aca="1" ref="AD29" ca="1">VLOOKUP($C29,INDIRECT("'" &amp; INDIRECT("Admin!I2") &amp; "'!$H$77:$AM$86"),AD$21,FALSE)</f>
        <v>433.41649744989087</v>
      </c>
      <c r="AE29" s="3" cm="1">
        <f t="array" aca="1" ref="AE29" ca="1">VLOOKUP($C29,INDIRECT("'" &amp; INDIRECT("Admin!I2") &amp; "'!$H$77:$AM$86"),AE$21,FALSE)</f>
        <v>466.73737761990049</v>
      </c>
      <c r="AF29" s="3" cm="1">
        <f t="array" aca="1" ref="AF29" ca="1">VLOOKUP($C29,INDIRECT("'" &amp; INDIRECT("Admin!I2") &amp; "'!$H$77:$AM$86"),AF$21,FALSE)</f>
        <v>0</v>
      </c>
      <c r="AG29" s="3"/>
      <c r="AH29" s="3"/>
    </row>
    <row r="30" spans="2:34">
      <c r="B30" s="18" t="s">
        <v>71</v>
      </c>
      <c r="C30" s="49" t="str">
        <f t="shared" si="1"/>
        <v>Net Zero 2050</v>
      </c>
      <c r="D30" s="3" cm="1">
        <f t="array" aca="1" ref="D30" ca="1">VLOOKUP($C30,INDIRECT("'" &amp; INDIRECT("Admin!I2") &amp; "'!$H$89:$AM$98"),D$21,FALSE)</f>
        <v>25.389440745104398</v>
      </c>
      <c r="E30" s="3" cm="1">
        <f t="array" aca="1" ref="E30" ca="1">VLOOKUP($C30,INDIRECT("'" &amp; INDIRECT("Admin!I2") &amp; "'!$H$89:$AM$98"),E$21,FALSE)</f>
        <v>37.530299813415596</v>
      </c>
      <c r="F30" s="3" cm="1">
        <f t="array" aca="1" ref="F30" ca="1">VLOOKUP($C30,INDIRECT("'" &amp; INDIRECT("Admin!I2") &amp; "'!$H$89:$AM$98"),F$21,FALSE)</f>
        <v>49.671158881726797</v>
      </c>
      <c r="G30" s="3" cm="1">
        <f t="array" aca="1" ref="G30" ca="1">VLOOKUP($C30,INDIRECT("'" &amp; INDIRECT("Admin!I2") &amp; "'!$H$89:$AM$98"),G$21,FALSE)</f>
        <v>61.812017950037998</v>
      </c>
      <c r="H30" s="3" cm="1">
        <f t="array" aca="1" ref="H30" ca="1">VLOOKUP($C30,INDIRECT("'" &amp; INDIRECT("Admin!I2") &amp; "'!$H$89:$AM$98"),H$21,FALSE)</f>
        <v>67.143963640499592</v>
      </c>
      <c r="I30" s="3" cm="1">
        <f t="array" aca="1" ref="I30" ca="1">VLOOKUP($C30,INDIRECT("'" &amp; INDIRECT("Admin!I2") &amp; "'!$H$89:$AM$98"),I$21,FALSE)</f>
        <v>72.475909330961187</v>
      </c>
      <c r="J30" s="3" cm="1">
        <f t="array" aca="1" ref="J30" ca="1">VLOOKUP($C30,INDIRECT("'" &amp; INDIRECT("Admin!I2") &amp; "'!$H$89:$AM$98"),J$21,FALSE)</f>
        <v>77.807855021422782</v>
      </c>
      <c r="K30" s="3" cm="1">
        <f t="array" aca="1" ref="K30" ca="1">VLOOKUP($C30,INDIRECT("'" &amp; INDIRECT("Admin!I2") &amp; "'!$H$89:$AM$98"),K$21,FALSE)</f>
        <v>83.139800711884376</v>
      </c>
      <c r="L30" s="3" cm="1">
        <f t="array" aca="1" ref="L30" ca="1">VLOOKUP($C30,INDIRECT("'" &amp; INDIRECT("Admin!I2") &amp; "'!$H$89:$AM$98"),L$21,FALSE)</f>
        <v>88.471746402346</v>
      </c>
      <c r="M30" s="3" cm="1">
        <f t="array" aca="1" ref="M30" ca="1">VLOOKUP($C30,INDIRECT("'" &amp; INDIRECT("Admin!I2") &amp; "'!$H$89:$AM$98"),M$21,FALSE)</f>
        <v>98.112007994063603</v>
      </c>
      <c r="N30" s="3" cm="1">
        <f t="array" aca="1" ref="N30" ca="1">VLOOKUP($C30,INDIRECT("'" &amp; INDIRECT("Admin!I2") &amp; "'!$H$89:$AM$98"),N$21,FALSE)</f>
        <v>107.75226958578121</v>
      </c>
      <c r="O30" s="3" cm="1">
        <f t="array" aca="1" ref="O30" ca="1">VLOOKUP($C30,INDIRECT("'" &amp; INDIRECT("Admin!I2") &amp; "'!$H$89:$AM$98"),O$21,FALSE)</f>
        <v>117.39253117749881</v>
      </c>
      <c r="P30" s="3" cm="1">
        <f t="array" aca="1" ref="P30" ca="1">VLOOKUP($C30,INDIRECT("'" &amp; INDIRECT("Admin!I2") &amp; "'!$H$89:$AM$98"),P$21,FALSE)</f>
        <v>127.03279276921641</v>
      </c>
      <c r="Q30" s="3" cm="1">
        <f t="array" aca="1" ref="Q30" ca="1">VLOOKUP($C30,INDIRECT("'" &amp; INDIRECT("Admin!I2") &amp; "'!$H$89:$AM$98"),Q$21,FALSE)</f>
        <v>136.673054360934</v>
      </c>
      <c r="R30" s="3" cm="1">
        <f t="array" aca="1" ref="R30" ca="1">VLOOKUP($C30,INDIRECT("'" &amp; INDIRECT("Admin!I2") &amp; "'!$H$89:$AM$98"),R$21,FALSE)</f>
        <v>152.3950284390416</v>
      </c>
      <c r="S30" s="3" cm="1">
        <f t="array" aca="1" ref="S30" ca="1">VLOOKUP($C30,INDIRECT("'" &amp; INDIRECT("Admin!I2") &amp; "'!$H$89:$AM$98"),S$21,FALSE)</f>
        <v>168.11700251714919</v>
      </c>
      <c r="T30" s="3" cm="1">
        <f t="array" aca="1" ref="T30" ca="1">VLOOKUP($C30,INDIRECT("'" &amp; INDIRECT("Admin!I2") &amp; "'!$H$89:$AM$98"),T$21,FALSE)</f>
        <v>183.83897659525678</v>
      </c>
      <c r="U30" s="3" cm="1">
        <f t="array" aca="1" ref="U30" ca="1">VLOOKUP($C30,INDIRECT("'" &amp; INDIRECT("Admin!I2") &amp; "'!$H$89:$AM$98"),U$21,FALSE)</f>
        <v>199.56095067336437</v>
      </c>
      <c r="V30" s="3" cm="1">
        <f t="array" aca="1" ref="V30" ca="1">VLOOKUP($C30,INDIRECT("'" &amp; INDIRECT("Admin!I2") &amp; "'!$H$89:$AM$98"),V$21,FALSE)</f>
        <v>215.282924751472</v>
      </c>
      <c r="W30" s="3" cm="1">
        <f t="array" aca="1" ref="W30" ca="1">VLOOKUP($C30,INDIRECT("'" &amp; INDIRECT("Admin!I2") &amp; "'!$H$89:$AM$98"),W$21,FALSE)</f>
        <v>238.91711118915001</v>
      </c>
      <c r="X30" s="3" cm="1">
        <f t="array" aca="1" ref="X30" ca="1">VLOOKUP($C30,INDIRECT("'" &amp; INDIRECT("Admin!I2") &amp; "'!$H$89:$AM$98"),X$21,FALSE)</f>
        <v>262.55129762682799</v>
      </c>
      <c r="Y30" s="3" cm="1">
        <f t="array" aca="1" ref="Y30" ca="1">VLOOKUP($C30,INDIRECT("'" &amp; INDIRECT("Admin!I2") &amp; "'!$H$89:$AM$98"),Y$21,FALSE)</f>
        <v>286.185484064506</v>
      </c>
      <c r="Z30" s="3" cm="1">
        <f t="array" aca="1" ref="Z30" ca="1">VLOOKUP($C30,INDIRECT("'" &amp; INDIRECT("Admin!I2") &amp; "'!$H$89:$AM$98"),Z$21,FALSE)</f>
        <v>309.81967050218401</v>
      </c>
      <c r="AA30" s="3" cm="1">
        <f t="array" aca="1" ref="AA30" ca="1">VLOOKUP($C30,INDIRECT("'" &amp; INDIRECT("Admin!I2") &amp; "'!$H$89:$AM$98"),AA$21,FALSE)</f>
        <v>333.45385693986202</v>
      </c>
      <c r="AB30" s="3" cm="1">
        <f t="array" aca="1" ref="AB30" ca="1">VLOOKUP($C30,INDIRECT("'" &amp; INDIRECT("Admin!I2") &amp; "'!$H$89:$AM$98"),AB$21,FALSE)</f>
        <v>366.77473710987164</v>
      </c>
      <c r="AC30" s="3" cm="1">
        <f t="array" aca="1" ref="AC30" ca="1">VLOOKUP($C30,INDIRECT("'" &amp; INDIRECT("Admin!I2") &amp; "'!$H$89:$AM$98"),AC$21,FALSE)</f>
        <v>400.09561727988125</v>
      </c>
      <c r="AD30" s="3" cm="1">
        <f t="array" aca="1" ref="AD30" ca="1">VLOOKUP($C30,INDIRECT("'" &amp; INDIRECT("Admin!I2") &amp; "'!$H$89:$AM$98"),AD$21,FALSE)</f>
        <v>433.41649744989087</v>
      </c>
      <c r="AE30" s="3" cm="1">
        <f t="array" aca="1" ref="AE30" ca="1">VLOOKUP($C30,INDIRECT("'" &amp; INDIRECT("Admin!I2") &amp; "'!$H$89:$AM$98"),AE$21,FALSE)</f>
        <v>466.73737761990049</v>
      </c>
      <c r="AF30" s="3" cm="1">
        <f t="array" aca="1" ref="AF30" ca="1">VLOOKUP($C30,INDIRECT("'" &amp; INDIRECT("Admin!I2") &amp; "'!$H$89:$AM$98"),AF$21,FALSE)</f>
        <v>0</v>
      </c>
      <c r="AG30" s="3"/>
      <c r="AH30" s="3"/>
    </row>
    <row r="31" spans="2:34">
      <c r="B31" s="18" t="s">
        <v>72</v>
      </c>
      <c r="C31" s="49" t="str">
        <f t="shared" si="1"/>
        <v>Net Zero 2050</v>
      </c>
      <c r="D31" s="3" cm="1">
        <f t="array" aca="1" ref="D31" ca="1">VLOOKUP($C31,INDIRECT("'" &amp; INDIRECT("Admin!I2") &amp; "'!$H$101:$AM$134"),D$21,FALSE)</f>
        <v>25.389440745104398</v>
      </c>
      <c r="E31" s="3" cm="1">
        <f t="array" aca="1" ref="E31" ca="1">VLOOKUP($C31,INDIRECT("'" &amp; INDIRECT("Admin!I2") &amp; "'!$H$101:$AM$134"),E$21,FALSE)</f>
        <v>37.530299813415596</v>
      </c>
      <c r="F31" s="3" cm="1">
        <f t="array" aca="1" ref="F31" ca="1">VLOOKUP($C31,INDIRECT("'" &amp; INDIRECT("Admin!I2") &amp; "'!$H$101:$AM$134"),F$21,FALSE)</f>
        <v>49.671158881726797</v>
      </c>
      <c r="G31" s="3" cm="1">
        <f t="array" aca="1" ref="G31" ca="1">VLOOKUP($C31,INDIRECT("'" &amp; INDIRECT("Admin!I2") &amp; "'!$H$101:$AM$134"),G$21,FALSE)</f>
        <v>61.812017950037998</v>
      </c>
      <c r="H31" s="3" cm="1">
        <f t="array" aca="1" ref="H31" ca="1">VLOOKUP($C31,INDIRECT("'" &amp; INDIRECT("Admin!I2") &amp; "'!$H$101:$AM$134"),H$21,FALSE)</f>
        <v>67.143963640499592</v>
      </c>
      <c r="I31" s="3" cm="1">
        <f t="array" aca="1" ref="I31" ca="1">VLOOKUP($C31,INDIRECT("'" &amp; INDIRECT("Admin!I2") &amp; "'!$H$101:$AM$134"),I$21,FALSE)</f>
        <v>72.475909330961187</v>
      </c>
      <c r="J31" s="3" cm="1">
        <f t="array" aca="1" ref="J31" ca="1">VLOOKUP($C31,INDIRECT("'" &amp; INDIRECT("Admin!I2") &amp; "'!$H$101:$AM$134"),J$21,FALSE)</f>
        <v>77.807855021422782</v>
      </c>
      <c r="K31" s="3" cm="1">
        <f t="array" aca="1" ref="K31" ca="1">VLOOKUP($C31,INDIRECT("'" &amp; INDIRECT("Admin!I2") &amp; "'!$H$101:$AM$134"),K$21,FALSE)</f>
        <v>83.139800711884376</v>
      </c>
      <c r="L31" s="3" cm="1">
        <f t="array" aca="1" ref="L31" ca="1">VLOOKUP($C31,INDIRECT("'" &amp; INDIRECT("Admin!I2") &amp; "'!$H$101:$AM$134"),L$21,FALSE)</f>
        <v>88.471746402346</v>
      </c>
      <c r="M31" s="3" cm="1">
        <f t="array" aca="1" ref="M31" ca="1">VLOOKUP($C31,INDIRECT("'" &amp; INDIRECT("Admin!I2") &amp; "'!$H$101:$AM$134"),M$21,FALSE)</f>
        <v>98.112007994063603</v>
      </c>
      <c r="N31" s="3" cm="1">
        <f t="array" aca="1" ref="N31" ca="1">VLOOKUP($C31,INDIRECT("'" &amp; INDIRECT("Admin!I2") &amp; "'!$H$101:$AM$134"),N$21,FALSE)</f>
        <v>107.75226958578121</v>
      </c>
      <c r="O31" s="3" cm="1">
        <f t="array" aca="1" ref="O31" ca="1">VLOOKUP($C31,INDIRECT("'" &amp; INDIRECT("Admin!I2") &amp; "'!$H$101:$AM$134"),O$21,FALSE)</f>
        <v>117.39253117749881</v>
      </c>
      <c r="P31" s="3" cm="1">
        <f t="array" aca="1" ref="P31" ca="1">VLOOKUP($C31,INDIRECT("'" &amp; INDIRECT("Admin!I2") &amp; "'!$H$101:$AM$134"),P$21,FALSE)</f>
        <v>127.03279276921641</v>
      </c>
      <c r="Q31" s="3" cm="1">
        <f t="array" aca="1" ref="Q31" ca="1">VLOOKUP($C31,INDIRECT("'" &amp; INDIRECT("Admin!I2") &amp; "'!$H$101:$AM$134"),Q$21,FALSE)</f>
        <v>136.673054360934</v>
      </c>
      <c r="R31" s="3" cm="1">
        <f t="array" aca="1" ref="R31" ca="1">VLOOKUP($C31,INDIRECT("'" &amp; INDIRECT("Admin!I2") &amp; "'!$H$101:$AM$134"),R$21,FALSE)</f>
        <v>152.3950284390416</v>
      </c>
      <c r="S31" s="3" cm="1">
        <f t="array" aca="1" ref="S31" ca="1">VLOOKUP($C31,INDIRECT("'" &amp; INDIRECT("Admin!I2") &amp; "'!$H$101:$AM$134"),S$21,FALSE)</f>
        <v>168.11700251714919</v>
      </c>
      <c r="T31" s="3" cm="1">
        <f t="array" aca="1" ref="T31" ca="1">VLOOKUP($C31,INDIRECT("'" &amp; INDIRECT("Admin!I2") &amp; "'!$H$101:$AM$134"),T$21,FALSE)</f>
        <v>183.83897659525678</v>
      </c>
      <c r="U31" s="3" cm="1">
        <f t="array" aca="1" ref="U31" ca="1">VLOOKUP($C31,INDIRECT("'" &amp; INDIRECT("Admin!I2") &amp; "'!$H$101:$AM$134"),U$21,FALSE)</f>
        <v>199.56095067336437</v>
      </c>
      <c r="V31" s="3" cm="1">
        <f t="array" aca="1" ref="V31" ca="1">VLOOKUP($C31,INDIRECT("'" &amp; INDIRECT("Admin!I2") &amp; "'!$H$101:$AM$134"),V$21,FALSE)</f>
        <v>215.282924751472</v>
      </c>
      <c r="W31" s="3" cm="1">
        <f t="array" aca="1" ref="W31" ca="1">VLOOKUP($C31,INDIRECT("'" &amp; INDIRECT("Admin!I2") &amp; "'!$H$101:$AM$134"),W$21,FALSE)</f>
        <v>238.91711118915001</v>
      </c>
      <c r="X31" s="3" cm="1">
        <f t="array" aca="1" ref="X31" ca="1">VLOOKUP($C31,INDIRECT("'" &amp; INDIRECT("Admin!I2") &amp; "'!$H$101:$AM$134"),X$21,FALSE)</f>
        <v>262.55129762682799</v>
      </c>
      <c r="Y31" s="3" cm="1">
        <f t="array" aca="1" ref="Y31" ca="1">VLOOKUP($C31,INDIRECT("'" &amp; INDIRECT("Admin!I2") &amp; "'!$H$101:$AM$134"),Y$21,FALSE)</f>
        <v>286.185484064506</v>
      </c>
      <c r="Z31" s="3" cm="1">
        <f t="array" aca="1" ref="Z31" ca="1">VLOOKUP($C31,INDIRECT("'" &amp; INDIRECT("Admin!I2") &amp; "'!$H$101:$AM$134"),Z$21,FALSE)</f>
        <v>309.81967050218401</v>
      </c>
      <c r="AA31" s="3" cm="1">
        <f t="array" aca="1" ref="AA31" ca="1">VLOOKUP($C31,INDIRECT("'" &amp; INDIRECT("Admin!I2") &amp; "'!$H$101:$AM$134"),AA$21,FALSE)</f>
        <v>333.45385693986202</v>
      </c>
      <c r="AB31" s="3" cm="1">
        <f t="array" aca="1" ref="AB31" ca="1">VLOOKUP($C31,INDIRECT("'" &amp; INDIRECT("Admin!I2") &amp; "'!$H$101:$AM$134"),AB$21,FALSE)</f>
        <v>366.77473710987164</v>
      </c>
      <c r="AC31" s="3" cm="1">
        <f t="array" aca="1" ref="AC31" ca="1">VLOOKUP($C31,INDIRECT("'" &amp; INDIRECT("Admin!I2") &amp; "'!$H$101:$AM$134"),AC$21,FALSE)</f>
        <v>400.09561727988125</v>
      </c>
      <c r="AD31" s="3" cm="1">
        <f t="array" aca="1" ref="AD31" ca="1">VLOOKUP($C31,INDIRECT("'" &amp; INDIRECT("Admin!I2") &amp; "'!$H$101:$AM$134"),AD$21,FALSE)</f>
        <v>433.41649744989087</v>
      </c>
      <c r="AE31" s="3" cm="1">
        <f t="array" aca="1" ref="AE31" ca="1">VLOOKUP($C31,INDIRECT("'" &amp; INDIRECT("Admin!I2") &amp; "'!$H$101:$AM$134"),AE$21,FALSE)</f>
        <v>466.73737761990049</v>
      </c>
      <c r="AF31" s="3" cm="1">
        <f t="array" aca="1" ref="AF31" ca="1">VLOOKUP($C31,INDIRECT("'" &amp; INDIRECT("Admin!I2") &amp; "'!$H$101:$AM$134"),AF$21,FALSE)</f>
        <v>0</v>
      </c>
      <c r="AG31" s="3"/>
      <c r="AH31" s="3"/>
    </row>
    <row r="32" spans="2:34">
      <c r="B32" s="18" t="s">
        <v>73</v>
      </c>
      <c r="C32" s="49" t="str">
        <f t="shared" si="1"/>
        <v>Net Zero 2050</v>
      </c>
      <c r="D32" s="3" cm="1">
        <f t="array" aca="1" ref="D32" ca="1">VLOOKUP($C32,INDIRECT("'" &amp; INDIRECT("Admin!I2") &amp; "'!$H$137:$AM$170"),D$21,FALSE)</f>
        <v>65.469516307497202</v>
      </c>
      <c r="E32" s="3" cm="1">
        <f t="array" aca="1" ref="E32" ca="1">VLOOKUP($C32,INDIRECT("'" &amp; INDIRECT("Admin!I2") &amp; "'!$H$137:$AM$170"),E$21,FALSE)</f>
        <v>92.699462609486801</v>
      </c>
      <c r="F32" s="3" cm="1">
        <f t="array" aca="1" ref="F32" ca="1">VLOOKUP($C32,INDIRECT("'" &amp; INDIRECT("Admin!I2") &amp; "'!$H$137:$AM$170"),F$21,FALSE)</f>
        <v>119.9294089114764</v>
      </c>
      <c r="G32" s="3" cm="1">
        <f t="array" aca="1" ref="G32" ca="1">VLOOKUP($C32,INDIRECT("'" &amp; INDIRECT("Admin!I2") &amp; "'!$H$137:$AM$170"),G$21,FALSE)</f>
        <v>147.159355213466</v>
      </c>
      <c r="H32" s="3" cm="1">
        <f t="array" aca="1" ref="H32" ca="1">VLOOKUP($C32,INDIRECT("'" &amp; INDIRECT("Admin!I2") &amp; "'!$H$137:$AM$170"),H$21,FALSE)</f>
        <v>156.13345781564999</v>
      </c>
      <c r="I32" s="3" cm="1">
        <f t="array" aca="1" ref="I32" ca="1">VLOOKUP($C32,INDIRECT("'" &amp; INDIRECT("Admin!I2") &amp; "'!$H$137:$AM$170"),I$21,FALSE)</f>
        <v>165.10756041783398</v>
      </c>
      <c r="J32" s="3" cm="1">
        <f t="array" aca="1" ref="J32" ca="1">VLOOKUP($C32,INDIRECT("'" &amp; INDIRECT("Admin!I2") &amp; "'!$H$137:$AM$170"),J$21,FALSE)</f>
        <v>174.08166302001797</v>
      </c>
      <c r="K32" s="3" cm="1">
        <f t="array" aca="1" ref="K32" ca="1">VLOOKUP($C32,INDIRECT("'" &amp; INDIRECT("Admin!I2") &amp; "'!$H$137:$AM$170"),K$21,FALSE)</f>
        <v>183.05576562220196</v>
      </c>
      <c r="L32" s="3" cm="1">
        <f t="array" aca="1" ref="L32" ca="1">VLOOKUP($C32,INDIRECT("'" &amp; INDIRECT("Admin!I2") &amp; "'!$H$137:$AM$170"),L$21,FALSE)</f>
        <v>192.02986822438601</v>
      </c>
      <c r="M32" s="3" cm="1">
        <f t="array" aca="1" ref="M32" ca="1">VLOOKUP($C32,INDIRECT("'" &amp; INDIRECT("Admin!I2") &amp; "'!$H$137:$AM$170"),M$21,FALSE)</f>
        <v>205.74762901307679</v>
      </c>
      <c r="N32" s="3" cm="1">
        <f t="array" aca="1" ref="N32" ca="1">VLOOKUP($C32,INDIRECT("'" &amp; INDIRECT("Admin!I2") &amp; "'!$H$137:$AM$170"),N$21,FALSE)</f>
        <v>219.46538980176757</v>
      </c>
      <c r="O32" s="3" cm="1">
        <f t="array" aca="1" ref="O32" ca="1">VLOOKUP($C32,INDIRECT("'" &amp; INDIRECT("Admin!I2") &amp; "'!$H$137:$AM$170"),O$21,FALSE)</f>
        <v>233.18315059045835</v>
      </c>
      <c r="P32" s="3" cm="1">
        <f t="array" aca="1" ref="P32" ca="1">VLOOKUP($C32,INDIRECT("'" &amp; INDIRECT("Admin!I2") &amp; "'!$H$137:$AM$170"),P$21,FALSE)</f>
        <v>246.90091137914914</v>
      </c>
      <c r="Q32" s="3" cm="1">
        <f t="array" aca="1" ref="Q32" ca="1">VLOOKUP($C32,INDIRECT("'" &amp; INDIRECT("Admin!I2") &amp; "'!$H$137:$AM$170"),Q$21,FALSE)</f>
        <v>260.61867216783997</v>
      </c>
      <c r="R32" s="3" cm="1">
        <f t="array" aca="1" ref="R32" ca="1">VLOOKUP($C32,INDIRECT("'" &amp; INDIRECT("Admin!I2") &amp; "'!$H$137:$AM$170"),R$21,FALSE)</f>
        <v>276.92654087641876</v>
      </c>
      <c r="S32" s="3" cm="1">
        <f t="array" aca="1" ref="S32" ca="1">VLOOKUP($C32,INDIRECT("'" &amp; INDIRECT("Admin!I2") &amp; "'!$H$137:$AM$170"),S$21,FALSE)</f>
        <v>293.23440958499754</v>
      </c>
      <c r="T32" s="3" cm="1">
        <f t="array" aca="1" ref="T32" ca="1">VLOOKUP($C32,INDIRECT("'" &amp; INDIRECT("Admin!I2") &amp; "'!$H$137:$AM$170"),T$21,FALSE)</f>
        <v>309.54227829357632</v>
      </c>
      <c r="U32" s="3" cm="1">
        <f t="array" aca="1" ref="U32" ca="1">VLOOKUP($C32,INDIRECT("'" &amp; INDIRECT("Admin!I2") &amp; "'!$H$137:$AM$170"),U$21,FALSE)</f>
        <v>325.8501470021551</v>
      </c>
      <c r="V32" s="3" cm="1">
        <f t="array" aca="1" ref="V32" ca="1">VLOOKUP($C32,INDIRECT("'" &amp; INDIRECT("Admin!I2") &amp; "'!$H$137:$AM$170"),V$21,FALSE)</f>
        <v>342.15801571073399</v>
      </c>
      <c r="W32" s="3" cm="1">
        <f t="array" aca="1" ref="W32" ca="1">VLOOKUP($C32,INDIRECT("'" &amp; INDIRECT("Admin!I2") &amp; "'!$H$137:$AM$170"),W$21,FALSE)</f>
        <v>362.56755237622519</v>
      </c>
      <c r="X32" s="3" cm="1">
        <f t="array" aca="1" ref="X32" ca="1">VLOOKUP($C32,INDIRECT("'" &amp; INDIRECT("Admin!I2") &amp; "'!$H$137:$AM$170"),X$21,FALSE)</f>
        <v>382.9770890417164</v>
      </c>
      <c r="Y32" s="3" cm="1">
        <f t="array" aca="1" ref="Y32" ca="1">VLOOKUP($C32,INDIRECT("'" &amp; INDIRECT("Admin!I2") &amp; "'!$H$137:$AM$170"),Y$21,FALSE)</f>
        <v>403.3866257072076</v>
      </c>
      <c r="Z32" s="3" cm="1">
        <f t="array" aca="1" ref="Z32" ca="1">VLOOKUP($C32,INDIRECT("'" &amp; INDIRECT("Admin!I2") &amp; "'!$H$137:$AM$170"),Z$21,FALSE)</f>
        <v>423.7961623726988</v>
      </c>
      <c r="AA32" s="3" cm="1">
        <f t="array" aca="1" ref="AA32" ca="1">VLOOKUP($C32,INDIRECT("'" &amp; INDIRECT("Admin!I2") &amp; "'!$H$137:$AM$170"),AA$21,FALSE)</f>
        <v>444.20569903818989</v>
      </c>
      <c r="AB32" s="3" cm="1">
        <f t="array" aca="1" ref="AB32" ca="1">VLOOKUP($C32,INDIRECT("'" &amp; INDIRECT("Admin!I2") &amp; "'!$H$137:$AM$170"),AB$21,FALSE)</f>
        <v>469.32704171267989</v>
      </c>
      <c r="AC32" s="3" cm="1">
        <f t="array" aca="1" ref="AC32" ca="1">VLOOKUP($C32,INDIRECT("'" &amp; INDIRECT("Admin!I2") &amp; "'!$H$137:$AM$170"),AC$21,FALSE)</f>
        <v>494.44838438716988</v>
      </c>
      <c r="AD32" s="3" cm="1">
        <f t="array" aca="1" ref="AD32" ca="1">VLOOKUP($C32,INDIRECT("'" &amp; INDIRECT("Admin!I2") &amp; "'!$H$137:$AM$170"),AD$21,FALSE)</f>
        <v>519.56972706165993</v>
      </c>
      <c r="AE32" s="3" cm="1">
        <f t="array" aca="1" ref="AE32" ca="1">VLOOKUP($C32,INDIRECT("'" &amp; INDIRECT("Admin!I2") &amp; "'!$H$137:$AM$170"),AE$21,FALSE)</f>
        <v>544.69106973614998</v>
      </c>
      <c r="AF32" s="3" cm="1">
        <f t="array" aca="1" ref="AF32" ca="1">VLOOKUP($C32,INDIRECT("'" &amp; INDIRECT("Admin!I2") &amp; "'!$H$137:$AM$170"),AF$21,FALSE)</f>
        <v>0</v>
      </c>
      <c r="AG32" s="3"/>
      <c r="AH32" s="3"/>
    </row>
    <row r="34" spans="2:34">
      <c r="B34" s="16" t="s">
        <v>74</v>
      </c>
      <c r="D34" s="1">
        <f>D$22</f>
        <v>2023</v>
      </c>
      <c r="E34" s="1">
        <f>E$22</f>
        <v>2024</v>
      </c>
      <c r="F34" s="1">
        <f>F$22</f>
        <v>2025</v>
      </c>
      <c r="G34" s="1">
        <f t="shared" ref="G34:AH34" si="2">G$22</f>
        <v>2026</v>
      </c>
      <c r="H34" s="1">
        <f t="shared" si="2"/>
        <v>2027</v>
      </c>
      <c r="I34" s="1">
        <f t="shared" si="2"/>
        <v>2028</v>
      </c>
      <c r="J34" s="1">
        <f t="shared" si="2"/>
        <v>2029</v>
      </c>
      <c r="K34" s="1">
        <f t="shared" si="2"/>
        <v>2030</v>
      </c>
      <c r="L34" s="1">
        <f t="shared" si="2"/>
        <v>2031</v>
      </c>
      <c r="M34" s="1">
        <f t="shared" si="2"/>
        <v>2032</v>
      </c>
      <c r="N34" s="1">
        <f t="shared" si="2"/>
        <v>2033</v>
      </c>
      <c r="O34" s="1">
        <f t="shared" si="2"/>
        <v>2034</v>
      </c>
      <c r="P34" s="1">
        <f t="shared" si="2"/>
        <v>2035</v>
      </c>
      <c r="Q34" s="1">
        <f t="shared" si="2"/>
        <v>2036</v>
      </c>
      <c r="R34" s="1">
        <f t="shared" si="2"/>
        <v>2037</v>
      </c>
      <c r="S34" s="1">
        <f t="shared" si="2"/>
        <v>2038</v>
      </c>
      <c r="T34" s="1">
        <f t="shared" si="2"/>
        <v>2039</v>
      </c>
      <c r="U34" s="1">
        <f t="shared" si="2"/>
        <v>2040</v>
      </c>
      <c r="V34" s="1">
        <f t="shared" si="2"/>
        <v>2041</v>
      </c>
      <c r="W34" s="1">
        <f t="shared" si="2"/>
        <v>2042</v>
      </c>
      <c r="X34" s="1">
        <f t="shared" si="2"/>
        <v>2043</v>
      </c>
      <c r="Y34" s="1">
        <f t="shared" si="2"/>
        <v>2044</v>
      </c>
      <c r="Z34" s="1">
        <f t="shared" si="2"/>
        <v>2045</v>
      </c>
      <c r="AA34" s="1">
        <f t="shared" si="2"/>
        <v>2046</v>
      </c>
      <c r="AB34" s="1">
        <f t="shared" si="2"/>
        <v>2047</v>
      </c>
      <c r="AC34" s="1">
        <f t="shared" si="2"/>
        <v>2048</v>
      </c>
      <c r="AD34" s="1">
        <f t="shared" si="2"/>
        <v>2049</v>
      </c>
      <c r="AE34" s="1">
        <f t="shared" si="2"/>
        <v>2050</v>
      </c>
      <c r="AF34" s="1">
        <f t="shared" si="2"/>
        <v>2050</v>
      </c>
      <c r="AG34" s="1">
        <f t="shared" si="2"/>
        <v>0</v>
      </c>
      <c r="AH34" s="1">
        <f t="shared" si="2"/>
        <v>0</v>
      </c>
    </row>
    <row r="35" spans="2:34">
      <c r="B35" s="20" t="s">
        <v>75</v>
      </c>
      <c r="C35" s="18" t="s">
        <v>76</v>
      </c>
      <c r="D35" s="4"/>
      <c r="E35" s="4">
        <f ca="1">((E32-D32)*D23 - D27*(E23-D23) - D28*(E24-D24))/(D41*1000000)</f>
        <v>1.6220261431537441E-4</v>
      </c>
      <c r="F35" s="4">
        <f t="shared" ref="F35:AF35" ca="1" si="3">((F32-E32)*E23 - E27*(F23-E23) - E28*(F24-E24))/(E41*1000000)</f>
        <v>1.6250499424058182E-4</v>
      </c>
      <c r="G35" s="4">
        <f t="shared" ca="1" si="3"/>
        <v>1.6282289588566136E-4</v>
      </c>
      <c r="H35" s="4">
        <f t="shared" ca="1" si="3"/>
        <v>7.5609880324435582E-5</v>
      </c>
      <c r="I35" s="4">
        <f t="shared" ca="1" si="3"/>
        <v>7.5767586513825661E-5</v>
      </c>
      <c r="J35" s="4">
        <f t="shared" ca="1" si="3"/>
        <v>7.5932545357444185E-5</v>
      </c>
      <c r="K35" s="4">
        <f t="shared" ca="1" si="3"/>
        <v>7.6102584512420437E-5</v>
      </c>
      <c r="L35" s="4">
        <f t="shared" ca="1" si="3"/>
        <v>7.6276625751281018E-5</v>
      </c>
      <c r="M35" s="4">
        <f t="shared" ca="1" si="3"/>
        <v>9.4434884774552191E-5</v>
      </c>
      <c r="N35" s="4">
        <f t="shared" ca="1" si="3"/>
        <v>9.4696039658717705E-5</v>
      </c>
      <c r="O35" s="4">
        <f t="shared" ca="1" si="3"/>
        <v>9.4961391114575786E-5</v>
      </c>
      <c r="P35" s="4">
        <f t="shared" ca="1" si="3"/>
        <v>9.5231631210567955E-5</v>
      </c>
      <c r="Q35" s="4">
        <f t="shared" ca="1" si="3"/>
        <v>9.5507129700110615E-5</v>
      </c>
      <c r="R35" s="4">
        <f t="shared" ca="1" si="3"/>
        <v>1.0301308217563585E-4</v>
      </c>
      <c r="S35" s="4">
        <f t="shared" ca="1" si="3"/>
        <v>1.0334646314609629E-4</v>
      </c>
      <c r="T35" s="4">
        <f t="shared" ca="1" si="3"/>
        <v>1.0368619445576396E-4</v>
      </c>
      <c r="U35" s="4">
        <f t="shared" ca="1" si="3"/>
        <v>1.0403280465196189E-4</v>
      </c>
      <c r="V35" s="4">
        <f t="shared" ca="1" si="3"/>
        <v>1.04386596778476E-4</v>
      </c>
      <c r="W35" s="4">
        <f t="shared" ca="1" si="3"/>
        <v>1.1210183231853234E-4</v>
      </c>
      <c r="X35" s="4">
        <f t="shared" ca="1" si="3"/>
        <v>1.1255079555628643E-4</v>
      </c>
      <c r="Y35" s="4">
        <f t="shared" ca="1" si="3"/>
        <v>1.1300836658762374E-4</v>
      </c>
      <c r="Z35" s="4">
        <f t="shared" ca="1" si="3"/>
        <v>1.1347543757335601E-4</v>
      </c>
      <c r="AA35" s="4">
        <f t="shared" ca="1" si="3"/>
        <v>1.1395252504679461E-4</v>
      </c>
      <c r="AB35" s="4">
        <f t="shared" ca="1" si="3"/>
        <v>1.1819947682870877E-4</v>
      </c>
      <c r="AC35" s="4">
        <f t="shared" ca="1" si="3"/>
        <v>1.1879587198000261E-4</v>
      </c>
      <c r="AD35" s="4">
        <f t="shared" ca="1" si="3"/>
        <v>1.194040617404698E-4</v>
      </c>
      <c r="AE35" s="4">
        <f t="shared" ca="1" si="3"/>
        <v>1.200251997495427E-4</v>
      </c>
      <c r="AF35" s="4">
        <f t="shared" ca="1" si="3"/>
        <v>0</v>
      </c>
      <c r="AG35" s="4"/>
      <c r="AH35" s="4"/>
    </row>
    <row r="36" spans="2:34">
      <c r="B36" s="21"/>
      <c r="C36" s="18" t="s">
        <v>77</v>
      </c>
      <c r="D36" s="4"/>
      <c r="E36" s="4">
        <f ca="1">((E32-$D32)*D23 - D27*(E23-D23) - D28*(E24-D24))/($D41*1000000)</f>
        <v>1.6220261431537441E-4</v>
      </c>
      <c r="F36" s="4">
        <f t="shared" ref="F36:AF36" ca="1" si="4">((F32-$D32)*E23 - E27*(F23-E23) - E28*(F24-E24))/($D41*1000000)</f>
        <v>3.049625726302679E-4</v>
      </c>
      <c r="G36" s="4">
        <f t="shared" ca="1" si="4"/>
        <v>4.367863214919485E-4</v>
      </c>
      <c r="H36" s="4">
        <f t="shared" ca="1" si="4"/>
        <v>4.6968996483304698E-4</v>
      </c>
      <c r="I36" s="4">
        <f t="shared" ca="1" si="4"/>
        <v>4.9492835175360959E-4</v>
      </c>
      <c r="J36" s="4">
        <f ca="1">((J32-$D32)*I23 - I27*(J23-I23) - I28*(J24-I24))/($D41*1000000)</f>
        <v>5.1656252055990674E-4</v>
      </c>
      <c r="K36" s="4">
        <f t="shared" ca="1" si="4"/>
        <v>5.3459247125193815E-4</v>
      </c>
      <c r="L36" s="4">
        <f t="shared" ca="1" si="4"/>
        <v>5.4901820382970449E-4</v>
      </c>
      <c r="M36" s="4">
        <f t="shared" ca="1" si="4"/>
        <v>5.7793882028202596E-4</v>
      </c>
      <c r="N36" s="4">
        <f t="shared" ca="1" si="4"/>
        <v>6.0240528347677729E-4</v>
      </c>
      <c r="O36" s="4">
        <f t="shared" ca="1" si="4"/>
        <v>6.2136235992686097E-4</v>
      </c>
      <c r="P36" s="4">
        <f t="shared" ca="1" si="4"/>
        <v>6.348100496322771E-4</v>
      </c>
      <c r="Q36" s="4">
        <f t="shared" ca="1" si="4"/>
        <v>6.4274835259302613E-4</v>
      </c>
      <c r="R36" s="4">
        <f t="shared" ca="1" si="4"/>
        <v>6.5245902165684405E-4</v>
      </c>
      <c r="S36" s="4">
        <f t="shared" ca="1" si="4"/>
        <v>6.5619622674709013E-4</v>
      </c>
      <c r="T36" s="4">
        <f t="shared" ca="1" si="4"/>
        <v>6.5338379468584892E-4</v>
      </c>
      <c r="U36" s="4">
        <f t="shared" ca="1" si="4"/>
        <v>6.440217254731201E-4</v>
      </c>
      <c r="V36" s="4">
        <f t="shared" ca="1" si="4"/>
        <v>6.2811001910890454E-4</v>
      </c>
      <c r="W36" s="4">
        <f t="shared" ca="1" si="4"/>
        <v>6.1306165934428276E-4</v>
      </c>
      <c r="X36" s="4">
        <f t="shared" ca="1" si="4"/>
        <v>5.907287545562996E-4</v>
      </c>
      <c r="Y36" s="4">
        <f t="shared" ca="1" si="4"/>
        <v>5.6019888289436637E-4</v>
      </c>
      <c r="Z36" s="4">
        <f t="shared" ca="1" si="4"/>
        <v>5.214720443584835E-4</v>
      </c>
      <c r="AA36" s="4">
        <f t="shared" ca="1" si="4"/>
        <v>4.7454823894865045E-4</v>
      </c>
      <c r="AB36" s="4">
        <f t="shared" ca="1" si="4"/>
        <v>4.2321221870556897E-4</v>
      </c>
      <c r="AC36" s="4">
        <f t="shared" ca="1" si="4"/>
        <v>3.6283500349325207E-4</v>
      </c>
      <c r="AD36" s="4">
        <f t="shared" ca="1" si="4"/>
        <v>2.9236844538663484E-4</v>
      </c>
      <c r="AE36" s="4">
        <f t="shared" ca="1" si="4"/>
        <v>2.1181254438571725E-4</v>
      </c>
      <c r="AF36" s="4">
        <f t="shared" ca="1" si="4"/>
        <v>0</v>
      </c>
      <c r="AG36" s="4"/>
      <c r="AH36" s="4"/>
    </row>
    <row r="37" spans="2:34">
      <c r="B37" s="20" t="s">
        <v>78</v>
      </c>
      <c r="C37" s="18" t="s">
        <v>76</v>
      </c>
      <c r="D37" s="4"/>
      <c r="E37" s="4">
        <f t="shared" ref="E37:AF37" ca="1" si="5">((E32-D32)*D24)/(D41*1000000)</f>
        <v>1.5909356424393773E-5</v>
      </c>
      <c r="F37" s="4">
        <f t="shared" ca="1" si="5"/>
        <v>1.5293125417981523E-5</v>
      </c>
      <c r="G37" s="4">
        <f t="shared" ca="1" si="5"/>
        <v>1.4680557706057036E-5</v>
      </c>
      <c r="H37" s="4">
        <f t="shared" ca="1" si="5"/>
        <v>4.6375315361787927E-6</v>
      </c>
      <c r="I37" s="4">
        <f t="shared" ca="1" si="5"/>
        <v>4.4422182828641765E-6</v>
      </c>
      <c r="J37" s="4">
        <f t="shared" ca="1" si="5"/>
        <v>4.2475019689059838E-6</v>
      </c>
      <c r="K37" s="4">
        <f t="shared" ca="1" si="5"/>
        <v>4.0532071718426668E-6</v>
      </c>
      <c r="L37" s="4">
        <f t="shared" ca="1" si="5"/>
        <v>3.8592375834635438E-6</v>
      </c>
      <c r="M37" s="4">
        <f t="shared" ca="1" si="5"/>
        <v>5.6031154090708603E-6</v>
      </c>
      <c r="N37" s="4">
        <f t="shared" ca="1" si="5"/>
        <v>5.3063236339911522E-6</v>
      </c>
      <c r="O37" s="4">
        <f t="shared" ca="1" si="5"/>
        <v>5.0099744536558532E-6</v>
      </c>
      <c r="P37" s="4">
        <f t="shared" ca="1" si="5"/>
        <v>4.7140590680151344E-6</v>
      </c>
      <c r="Q37" s="4">
        <f t="shared" ca="1" si="5"/>
        <v>4.4185453358906898E-6</v>
      </c>
      <c r="R37" s="4">
        <f t="shared" ca="1" si="5"/>
        <v>4.9019446166926143E-6</v>
      </c>
      <c r="S37" s="4">
        <f t="shared" ca="1" si="5"/>
        <v>4.5510677465777671E-6</v>
      </c>
      <c r="T37" s="4">
        <f t="shared" ca="1" si="5"/>
        <v>4.200566276504692E-6</v>
      </c>
      <c r="U37" s="4">
        <f t="shared" ca="1" si="5"/>
        <v>3.850391879114249E-6</v>
      </c>
      <c r="V37" s="4">
        <f t="shared" ca="1" si="5"/>
        <v>3.5004822236048605E-6</v>
      </c>
      <c r="W37" s="4">
        <f t="shared" ca="1" si="5"/>
        <v>3.943232835624755E-6</v>
      </c>
      <c r="X37" s="4">
        <f t="shared" ca="1" si="5"/>
        <v>3.505433041336986E-6</v>
      </c>
      <c r="Y37" s="4">
        <f t="shared" ca="1" si="5"/>
        <v>3.067780333193554E-6</v>
      </c>
      <c r="Z37" s="4">
        <f t="shared" ca="1" si="5"/>
        <v>2.6301939275465196E-6</v>
      </c>
      <c r="AA37" s="4">
        <f t="shared" ca="1" si="5"/>
        <v>2.1925733238177899E-6</v>
      </c>
      <c r="AB37" s="4">
        <f t="shared" ca="1" si="5"/>
        <v>2.1599291464873047E-6</v>
      </c>
      <c r="AC37" s="4">
        <f t="shared" ca="1" si="5"/>
        <v>1.6207164931757716E-6</v>
      </c>
      <c r="AD37" s="4">
        <f t="shared" ca="1" si="5"/>
        <v>1.0810928946804632E-6</v>
      </c>
      <c r="AE37" s="4">
        <f t="shared" ca="1" si="5"/>
        <v>5.4090964401108133E-7</v>
      </c>
      <c r="AF37" s="4">
        <f t="shared" ca="1" si="5"/>
        <v>0</v>
      </c>
      <c r="AG37" s="4"/>
      <c r="AH37" s="4"/>
    </row>
    <row r="38" spans="2:34">
      <c r="B38" s="21"/>
      <c r="C38" s="18" t="s">
        <v>77</v>
      </c>
      <c r="D38" s="4"/>
      <c r="E38" s="4">
        <f t="shared" ref="E38:AF38" ca="1" si="6">((E32-$D32)*D24)/($D41*1000000)</f>
        <v>1.5909356424393773E-5</v>
      </c>
      <c r="F38" s="4">
        <f t="shared" ca="1" si="6"/>
        <v>3.0640242002536152E-5</v>
      </c>
      <c r="G38" s="4">
        <f t="shared" ca="1" si="6"/>
        <v>4.4192656734427155E-5</v>
      </c>
      <c r="H38" s="4">
        <f t="shared" ca="1" si="6"/>
        <v>4.7085577336945064E-5</v>
      </c>
      <c r="I38" s="4">
        <f t="shared" ca="1" si="6"/>
        <v>4.9590112366805074E-5</v>
      </c>
      <c r="J38" s="4">
        <f t="shared" ca="1" si="6"/>
        <v>5.1706261824007173E-5</v>
      </c>
      <c r="K38" s="4">
        <f t="shared" ca="1" si="6"/>
        <v>5.3434025708551346E-5</v>
      </c>
      <c r="L38" s="4">
        <f t="shared" ca="1" si="6"/>
        <v>5.4773404020437615E-5</v>
      </c>
      <c r="M38" s="4">
        <f t="shared" ca="1" si="6"/>
        <v>5.7674731025702669E-5</v>
      </c>
      <c r="N38" s="4">
        <f t="shared" ca="1" si="6"/>
        <v>5.9982374114516462E-5</v>
      </c>
      <c r="O38" s="4">
        <f t="shared" ca="1" si="6"/>
        <v>6.1696333286878985E-5</v>
      </c>
      <c r="P38" s="4">
        <f t="shared" ca="1" si="6"/>
        <v>6.2816608542790272E-5</v>
      </c>
      <c r="Q38" s="4">
        <f t="shared" ca="1" si="6"/>
        <v>6.3343199882250325E-5</v>
      </c>
      <c r="R38" s="4">
        <f t="shared" ca="1" si="6"/>
        <v>6.4060778948334213E-5</v>
      </c>
      <c r="S38" s="4">
        <f t="shared" ca="1" si="6"/>
        <v>6.4072578148956124E-5</v>
      </c>
      <c r="T38" s="4">
        <f t="shared" ca="1" si="6"/>
        <v>6.3378597484116045E-5</v>
      </c>
      <c r="U38" s="4">
        <f t="shared" ca="1" si="6"/>
        <v>6.1978836953814002E-5</v>
      </c>
      <c r="V38" s="4">
        <f t="shared" ca="1" si="6"/>
        <v>5.9873296558049968E-5</v>
      </c>
      <c r="W38" s="4">
        <f t="shared" ca="1" si="6"/>
        <v>5.7860789201035277E-5</v>
      </c>
      <c r="X38" s="4">
        <f t="shared" ca="1" si="6"/>
        <v>5.4964987999844966E-5</v>
      </c>
      <c r="Y38" s="4">
        <f t="shared" ca="1" si="6"/>
        <v>5.1185892954479028E-5</v>
      </c>
      <c r="Z38" s="4">
        <f t="shared" ca="1" si="6"/>
        <v>4.6523504064937456E-5</v>
      </c>
      <c r="AA38" s="4">
        <f t="shared" ca="1" si="6"/>
        <v>4.0977821331220271E-5</v>
      </c>
      <c r="AB38" s="4">
        <f t="shared" ca="1" si="6"/>
        <v>3.4956684412885769E-5</v>
      </c>
      <c r="AC38" s="4">
        <f t="shared" ca="1" si="6"/>
        <v>2.7848333820596486E-5</v>
      </c>
      <c r="AD38" s="4">
        <f t="shared" ca="1" si="6"/>
        <v>1.965276955435244E-5</v>
      </c>
      <c r="AE38" s="4">
        <f t="shared" ca="1" si="6"/>
        <v>1.036999161415361E-5</v>
      </c>
      <c r="AF38" s="4">
        <f t="shared" ca="1" si="6"/>
        <v>0</v>
      </c>
      <c r="AG38" s="4"/>
      <c r="AH38" s="4"/>
    </row>
    <row r="39" spans="2:34">
      <c r="B39" s="20" t="s">
        <v>79</v>
      </c>
      <c r="C39" s="18" t="s">
        <v>76</v>
      </c>
      <c r="D39" s="4"/>
      <c r="E39" s="4">
        <f ca="1">$D$16*E35+$D$18*E37</f>
        <v>1.7652103509732883E-3</v>
      </c>
      <c r="F39" s="4">
        <f t="shared" ref="F39:AF39" ca="1" si="7">$D$16*F35+$D$18*F37</f>
        <v>1.7626880711676522E-3</v>
      </c>
      <c r="G39" s="4">
        <f t="shared" ca="1" si="7"/>
        <v>1.7603539782111272E-3</v>
      </c>
      <c r="H39" s="4">
        <f t="shared" ca="1" si="7"/>
        <v>7.9783658706996513E-4</v>
      </c>
      <c r="I39" s="4">
        <f t="shared" ca="1" si="7"/>
        <v>7.9765582968403424E-4</v>
      </c>
      <c r="J39" s="4">
        <f t="shared" ca="1" si="7"/>
        <v>7.9755297129459584E-4</v>
      </c>
      <c r="K39" s="4">
        <f t="shared" ca="1" si="7"/>
        <v>7.9750470967078848E-4</v>
      </c>
      <c r="L39" s="4">
        <f t="shared" ca="1" si="7"/>
        <v>7.9749939576398226E-4</v>
      </c>
      <c r="M39" s="4">
        <f t="shared" ca="1" si="7"/>
        <v>9.9477688642715992E-4</v>
      </c>
      <c r="N39" s="4">
        <f t="shared" ca="1" si="7"/>
        <v>9.9471730929309764E-4</v>
      </c>
      <c r="O39" s="4">
        <f t="shared" ca="1" si="7"/>
        <v>9.9470368122866071E-4</v>
      </c>
      <c r="P39" s="4">
        <f t="shared" ca="1" si="7"/>
        <v>9.9474284371781595E-4</v>
      </c>
      <c r="Q39" s="4">
        <f t="shared" ca="1" si="7"/>
        <v>9.9483820502412252E-4</v>
      </c>
      <c r="R39" s="4">
        <f t="shared" ca="1" si="7"/>
        <v>1.0742483233065923E-3</v>
      </c>
      <c r="S39" s="4">
        <f t="shared" ca="1" si="7"/>
        <v>1.0744242411801629E-3</v>
      </c>
      <c r="T39" s="4">
        <f t="shared" ca="1" si="7"/>
        <v>1.0746670410461821E-3</v>
      </c>
      <c r="U39" s="4">
        <f t="shared" ca="1" si="7"/>
        <v>1.0749815734316475E-3</v>
      </c>
      <c r="V39" s="4">
        <f t="shared" ca="1" si="7"/>
        <v>1.0753703077972039E-3</v>
      </c>
      <c r="W39" s="4">
        <f t="shared" ca="1" si="7"/>
        <v>1.1565074187059464E-3</v>
      </c>
      <c r="X39" s="4">
        <f t="shared" ca="1" si="7"/>
        <v>1.1570568529348975E-3</v>
      </c>
      <c r="Y39" s="4">
        <f t="shared" ca="1" si="7"/>
        <v>1.1576936888749796E-3</v>
      </c>
      <c r="Z39" s="4">
        <f t="shared" ca="1" si="7"/>
        <v>1.158426121081479E-3</v>
      </c>
      <c r="AA39" s="4">
        <f t="shared" ca="1" si="7"/>
        <v>1.1592584103823063E-3</v>
      </c>
      <c r="AB39" s="4">
        <f t="shared" ca="1" si="7"/>
        <v>1.2014341306054736E-3</v>
      </c>
      <c r="AC39" s="4">
        <f t="shared" ca="1" si="7"/>
        <v>1.2025451682386081E-3</v>
      </c>
      <c r="AD39" s="4">
        <f t="shared" ca="1" si="7"/>
        <v>1.2037704534568225E-3</v>
      </c>
      <c r="AE39" s="4">
        <f t="shared" ca="1" si="7"/>
        <v>1.205120184291527E-3</v>
      </c>
      <c r="AF39" s="4">
        <f t="shared" ca="1" si="7"/>
        <v>0</v>
      </c>
      <c r="AG39" s="4"/>
      <c r="AH39" s="4"/>
    </row>
    <row r="40" spans="2:34">
      <c r="B40" s="22"/>
      <c r="C40" s="18" t="s">
        <v>77</v>
      </c>
      <c r="D40" s="4"/>
      <c r="E40" s="4">
        <f ca="1">$D$16*E36+$D$18*E38</f>
        <v>1.7652103509732883E-3</v>
      </c>
      <c r="F40" s="4">
        <f t="shared" ref="F40:AF40" ca="1" si="8">$D$16*F36+$D$18*F38</f>
        <v>3.3253879043255046E-3</v>
      </c>
      <c r="G40" s="4">
        <f t="shared" ca="1" si="8"/>
        <v>4.7655971255293299E-3</v>
      </c>
      <c r="H40" s="4">
        <f t="shared" ca="1" si="8"/>
        <v>5.1206698443629767E-3</v>
      </c>
      <c r="I40" s="4">
        <f t="shared" ca="1" si="8"/>
        <v>5.3955945288373429E-3</v>
      </c>
      <c r="J40" s="4">
        <f t="shared" ca="1" si="8"/>
        <v>5.6309815620151325E-3</v>
      </c>
      <c r="K40" s="4">
        <f t="shared" ca="1" si="8"/>
        <v>5.8268309438963446E-3</v>
      </c>
      <c r="L40" s="4">
        <f t="shared" ca="1" si="8"/>
        <v>5.9831426744809844E-3</v>
      </c>
      <c r="M40" s="4">
        <f t="shared" ca="1" si="8"/>
        <v>6.2984607820515846E-3</v>
      </c>
      <c r="N40" s="4">
        <f t="shared" ca="1" si="8"/>
        <v>6.5638942017984224E-3</v>
      </c>
      <c r="O40" s="4">
        <f t="shared" ca="1" si="8"/>
        <v>6.7688905988505218E-3</v>
      </c>
      <c r="P40" s="4">
        <f t="shared" ca="1" si="8"/>
        <v>6.9134499732078853E-3</v>
      </c>
      <c r="Q40" s="4">
        <f t="shared" ca="1" si="8"/>
        <v>6.9975723248705156E-3</v>
      </c>
      <c r="R40" s="4">
        <f t="shared" ca="1" si="8"/>
        <v>7.1011372271034493E-3</v>
      </c>
      <c r="S40" s="4">
        <f t="shared" ca="1" si="8"/>
        <v>7.1386154708115079E-3</v>
      </c>
      <c r="T40" s="4">
        <f t="shared" ca="1" si="8"/>
        <v>7.104245324215535E-3</v>
      </c>
      <c r="U40" s="4">
        <f t="shared" ca="1" si="8"/>
        <v>6.9980267873155279E-3</v>
      </c>
      <c r="V40" s="4">
        <f t="shared" ca="1" si="8"/>
        <v>6.8199598601114964E-3</v>
      </c>
      <c r="W40" s="4">
        <f t="shared" ca="1" si="8"/>
        <v>6.6513636962521466E-3</v>
      </c>
      <c r="X40" s="4">
        <f t="shared" ca="1" si="8"/>
        <v>6.4019724375616021E-3</v>
      </c>
      <c r="Y40" s="4">
        <f t="shared" ca="1" si="8"/>
        <v>6.0626618655339765E-3</v>
      </c>
      <c r="Z40" s="4">
        <f t="shared" ca="1" si="8"/>
        <v>5.6334319801692734E-3</v>
      </c>
      <c r="AA40" s="4">
        <f t="shared" ca="1" si="8"/>
        <v>5.1142827814674875E-3</v>
      </c>
      <c r="AB40" s="4">
        <f t="shared" ca="1" si="8"/>
        <v>4.5467323467716621E-3</v>
      </c>
      <c r="AC40" s="4">
        <f t="shared" ca="1" si="8"/>
        <v>3.8789850393178894E-3</v>
      </c>
      <c r="AD40" s="4">
        <f t="shared" ca="1" si="8"/>
        <v>3.1005593798555209E-3</v>
      </c>
      <c r="AE40" s="4">
        <f t="shared" ca="1" si="8"/>
        <v>2.2114553683845557E-3</v>
      </c>
      <c r="AF40" s="4">
        <f t="shared" ca="1" si="8"/>
        <v>0</v>
      </c>
      <c r="AG40" s="4"/>
      <c r="AH40" s="4"/>
    </row>
    <row r="41" spans="2:34">
      <c r="B41" s="21"/>
      <c r="C41" s="18" t="s">
        <v>80</v>
      </c>
      <c r="D41" s="4">
        <v>1</v>
      </c>
      <c r="E41" s="4">
        <f ca="1">MAX($D$14*D41*(1+E39)+$D$15*$D41*(1+E40),1%)</f>
        <v>1.0017652103509733</v>
      </c>
      <c r="F41" s="4">
        <f t="shared" ref="F41:AF41" ca="1" si="9">MAX($D$14*E41*(1+F39)+$D$15*$D41*(1+F40),1%)</f>
        <v>1.0034281989208478</v>
      </c>
      <c r="G41" s="4">
        <f t="shared" ca="1" si="9"/>
        <v>1.0049800924340984</v>
      </c>
      <c r="H41" s="4">
        <f t="shared" ca="1" si="9"/>
        <v>1.0054512860827409</v>
      </c>
      <c r="I41" s="4">
        <f t="shared" ca="1" si="9"/>
        <v>1.0058244423456926</v>
      </c>
      <c r="J41" s="4">
        <f t="shared" ca="1" si="9"/>
        <v>1.0061288110901505</v>
      </c>
      <c r="K41" s="4">
        <f t="shared" ca="1" si="9"/>
        <v>1.0063790172497133</v>
      </c>
      <c r="L41" s="4">
        <f t="shared" ca="1" si="9"/>
        <v>1.0065823732911803</v>
      </c>
      <c r="M41" s="4">
        <f t="shared" ca="1" si="9"/>
        <v>1.0069410794762335</v>
      </c>
      <c r="N41" s="4">
        <f t="shared" ca="1" si="9"/>
        <v>1.0072532976996125</v>
      </c>
      <c r="O41" s="4">
        <f t="shared" ca="1" si="9"/>
        <v>1.0075120534308071</v>
      </c>
      <c r="P41" s="4">
        <f t="shared" ca="1" si="9"/>
        <v>1.0077138594045625</v>
      </c>
      <c r="Q41" s="4">
        <f t="shared" ca="1" si="9"/>
        <v>1.0078569719882506</v>
      </c>
      <c r="R41" s="4">
        <f t="shared" ca="1" si="9"/>
        <v>1.0080203989388226</v>
      </c>
      <c r="S41" s="4">
        <f t="shared" ca="1" si="9"/>
        <v>1.0081210279809292</v>
      </c>
      <c r="T41" s="4">
        <f t="shared" ca="1" si="9"/>
        <v>1.0081543338736507</v>
      </c>
      <c r="U41" s="4">
        <f t="shared" ca="1" si="9"/>
        <v>1.0081180539965278</v>
      </c>
      <c r="V41" s="4">
        <f t="shared" ca="1" si="9"/>
        <v>1.0080110570393308</v>
      </c>
      <c r="W41" s="4">
        <f t="shared" ca="1" si="9"/>
        <v>1.0079140965005933</v>
      </c>
      <c r="X41" s="4">
        <f t="shared" ca="1" si="9"/>
        <v>1.0077411414253403</v>
      </c>
      <c r="Y41" s="4">
        <f t="shared" ca="1" si="9"/>
        <v>1.0074852294251611</v>
      </c>
      <c r="Z41" s="4">
        <f t="shared" ca="1" si="9"/>
        <v>1.0071428793058501</v>
      </c>
      <c r="AA41" s="4">
        <f t="shared" ca="1" si="9"/>
        <v>1.0067123504703046</v>
      </c>
      <c r="AB41" s="4">
        <f t="shared" ca="1" si="9"/>
        <v>1.0062342906973165</v>
      </c>
      <c r="AC41" s="4">
        <f t="shared" ca="1" si="9"/>
        <v>1.0056616589605143</v>
      </c>
      <c r="AD41" s="4">
        <f t="shared" ca="1" si="9"/>
        <v>1.0049864020658004</v>
      </c>
      <c r="AE41" s="4">
        <f t="shared" ca="1" si="9"/>
        <v>1.0042044934161265</v>
      </c>
      <c r="AF41" s="4">
        <f t="shared" ca="1" si="9"/>
        <v>1.0021022467080631</v>
      </c>
      <c r="AG41" s="4"/>
      <c r="AH41" s="4"/>
    </row>
    <row r="42" spans="2:34">
      <c r="B42" s="20" t="s">
        <v>81</v>
      </c>
      <c r="C42" s="18" t="s">
        <v>76</v>
      </c>
      <c r="D42" s="4"/>
      <c r="E42" s="4">
        <f ca="1">$D$17*(E35+E37)</f>
        <v>-1.7811197073976822E-3</v>
      </c>
      <c r="F42" s="4">
        <f ca="1">$D$17*(F35+F37)</f>
        <v>-1.7779811965856337E-3</v>
      </c>
      <c r="G42" s="4">
        <f t="shared" ref="G42:AF42" ca="1" si="10">$D$17*(G35+G37)</f>
        <v>-1.7750345359171841E-3</v>
      </c>
      <c r="H42" s="4">
        <f t="shared" ca="1" si="10"/>
        <v>-8.0247411860614386E-4</v>
      </c>
      <c r="I42" s="4">
        <f t="shared" ca="1" si="10"/>
        <v>-8.0209804796689858E-4</v>
      </c>
      <c r="J42" s="4">
        <f t="shared" ca="1" si="10"/>
        <v>-8.0180047326350182E-4</v>
      </c>
      <c r="K42" s="4">
        <f t="shared" ca="1" si="10"/>
        <v>-8.0155791684263116E-4</v>
      </c>
      <c r="L42" s="4">
        <f t="shared" ca="1" si="10"/>
        <v>-8.0135863334744573E-4</v>
      </c>
      <c r="M42" s="4">
        <f t="shared" ca="1" si="10"/>
        <v>-1.0003800018362308E-3</v>
      </c>
      <c r="N42" s="4">
        <f t="shared" ca="1" si="10"/>
        <v>-1.0000236329270888E-3</v>
      </c>
      <c r="O42" s="4">
        <f t="shared" ca="1" si="10"/>
        <v>-9.9971365568231655E-4</v>
      </c>
      <c r="P42" s="4">
        <f t="shared" ca="1" si="10"/>
        <v>-9.9945690278583103E-4</v>
      </c>
      <c r="Q42" s="4">
        <f t="shared" ca="1" si="10"/>
        <v>-9.9925675036001329E-4</v>
      </c>
      <c r="R42" s="4">
        <f t="shared" ca="1" si="10"/>
        <v>-1.079150267923285E-3</v>
      </c>
      <c r="S42" s="4">
        <f t="shared" ca="1" si="10"/>
        <v>-1.0789753089267408E-3</v>
      </c>
      <c r="T42" s="4">
        <f t="shared" ca="1" si="10"/>
        <v>-1.0788676073226866E-3</v>
      </c>
      <c r="U42" s="4">
        <f t="shared" ca="1" si="10"/>
        <v>-1.0788319653107616E-3</v>
      </c>
      <c r="V42" s="4">
        <f t="shared" ca="1" si="10"/>
        <v>-1.0788707900208088E-3</v>
      </c>
      <c r="W42" s="4">
        <f t="shared" ca="1" si="10"/>
        <v>-1.1604506515415711E-3</v>
      </c>
      <c r="X42" s="4">
        <f t="shared" ca="1" si="10"/>
        <v>-1.1605622859762344E-3</v>
      </c>
      <c r="Y42" s="4">
        <f t="shared" ca="1" si="10"/>
        <v>-1.1607614692081731E-3</v>
      </c>
      <c r="Z42" s="4">
        <f t="shared" ca="1" si="10"/>
        <v>-1.1610563150090255E-3</v>
      </c>
      <c r="AA42" s="4">
        <f t="shared" ca="1" si="10"/>
        <v>-1.1614509837061242E-3</v>
      </c>
      <c r="AB42" s="4">
        <f t="shared" ca="1" si="10"/>
        <v>-1.2035940597519611E-3</v>
      </c>
      <c r="AC42" s="4">
        <f t="shared" ca="1" si="10"/>
        <v>-1.204165884731784E-3</v>
      </c>
      <c r="AD42" s="4">
        <f t="shared" ca="1" si="10"/>
        <v>-1.2048515463515027E-3</v>
      </c>
      <c r="AE42" s="4">
        <f t="shared" ca="1" si="10"/>
        <v>-1.205661093935538E-3</v>
      </c>
      <c r="AF42" s="4">
        <f t="shared" ca="1" si="10"/>
        <v>0</v>
      </c>
      <c r="AG42" s="4"/>
      <c r="AH42" s="4"/>
    </row>
    <row r="43" spans="2:34">
      <c r="B43" s="22"/>
      <c r="C43" s="18" t="s">
        <v>77</v>
      </c>
      <c r="D43" s="4"/>
      <c r="E43" s="4">
        <f ca="1">$D$17*(E36+E38)</f>
        <v>-1.7811197073976822E-3</v>
      </c>
      <c r="F43" s="4">
        <f t="shared" ref="F43:AF43" ca="1" si="11">$D$17*(F36+F38)</f>
        <v>-3.3560281463280409E-3</v>
      </c>
      <c r="G43" s="4">
        <f t="shared" ca="1" si="11"/>
        <v>-4.8097897822637573E-3</v>
      </c>
      <c r="H43" s="4">
        <f t="shared" ca="1" si="11"/>
        <v>-5.1677554216999219E-3</v>
      </c>
      <c r="I43" s="4">
        <f t="shared" ca="1" si="11"/>
        <v>-5.4451846412041476E-3</v>
      </c>
      <c r="J43" s="4">
        <f t="shared" ca="1" si="11"/>
        <v>-5.6826878238391398E-3</v>
      </c>
      <c r="K43" s="4">
        <f t="shared" ca="1" si="11"/>
        <v>-5.880264969604896E-3</v>
      </c>
      <c r="L43" s="4">
        <f t="shared" ca="1" si="11"/>
        <v>-6.0379160785014215E-3</v>
      </c>
      <c r="M43" s="4">
        <f t="shared" ca="1" si="11"/>
        <v>-6.3561355130772879E-3</v>
      </c>
      <c r="N43" s="4">
        <f t="shared" ca="1" si="11"/>
        <v>-6.6238765759129388E-3</v>
      </c>
      <c r="O43" s="4">
        <f t="shared" ca="1" si="11"/>
        <v>-6.8305869321374007E-3</v>
      </c>
      <c r="P43" s="4">
        <f t="shared" ca="1" si="11"/>
        <v>-6.9762665817506755E-3</v>
      </c>
      <c r="Q43" s="4">
        <f t="shared" ca="1" si="11"/>
        <v>-7.0609155247527656E-3</v>
      </c>
      <c r="R43" s="4">
        <f t="shared" ca="1" si="11"/>
        <v>-7.1651980060517843E-3</v>
      </c>
      <c r="S43" s="4">
        <f t="shared" ca="1" si="11"/>
        <v>-7.2026880489604638E-3</v>
      </c>
      <c r="T43" s="4">
        <f t="shared" ca="1" si="11"/>
        <v>-7.1676239216996503E-3</v>
      </c>
      <c r="U43" s="4">
        <f t="shared" ca="1" si="11"/>
        <v>-7.0600056242693414E-3</v>
      </c>
      <c r="V43" s="4">
        <f t="shared" ca="1" si="11"/>
        <v>-6.8798331566695455E-3</v>
      </c>
      <c r="W43" s="4">
        <f t="shared" ca="1" si="11"/>
        <v>-6.7092244854531817E-3</v>
      </c>
      <c r="X43" s="4">
        <f t="shared" ca="1" si="11"/>
        <v>-6.4569374255614466E-3</v>
      </c>
      <c r="Y43" s="4">
        <f t="shared" ca="1" si="11"/>
        <v>-6.1138477584884556E-3</v>
      </c>
      <c r="Z43" s="4">
        <f t="shared" ca="1" si="11"/>
        <v>-5.6799554842342113E-3</v>
      </c>
      <c r="AA43" s="4">
        <f t="shared" ca="1" si="11"/>
        <v>-5.1552606027987077E-3</v>
      </c>
      <c r="AB43" s="4">
        <f t="shared" ca="1" si="11"/>
        <v>-4.5816890311845488E-3</v>
      </c>
      <c r="AC43" s="4">
        <f t="shared" ca="1" si="11"/>
        <v>-3.9068333731384864E-3</v>
      </c>
      <c r="AD43" s="4">
        <f t="shared" ca="1" si="11"/>
        <v>-3.1202121494098732E-3</v>
      </c>
      <c r="AE43" s="4">
        <f t="shared" ca="1" si="11"/>
        <v>-2.221825359998709E-3</v>
      </c>
      <c r="AF43" s="4">
        <f t="shared" ca="1" si="11"/>
        <v>0</v>
      </c>
      <c r="AG43" s="4"/>
      <c r="AH43" s="4"/>
    </row>
    <row r="44" spans="2:34">
      <c r="B44" s="21"/>
      <c r="C44" s="18" t="s">
        <v>80</v>
      </c>
      <c r="D44" s="4">
        <v>1</v>
      </c>
      <c r="E44" s="4">
        <f ca="1">MAX($D$14*D44*(1+E42)+$D$15*$D44*(1+E43),1%)</f>
        <v>0.99821888029260231</v>
      </c>
      <c r="F44" s="4">
        <f t="shared" ref="F44:AF44" ca="1" si="12">MAX($D$14*E44*(1+F42)+$D$15*$D44*(1+F43),1%)</f>
        <v>0.99654401887351862</v>
      </c>
      <c r="G44" s="4">
        <f t="shared" ca="1" si="12"/>
        <v>0.99498266452059636</v>
      </c>
      <c r="H44" s="4">
        <f t="shared" ca="1" si="12"/>
        <v>0.9945082306310784</v>
      </c>
      <c r="I44" s="4">
        <f t="shared" ca="1" si="12"/>
        <v>0.99413267643969894</v>
      </c>
      <c r="J44" s="4">
        <f t="shared" ca="1" si="12"/>
        <v>0.99382644628270178</v>
      </c>
      <c r="K44" s="4">
        <f t="shared" ca="1" si="12"/>
        <v>0.99357478592855575</v>
      </c>
      <c r="L44" s="4">
        <f t="shared" ca="1" si="12"/>
        <v>0.99337033005873709</v>
      </c>
      <c r="M44" s="4">
        <f t="shared" ca="1" si="12"/>
        <v>0.99301022336652589</v>
      </c>
      <c r="N44" s="4">
        <f t="shared" ca="1" si="12"/>
        <v>0.99269665654975414</v>
      </c>
      <c r="O44" s="4">
        <f t="shared" ca="1" si="12"/>
        <v>0.99243682860705684</v>
      </c>
      <c r="P44" s="4">
        <f t="shared" ca="1" si="12"/>
        <v>0.99223433209318801</v>
      </c>
      <c r="Q44" s="4">
        <f t="shared" ca="1" si="12"/>
        <v>0.99209095985707607</v>
      </c>
      <c r="R44" s="4">
        <f t="shared" ca="1" si="12"/>
        <v>0.99192757331294512</v>
      </c>
      <c r="S44" s="4">
        <f t="shared" ca="1" si="12"/>
        <v>0.99182730995206814</v>
      </c>
      <c r="T44" s="4">
        <f t="shared" ca="1" si="12"/>
        <v>0.99179481783680157</v>
      </c>
      <c r="U44" s="4">
        <f t="shared" ca="1" si="12"/>
        <v>0.99183241613001016</v>
      </c>
      <c r="V44" s="4">
        <f t="shared" ca="1" si="12"/>
        <v>0.99194126197549115</v>
      </c>
      <c r="W44" s="4">
        <f t="shared" ca="1" si="12"/>
        <v>0.99204046930314371</v>
      </c>
      <c r="X44" s="4">
        <f t="shared" ca="1" si="12"/>
        <v>0.99221610356137346</v>
      </c>
      <c r="Y44" s="4">
        <f t="shared" ca="1" si="12"/>
        <v>0.99247526479037163</v>
      </c>
      <c r="Z44" s="4">
        <f t="shared" ca="1" si="12"/>
        <v>0.99282149481623116</v>
      </c>
      <c r="AA44" s="4">
        <f t="shared" ca="1" si="12"/>
        <v>0.99325656035581678</v>
      </c>
      <c r="AB44" s="4">
        <f t="shared" ca="1" si="12"/>
        <v>0.99373969681438923</v>
      </c>
      <c r="AC44" s="4">
        <f t="shared" ca="1" si="12"/>
        <v>0.99431811800002157</v>
      </c>
      <c r="AD44" s="4">
        <f t="shared" ca="1" si="12"/>
        <v>0.99499995006428699</v>
      </c>
      <c r="AE44" s="4">
        <f t="shared" ca="1" si="12"/>
        <v>0.99578924598801399</v>
      </c>
      <c r="AF44" s="4">
        <f t="shared" ca="1" si="12"/>
        <v>0.997894622994007</v>
      </c>
      <c r="AG44" s="4"/>
      <c r="AH44" s="4"/>
    </row>
    <row r="45" spans="2:34">
      <c r="B45" s="20" t="s">
        <v>82</v>
      </c>
      <c r="C45" s="18" t="s">
        <v>76</v>
      </c>
      <c r="D45" s="4"/>
      <c r="E45" s="4">
        <f t="shared" ref="E45:AF45" ca="1" si="13">((E31-D31)*D25 - D29*(E25-D25) - D30*(E26-D26))/(D41*1000000)</f>
        <v>7.1474789422839666E-5</v>
      </c>
      <c r="F45" s="4">
        <f t="shared" ca="1" si="13"/>
        <v>7.1611099767100535E-5</v>
      </c>
      <c r="G45" s="4">
        <f t="shared" ca="1" si="13"/>
        <v>7.1754239613658509E-5</v>
      </c>
      <c r="H45" s="4">
        <f t="shared" ca="1" si="13"/>
        <v>3.9251963191940195E-5</v>
      </c>
      <c r="I45" s="4">
        <f t="shared" ca="1" si="13"/>
        <v>3.9348321905384005E-5</v>
      </c>
      <c r="J45" s="4">
        <f t="shared" ca="1" si="13"/>
        <v>3.944843499780368E-5</v>
      </c>
      <c r="K45" s="4">
        <f t="shared" ca="1" si="13"/>
        <v>3.9551177704641625E-5</v>
      </c>
      <c r="L45" s="4">
        <f t="shared" ca="1" si="13"/>
        <v>3.9655992409660857E-5</v>
      </c>
      <c r="M45" s="4">
        <f t="shared" ca="1" si="13"/>
        <v>5.6093194990151162E-5</v>
      </c>
      <c r="N45" s="4">
        <f t="shared" ca="1" si="13"/>
        <v>5.628038269198989E-5</v>
      </c>
      <c r="O45" s="4">
        <f t="shared" ca="1" si="13"/>
        <v>5.6470043229093841E-5</v>
      </c>
      <c r="P45" s="4">
        <f t="shared" ca="1" si="13"/>
        <v>5.6662592801627062E-5</v>
      </c>
      <c r="Q45" s="4">
        <f t="shared" ca="1" si="13"/>
        <v>5.6858256591482298E-5</v>
      </c>
      <c r="R45" s="4">
        <f t="shared" ca="1" si="13"/>
        <v>7.4021820502534109E-5</v>
      </c>
      <c r="S45" s="4">
        <f t="shared" ca="1" si="13"/>
        <v>7.4347324288403041E-5</v>
      </c>
      <c r="T45" s="4">
        <f t="shared" ca="1" si="13"/>
        <v>7.4677374061423034E-5</v>
      </c>
      <c r="U45" s="4">
        <f t="shared" ca="1" si="13"/>
        <v>7.5012366838353591E-5</v>
      </c>
      <c r="V45" s="4">
        <f t="shared" ca="1" si="13"/>
        <v>7.5352538363484251E-5</v>
      </c>
      <c r="W45" s="4">
        <f t="shared" ca="1" si="13"/>
        <v>8.9884215494456286E-5</v>
      </c>
      <c r="X45" s="4">
        <f t="shared" ca="1" si="13"/>
        <v>9.040027249341229E-5</v>
      </c>
      <c r="Y45" s="4">
        <f t="shared" ca="1" si="13"/>
        <v>9.0923284868469075E-5</v>
      </c>
      <c r="Z45" s="4">
        <f t="shared" ca="1" si="13"/>
        <v>9.1454006556454471E-5</v>
      </c>
      <c r="AA45" s="4">
        <f t="shared" ca="1" si="13"/>
        <v>9.1992892550780649E-5</v>
      </c>
      <c r="AB45" s="4">
        <f t="shared" ca="1" si="13"/>
        <v>1.0026919473058573E-4</v>
      </c>
      <c r="AC45" s="4">
        <f t="shared" ca="1" si="13"/>
        <v>1.0103340371886446E-4</v>
      </c>
      <c r="AD45" s="4">
        <f t="shared" ca="1" si="13"/>
        <v>1.0180791226982803E-4</v>
      </c>
      <c r="AE45" s="4">
        <f t="shared" ca="1" si="13"/>
        <v>1.0259377873913321E-4</v>
      </c>
      <c r="AF45" s="4">
        <f t="shared" ca="1" si="13"/>
        <v>0</v>
      </c>
      <c r="AG45" s="4"/>
      <c r="AH45" s="4"/>
    </row>
    <row r="46" spans="2:34">
      <c r="B46" s="21"/>
      <c r="C46" s="18" t="s">
        <v>77</v>
      </c>
      <c r="D46" s="4"/>
      <c r="E46" s="4">
        <f t="shared" ref="E46:AF46" ca="1" si="14">((E31-$D31)*D25 - D29*(E25-D25) - D30*(E26-D26))/($D41*1000000)</f>
        <v>7.1474789422839666E-5</v>
      </c>
      <c r="F46" s="4">
        <f t="shared" ca="1" si="14"/>
        <v>1.3512634845556766E-4</v>
      </c>
      <c r="G46" s="4">
        <f t="shared" ca="1" si="14"/>
        <v>1.9390184287030227E-4</v>
      </c>
      <c r="H46" s="4">
        <f t="shared" ca="1" si="14"/>
        <v>2.1498576784461678E-4</v>
      </c>
      <c r="I46" s="4">
        <f t="shared" ca="1" si="14"/>
        <v>2.3241360117116827E-4</v>
      </c>
      <c r="J46" s="4">
        <f t="shared" ca="1" si="14"/>
        <v>2.476999952815953E-4</v>
      </c>
      <c r="K46" s="4">
        <f t="shared" ca="1" si="14"/>
        <v>2.608449501758978E-4</v>
      </c>
      <c r="L46" s="4">
        <f t="shared" ca="1" si="14"/>
        <v>2.718484658540759E-4</v>
      </c>
      <c r="M46" s="4">
        <f t="shared" ca="1" si="14"/>
        <v>2.971486257173943E-4</v>
      </c>
      <c r="N46" s="4">
        <f t="shared" ca="1" si="14"/>
        <v>3.1953541277473727E-4</v>
      </c>
      <c r="O46" s="4">
        <f t="shared" ca="1" si="14"/>
        <v>3.3805043604740186E-4</v>
      </c>
      <c r="P46" s="4">
        <f t="shared" ca="1" si="14"/>
        <v>3.5269369553538759E-4</v>
      </c>
      <c r="Q46" s="4">
        <f t="shared" ca="1" si="14"/>
        <v>3.6346519123869479E-4</v>
      </c>
      <c r="R46" s="4">
        <f t="shared" ca="1" si="14"/>
        <v>3.8746286987871104E-4</v>
      </c>
      <c r="S46" s="4">
        <f t="shared" ca="1" si="14"/>
        <v>4.0649910647932986E-4</v>
      </c>
      <c r="T46" s="4">
        <f t="shared" ca="1" si="14"/>
        <v>4.1922101547792878E-4</v>
      </c>
      <c r="U46" s="4">
        <f t="shared" ca="1" si="14"/>
        <v>4.2562859687450793E-4</v>
      </c>
      <c r="V46" s="4">
        <f t="shared" ca="1" si="14"/>
        <v>4.2572185066906741E-4</v>
      </c>
      <c r="W46" s="4">
        <f t="shared" ca="1" si="14"/>
        <v>4.3380059397814252E-4</v>
      </c>
      <c r="X46" s="4">
        <f t="shared" ca="1" si="14"/>
        <v>4.3414735540209292E-4</v>
      </c>
      <c r="Y46" s="4">
        <f t="shared" ca="1" si="14"/>
        <v>4.2500205208701581E-4</v>
      </c>
      <c r="Z46" s="4">
        <f t="shared" ca="1" si="14"/>
        <v>4.0636468403291114E-4</v>
      </c>
      <c r="AA46" s="4">
        <f t="shared" ca="1" si="14"/>
        <v>3.782352512397788E-4</v>
      </c>
      <c r="AB46" s="4">
        <f t="shared" ca="1" si="14"/>
        <v>3.4839457783345732E-4</v>
      </c>
      <c r="AC46" s="4">
        <f t="shared" ca="1" si="14"/>
        <v>3.0732624637555593E-4</v>
      </c>
      <c r="AD46" s="4">
        <f t="shared" ca="1" si="14"/>
        <v>2.5287543811570773E-4</v>
      </c>
      <c r="AE46" s="4">
        <f t="shared" ca="1" si="14"/>
        <v>1.8504215305391268E-4</v>
      </c>
      <c r="AF46" s="4">
        <f t="shared" ca="1" si="14"/>
        <v>0</v>
      </c>
      <c r="AG46" s="4"/>
      <c r="AH46" s="4"/>
    </row>
    <row r="47" spans="2:34">
      <c r="B47" s="20" t="s">
        <v>83</v>
      </c>
      <c r="C47" s="18" t="s">
        <v>76</v>
      </c>
      <c r="D47" s="4"/>
      <c r="E47" s="4">
        <f ca="1">$D$19*(E39-E45)</f>
        <v>-1.881928401722721E-3</v>
      </c>
      <c r="F47" s="4">
        <f t="shared" ref="F47:AF47" ca="1" si="15">$D$19*(F39-F45)</f>
        <v>-1.8789744126672797E-3</v>
      </c>
      <c r="G47" s="4">
        <f ca="1">$D$19*(G39-G45)</f>
        <v>-1.8762219317749651E-3</v>
      </c>
      <c r="H47" s="4">
        <f t="shared" ca="1" si="15"/>
        <v>-8.428718043089167E-4</v>
      </c>
      <c r="I47" s="4">
        <f t="shared" ca="1" si="15"/>
        <v>-8.4256389753183363E-4</v>
      </c>
      <c r="J47" s="4">
        <f t="shared" ca="1" si="15"/>
        <v>-8.423383736631024E-4</v>
      </c>
      <c r="K47" s="4">
        <f t="shared" ca="1" si="15"/>
        <v>-8.4217059107349651E-4</v>
      </c>
      <c r="L47" s="4">
        <f t="shared" ca="1" si="15"/>
        <v>-8.4204822594924605E-4</v>
      </c>
      <c r="M47" s="4">
        <f t="shared" ca="1" si="15"/>
        <v>-1.0429818793744542E-3</v>
      </c>
      <c r="N47" s="4">
        <f t="shared" ca="1" si="15"/>
        <v>-1.0427076962234532E-3</v>
      </c>
      <c r="O47" s="4">
        <f t="shared" ca="1" si="15"/>
        <v>-1.0424818199995189E-3</v>
      </c>
      <c r="P47" s="4">
        <f t="shared" ca="1" si="15"/>
        <v>-1.0423113899068765E-3</v>
      </c>
      <c r="Q47" s="4">
        <f t="shared" ca="1" si="15"/>
        <v>-1.0421999427029337E-3</v>
      </c>
      <c r="R47" s="4">
        <f t="shared" ca="1" si="15"/>
        <v>-1.1113627808933982E-3</v>
      </c>
      <c r="S47" s="4">
        <f t="shared" ca="1" si="15"/>
        <v>-1.1111965743241777E-3</v>
      </c>
      <c r="T47" s="4">
        <f t="shared" ca="1" si="15"/>
        <v>-1.1110996299830657E-3</v>
      </c>
      <c r="U47" s="4">
        <f t="shared" ca="1" si="15"/>
        <v>-1.1110768962147711E-3</v>
      </c>
      <c r="V47" s="4">
        <f t="shared" ca="1" si="15"/>
        <v>-1.1111308549263551E-3</v>
      </c>
      <c r="W47" s="4">
        <f t="shared" ca="1" si="15"/>
        <v>-1.1851368924572115E-3</v>
      </c>
      <c r="X47" s="4">
        <f t="shared" ca="1" si="15"/>
        <v>-1.1851739782683169E-3</v>
      </c>
      <c r="Y47" s="4">
        <f t="shared" ca="1" si="15"/>
        <v>-1.185300448896123E-3</v>
      </c>
      <c r="Z47" s="4">
        <f t="shared" ca="1" si="15"/>
        <v>-1.1855245716944716E-3</v>
      </c>
      <c r="AA47" s="4">
        <f t="shared" ca="1" si="15"/>
        <v>-1.1858505753683619E-3</v>
      </c>
      <c r="AB47" s="4">
        <f t="shared" ca="1" si="15"/>
        <v>-1.2235165954165423E-3</v>
      </c>
      <c r="AC47" s="4">
        <f t="shared" ca="1" si="15"/>
        <v>-1.2239019605774929E-3</v>
      </c>
      <c r="AD47" s="4">
        <f t="shared" ca="1" si="15"/>
        <v>-1.224402823541105E-3</v>
      </c>
      <c r="AE47" s="4">
        <f t="shared" ca="1" si="15"/>
        <v>-1.2250293395026598E-3</v>
      </c>
      <c r="AF47" s="4">
        <f t="shared" ca="1" si="15"/>
        <v>0</v>
      </c>
      <c r="AG47" s="4"/>
      <c r="AH47" s="4"/>
    </row>
    <row r="48" spans="2:34">
      <c r="B48" s="22"/>
      <c r="C48" s="18" t="s">
        <v>77</v>
      </c>
      <c r="D48" s="4"/>
      <c r="E48" s="4">
        <f ca="1">$D$19*(E40-E46)</f>
        <v>-1.881928401722721E-3</v>
      </c>
      <c r="F48" s="4">
        <f t="shared" ref="F48:AF48" ca="1" si="16">$D$19*(F40-F46)</f>
        <v>-3.5447350620777082E-3</v>
      </c>
      <c r="G48" s="4">
        <f t="shared" ca="1" si="16"/>
        <v>-5.0796614251766977E-3</v>
      </c>
      <c r="H48" s="4">
        <f t="shared" ca="1" si="16"/>
        <v>-5.4507600850204002E-3</v>
      </c>
      <c r="I48" s="4">
        <f t="shared" ca="1" si="16"/>
        <v>-5.7368676974068611E-3</v>
      </c>
      <c r="J48" s="4">
        <f t="shared" ca="1" si="16"/>
        <v>-5.9814239630372633E-3</v>
      </c>
      <c r="K48" s="4">
        <f t="shared" ca="1" si="16"/>
        <v>-6.1844288819116076E-3</v>
      </c>
      <c r="L48" s="4">
        <f t="shared" ca="1" si="16"/>
        <v>-6.3458824540298985E-3</v>
      </c>
      <c r="M48" s="4">
        <f t="shared" ca="1" si="16"/>
        <v>-6.6681246181491006E-3</v>
      </c>
      <c r="N48" s="4">
        <f t="shared" ca="1" si="16"/>
        <v>-6.9381764322485389E-3</v>
      </c>
      <c r="O48" s="4">
        <f t="shared" ca="1" si="16"/>
        <v>-7.1453779586701334E-3</v>
      </c>
      <c r="P48" s="4">
        <f t="shared" ca="1" si="16"/>
        <v>-7.2897291974138865E-3</v>
      </c>
      <c r="Q48" s="4">
        <f t="shared" ca="1" si="16"/>
        <v>-7.3712301484798017E-3</v>
      </c>
      <c r="R48" s="4">
        <f t="shared" ca="1" si="16"/>
        <v>-7.4596381746941543E-3</v>
      </c>
      <c r="S48" s="4">
        <f t="shared" ca="1" si="16"/>
        <v>-7.4801292937024203E-3</v>
      </c>
      <c r="T48" s="4">
        <f t="shared" ca="1" si="16"/>
        <v>-7.4278047874862295E-3</v>
      </c>
      <c r="U48" s="4">
        <f t="shared" ca="1" si="16"/>
        <v>-7.3026646560455776E-3</v>
      </c>
      <c r="V48" s="4">
        <f t="shared" ca="1" si="16"/>
        <v>-7.1047088993804767E-3</v>
      </c>
      <c r="W48" s="4">
        <f t="shared" ca="1" si="16"/>
        <v>-6.908403446971116E-3</v>
      </c>
      <c r="X48" s="4">
        <f t="shared" ca="1" si="16"/>
        <v>-6.630916757955011E-3</v>
      </c>
      <c r="Y48" s="4">
        <f t="shared" ca="1" si="16"/>
        <v>-6.2640664593855118E-3</v>
      </c>
      <c r="Z48" s="4">
        <f t="shared" ca="1" si="16"/>
        <v>-5.8078525512626246E-3</v>
      </c>
      <c r="AA48" s="4">
        <f t="shared" ca="1" si="16"/>
        <v>-5.2622750335863423E-3</v>
      </c>
      <c r="AB48" s="4">
        <f t="shared" ca="1" si="16"/>
        <v>-4.6648197432646718E-3</v>
      </c>
      <c r="AC48" s="4">
        <f t="shared" ca="1" si="16"/>
        <v>-3.9685097699359261E-3</v>
      </c>
      <c r="AD48" s="4">
        <f t="shared" ca="1" si="16"/>
        <v>-3.1640932685997923E-3</v>
      </c>
      <c r="AE48" s="4">
        <f t="shared" ca="1" si="16"/>
        <v>-2.2515702392562702E-3</v>
      </c>
      <c r="AF48" s="4">
        <f t="shared" ca="1" si="16"/>
        <v>0</v>
      </c>
      <c r="AG48" s="4"/>
      <c r="AH48" s="4"/>
    </row>
    <row r="49" spans="2:34">
      <c r="B49" s="21"/>
      <c r="C49" s="18" t="s">
        <v>80</v>
      </c>
      <c r="D49" s="4">
        <v>1</v>
      </c>
      <c r="E49" s="4">
        <f ca="1">MAX($D$14*D49*(1+E47)+$D$15*$D49*(1+E48),1%)</f>
        <v>0.99811807159827726</v>
      </c>
      <c r="F49" s="4">
        <f t="shared" ref="F49:AF49" ca="1" si="17">MAX($D$14*E49*(1+F47)+$D$15*$D49*(1+F48),1%)</f>
        <v>0.99634894910942284</v>
      </c>
      <c r="G49" s="4">
        <f t="shared" ca="1" si="17"/>
        <v>0.99469995796711308</v>
      </c>
      <c r="H49" s="4">
        <f t="shared" ca="1" si="17"/>
        <v>0.99420539666688745</v>
      </c>
      <c r="I49" s="4">
        <f t="shared" ca="1" si="17"/>
        <v>0.99381542369775888</v>
      </c>
      <c r="J49" s="4">
        <f t="shared" ca="1" si="17"/>
        <v>0.99349843543350136</v>
      </c>
      <c r="K49" s="4">
        <f t="shared" ca="1" si="17"/>
        <v>0.99323865569349512</v>
      </c>
      <c r="L49" s="4">
        <f ca="1">MAX($D$14*K49*(1+L47)+$D$15*$D49*(1+L48),1%)</f>
        <v>0.99302820919574719</v>
      </c>
      <c r="M49" s="4">
        <f t="shared" ca="1" si="17"/>
        <v>0.99266218707484954</v>
      </c>
      <c r="N49" s="4">
        <f t="shared" ca="1" si="17"/>
        <v>0.99234447707019391</v>
      </c>
      <c r="O49" s="4">
        <f t="shared" ca="1" si="17"/>
        <v>0.99208229901750067</v>
      </c>
      <c r="P49" s="4">
        <f t="shared" ca="1" si="17"/>
        <v>0.99187925557004797</v>
      </c>
      <c r="Q49" s="4">
        <f t="shared" ca="1" si="17"/>
        <v>0.99173714445912231</v>
      </c>
      <c r="R49" s="4">
        <f t="shared" ca="1" si="17"/>
        <v>0.99158766326682335</v>
      </c>
      <c r="S49" s="4">
        <f t="shared" ca="1" si="17"/>
        <v>0.99150284257927834</v>
      </c>
      <c r="T49" s="4">
        <f t="shared" ca="1" si="17"/>
        <v>0.99148668967513753</v>
      </c>
      <c r="U49" s="4">
        <f t="shared" ca="1" si="17"/>
        <v>0.99154120353264474</v>
      </c>
      <c r="V49" s="4">
        <f t="shared" ca="1" si="17"/>
        <v>0.99166738130404419</v>
      </c>
      <c r="W49" s="4">
        <f t="shared" ca="1" si="17"/>
        <v>0.99179185812922155</v>
      </c>
      <c r="X49" s="4">
        <f t="shared" ca="1" si="17"/>
        <v>0.99199274773457669</v>
      </c>
      <c r="Y49" s="4">
        <f t="shared" ca="1" si="17"/>
        <v>0.99227643591299985</v>
      </c>
      <c r="Z49" s="4">
        <f t="shared" ca="1" si="17"/>
        <v>0.99264610763252448</v>
      </c>
      <c r="AA49" s="4">
        <f t="shared" ca="1" si="17"/>
        <v>0.99310335132053251</v>
      </c>
      <c r="AB49" s="4">
        <f t="shared" ca="1" si="17"/>
        <v>0.99361172657298169</v>
      </c>
      <c r="AC49" s="4">
        <f t="shared" ca="1" si="17"/>
        <v>0.99421356673142014</v>
      </c>
      <c r="AD49" s="4">
        <f t="shared" ca="1" si="17"/>
        <v>0.99491607778225577</v>
      </c>
      <c r="AE49" s="4">
        <f t="shared" ca="1" si="17"/>
        <v>0.99572285307868669</v>
      </c>
      <c r="AF49" s="4">
        <f t="shared" ca="1" si="17"/>
        <v>0.99786142653934329</v>
      </c>
      <c r="AG49" s="4"/>
      <c r="AH49" s="4"/>
    </row>
    <row r="50" spans="2:34">
      <c r="B50" s="20" t="s">
        <v>84</v>
      </c>
      <c r="C50" s="18" t="s">
        <v>76</v>
      </c>
      <c r="D50" s="4"/>
      <c r="E50" s="4">
        <f ca="1">E39+E47</f>
        <v>-1.1671805074943268E-4</v>
      </c>
      <c r="F50" s="4">
        <f t="shared" ref="F50:AF50" ca="1" si="18">F39+F47</f>
        <v>-1.1628634149962757E-4</v>
      </c>
      <c r="G50" s="4">
        <f t="shared" ca="1" si="18"/>
        <v>-1.1586795356383788E-4</v>
      </c>
      <c r="H50" s="4">
        <f t="shared" ca="1" si="18"/>
        <v>-4.5035217238951564E-5</v>
      </c>
      <c r="I50" s="4">
        <f t="shared" ca="1" si="18"/>
        <v>-4.4908067847799398E-5</v>
      </c>
      <c r="J50" s="4">
        <f t="shared" ca="1" si="18"/>
        <v>-4.4785402368506554E-5</v>
      </c>
      <c r="K50" s="4">
        <f t="shared" ca="1" si="18"/>
        <v>-4.4665881402708029E-5</v>
      </c>
      <c r="L50" s="4">
        <f t="shared" ca="1" si="18"/>
        <v>-4.454883018526379E-5</v>
      </c>
      <c r="M50" s="4">
        <f t="shared" ca="1" si="18"/>
        <v>-4.8204992947294308E-5</v>
      </c>
      <c r="N50" s="4">
        <f t="shared" ca="1" si="18"/>
        <v>-4.799038693035552E-5</v>
      </c>
      <c r="O50" s="4">
        <f t="shared" ca="1" si="18"/>
        <v>-4.7778138770858142E-5</v>
      </c>
      <c r="P50" s="4">
        <f t="shared" ca="1" si="18"/>
        <v>-4.7568546189060562E-5</v>
      </c>
      <c r="Q50" s="4">
        <f t="shared" ca="1" si="18"/>
        <v>-4.7361737678811152E-5</v>
      </c>
      <c r="R50" s="4">
        <f t="shared" ca="1" si="18"/>
        <v>-3.7114457586805887E-5</v>
      </c>
      <c r="S50" s="4">
        <f t="shared" ca="1" si="18"/>
        <v>-3.6772333144014782E-5</v>
      </c>
      <c r="T50" s="4">
        <f t="shared" ca="1" si="18"/>
        <v>-3.6432588936883507E-5</v>
      </c>
      <c r="U50" s="4">
        <f t="shared" ca="1" si="18"/>
        <v>-3.6095322783123674E-5</v>
      </c>
      <c r="V50" s="4">
        <f t="shared" ca="1" si="18"/>
        <v>-3.5760547129151145E-5</v>
      </c>
      <c r="W50" s="4">
        <f t="shared" ca="1" si="18"/>
        <v>-2.8629473751265065E-5</v>
      </c>
      <c r="X50" s="4">
        <f t="shared" ca="1" si="18"/>
        <v>-2.8117125333419453E-5</v>
      </c>
      <c r="Y50" s="4">
        <f t="shared" ca="1" si="18"/>
        <v>-2.7606760021143357E-5</v>
      </c>
      <c r="Z50" s="4">
        <f t="shared" ca="1" si="18"/>
        <v>-2.7098450612992589E-5</v>
      </c>
      <c r="AA50" s="4">
        <f t="shared" ca="1" si="18"/>
        <v>-2.6592164986055612E-5</v>
      </c>
      <c r="AB50" s="4">
        <f t="shared" ca="1" si="18"/>
        <v>-2.2082464811068632E-5</v>
      </c>
      <c r="AC50" s="4">
        <f t="shared" ca="1" si="18"/>
        <v>-2.135679233888476E-5</v>
      </c>
      <c r="AD50" s="4">
        <f t="shared" ca="1" si="18"/>
        <v>-2.0632370084282476E-5</v>
      </c>
      <c r="AE50" s="4">
        <f t="shared" ca="1" si="18"/>
        <v>-1.9909155211132821E-5</v>
      </c>
      <c r="AF50" s="4">
        <f t="shared" ca="1" si="18"/>
        <v>0</v>
      </c>
      <c r="AG50" s="4"/>
      <c r="AH50" s="4"/>
    </row>
    <row r="51" spans="2:34">
      <c r="B51" s="22"/>
      <c r="C51" s="18" t="s">
        <v>77</v>
      </c>
      <c r="D51" s="4"/>
      <c r="E51" s="4">
        <f ca="1">E40+E48</f>
        <v>-1.1671805074943268E-4</v>
      </c>
      <c r="F51" s="4">
        <f t="shared" ref="F51:AF51" ca="1" si="19">F40+F48</f>
        <v>-2.1934715775220361E-4</v>
      </c>
      <c r="G51" s="4">
        <f t="shared" ca="1" si="19"/>
        <v>-3.1406429964736787E-4</v>
      </c>
      <c r="H51" s="4">
        <f t="shared" ca="1" si="19"/>
        <v>-3.3009024065742357E-4</v>
      </c>
      <c r="I51" s="4">
        <f t="shared" ca="1" si="19"/>
        <v>-3.4127316856951816E-4</v>
      </c>
      <c r="J51" s="4">
        <f t="shared" ca="1" si="19"/>
        <v>-3.5044240102213072E-4</v>
      </c>
      <c r="K51" s="4">
        <f t="shared" ca="1" si="19"/>
        <v>-3.5759793801526298E-4</v>
      </c>
      <c r="L51" s="4">
        <f t="shared" ca="1" si="19"/>
        <v>-3.6273977954891408E-4</v>
      </c>
      <c r="M51" s="4">
        <f t="shared" ca="1" si="19"/>
        <v>-3.6966383609751598E-4</v>
      </c>
      <c r="N51" s="4">
        <f t="shared" ca="1" si="19"/>
        <v>-3.7428223045011654E-4</v>
      </c>
      <c r="O51" s="4">
        <f t="shared" ca="1" si="19"/>
        <v>-3.7648735981961161E-4</v>
      </c>
      <c r="P51" s="4">
        <f t="shared" ca="1" si="19"/>
        <v>-3.7627922420600118E-4</v>
      </c>
      <c r="Q51" s="4">
        <f t="shared" ca="1" si="19"/>
        <v>-3.7365782360928614E-4</v>
      </c>
      <c r="R51" s="4">
        <f t="shared" ca="1" si="19"/>
        <v>-3.58500947590705E-4</v>
      </c>
      <c r="S51" s="4">
        <f t="shared" ca="1" si="19"/>
        <v>-3.4151382289091241E-4</v>
      </c>
      <c r="T51" s="4">
        <f t="shared" ca="1" si="19"/>
        <v>-3.2355946327069455E-4</v>
      </c>
      <c r="U51" s="4">
        <f t="shared" ca="1" si="19"/>
        <v>-3.0463786873004967E-4</v>
      </c>
      <c r="V51" s="4">
        <f t="shared" ca="1" si="19"/>
        <v>-2.8474903926898037E-4</v>
      </c>
      <c r="W51" s="4">
        <f t="shared" ca="1" si="19"/>
        <v>-2.5703975071896933E-4</v>
      </c>
      <c r="X51" s="4">
        <f t="shared" ca="1" si="19"/>
        <v>-2.2894432039340887E-4</v>
      </c>
      <c r="Y51" s="4">
        <f t="shared" ca="1" si="19"/>
        <v>-2.014045938515353E-4</v>
      </c>
      <c r="Z51" s="4">
        <f t="shared" ca="1" si="19"/>
        <v>-1.7442057109335121E-4</v>
      </c>
      <c r="AA51" s="4">
        <f t="shared" ca="1" si="19"/>
        <v>-1.4799225211885488E-4</v>
      </c>
      <c r="AB51" s="4">
        <f t="shared" ca="1" si="19"/>
        <v>-1.1808739649300966E-4</v>
      </c>
      <c r="AC51" s="4">
        <f t="shared" ca="1" si="19"/>
        <v>-8.9524730618036671E-5</v>
      </c>
      <c r="AD51" s="4">
        <f t="shared" ca="1" si="19"/>
        <v>-6.3533888744271485E-5</v>
      </c>
      <c r="AE51" s="4">
        <f t="shared" ca="1" si="19"/>
        <v>-4.0114870871714534E-5</v>
      </c>
      <c r="AF51" s="4">
        <f t="shared" ca="1" si="19"/>
        <v>0</v>
      </c>
      <c r="AG51" s="4"/>
      <c r="AH51" s="4"/>
    </row>
    <row r="52" spans="2:34">
      <c r="B52" s="21"/>
      <c r="C52" s="18" t="s">
        <v>80</v>
      </c>
      <c r="D52" s="4">
        <v>1</v>
      </c>
      <c r="E52" s="4">
        <f ca="1">MAX($D$14*D52*(1+E50)+$D$15*$D52*(1+E51),1%)</f>
        <v>0.99988328194925058</v>
      </c>
      <c r="F52" s="4">
        <f t="shared" ref="F52:AF52" ca="1" si="20">MAX($D$14*E52*(1+F50)+$D$15*$D52*(1+F51),1%)</f>
        <v>0.99977383101135686</v>
      </c>
      <c r="G52" s="4">
        <f t="shared" ca="1" si="20"/>
        <v>0.99967196248194168</v>
      </c>
      <c r="H52" s="4">
        <f t="shared" ca="1" si="20"/>
        <v>0.99964842589864311</v>
      </c>
      <c r="I52" s="4">
        <f t="shared" ca="1" si="20"/>
        <v>0.99963113022536976</v>
      </c>
      <c r="J52" s="4">
        <f t="shared" ca="1" si="20"/>
        <v>0.9996179594709802</v>
      </c>
      <c r="K52" s="4">
        <f t="shared" ca="1" si="20"/>
        <v>0.99960785635786964</v>
      </c>
      <c r="L52" s="4">
        <f t="shared" ca="1" si="20"/>
        <v>0.99960029260883798</v>
      </c>
      <c r="M52" s="4">
        <f t="shared" ca="1" si="20"/>
        <v>0.9995912215238425</v>
      </c>
      <c r="N52" s="4">
        <f t="shared" ca="1" si="20"/>
        <v>0.99958448426194968</v>
      </c>
      <c r="O52" s="4">
        <f t="shared" ca="1" si="20"/>
        <v>0.99958011930796387</v>
      </c>
      <c r="P52" s="4">
        <f t="shared" ca="1" si="20"/>
        <v>0.99957814575534143</v>
      </c>
      <c r="Q52" s="4">
        <f t="shared" ca="1" si="20"/>
        <v>0.99957857308690168</v>
      </c>
      <c r="R52" s="4">
        <f t="shared" ca="1" si="20"/>
        <v>0.99959148666137776</v>
      </c>
      <c r="S52" s="4">
        <f t="shared" ca="1" si="20"/>
        <v>0.99960660776366561</v>
      </c>
      <c r="T52" s="4">
        <f t="shared" ca="1" si="20"/>
        <v>0.99962331502187785</v>
      </c>
      <c r="U52" s="4">
        <f t="shared" ca="1" si="20"/>
        <v>0.99964129771346522</v>
      </c>
      <c r="V52" s="4">
        <f t="shared" ca="1" si="20"/>
        <v>0.99966040047722848</v>
      </c>
      <c r="W52" s="4">
        <f t="shared" ca="1" si="20"/>
        <v>0.99968737048765699</v>
      </c>
      <c r="X52" s="4">
        <f t="shared" ca="1" si="20"/>
        <v>0.99971515891608664</v>
      </c>
      <c r="Y52" s="4">
        <f t="shared" ca="1" si="20"/>
        <v>0.99974307771287674</v>
      </c>
      <c r="Z52" s="4">
        <f t="shared" ca="1" si="20"/>
        <v>0.99977078282668308</v>
      </c>
      <c r="AA52" s="4">
        <f t="shared" ca="1" si="20"/>
        <v>0.99979810225247956</v>
      </c>
      <c r="AB52" s="4">
        <f t="shared" ca="1" si="20"/>
        <v>0.99982896842478763</v>
      </c>
      <c r="AC52" s="4">
        <f t="shared" ca="1" si="20"/>
        <v>0.99985904527725822</v>
      </c>
      <c r="AD52" s="4">
        <f t="shared" ca="1" si="20"/>
        <v>0.99988744096332982</v>
      </c>
      <c r="AE52" s="4">
        <f t="shared" ca="1" si="20"/>
        <v>0.99991370958910109</v>
      </c>
      <c r="AF52" s="4">
        <f t="shared" ca="1" si="20"/>
        <v>0.99995685479455054</v>
      </c>
      <c r="AG52" s="4"/>
      <c r="AH52" s="4"/>
    </row>
    <row r="53" spans="2:34">
      <c r="B53" s="20" t="s">
        <v>85</v>
      </c>
      <c r="C53" s="18" t="s">
        <v>76</v>
      </c>
      <c r="D53" s="4"/>
      <c r="E53" s="4">
        <f ca="1">E47+E45</f>
        <v>-1.8104536122998814E-3</v>
      </c>
      <c r="F53" s="4">
        <f t="shared" ref="F53:AF53" ca="1" si="21">F47+F45</f>
        <v>-1.8073633129001793E-3</v>
      </c>
      <c r="G53" s="4">
        <f t="shared" ca="1" si="21"/>
        <v>-1.8044676921613065E-3</v>
      </c>
      <c r="H53" s="4">
        <f t="shared" ca="1" si="21"/>
        <v>-8.0361984111697652E-4</v>
      </c>
      <c r="I53" s="4">
        <f t="shared" ca="1" si="21"/>
        <v>-8.0321557562644964E-4</v>
      </c>
      <c r="J53" s="4">
        <f t="shared" ca="1" si="21"/>
        <v>-8.0288993866529869E-4</v>
      </c>
      <c r="K53" s="4">
        <f t="shared" ca="1" si="21"/>
        <v>-8.0261941336885485E-4</v>
      </c>
      <c r="L53" s="4">
        <f t="shared" ca="1" si="21"/>
        <v>-8.0239223353958521E-4</v>
      </c>
      <c r="M53" s="4">
        <f t="shared" ca="1" si="21"/>
        <v>-9.8688868438430314E-4</v>
      </c>
      <c r="N53" s="4">
        <f t="shared" ca="1" si="21"/>
        <v>-9.8642731353146317E-4</v>
      </c>
      <c r="O53" s="4">
        <f t="shared" ca="1" si="21"/>
        <v>-9.8601177677042507E-4</v>
      </c>
      <c r="P53" s="4">
        <f t="shared" ca="1" si="21"/>
        <v>-9.8564879710524942E-4</v>
      </c>
      <c r="Q53" s="4">
        <f t="shared" ca="1" si="21"/>
        <v>-9.8534168611145133E-4</v>
      </c>
      <c r="R53" s="4">
        <f t="shared" ca="1" si="21"/>
        <v>-1.0373409603908642E-3</v>
      </c>
      <c r="S53" s="4">
        <f t="shared" ca="1" si="21"/>
        <v>-1.0368492500357747E-3</v>
      </c>
      <c r="T53" s="4">
        <f t="shared" ca="1" si="21"/>
        <v>-1.0364222559216426E-3</v>
      </c>
      <c r="U53" s="4">
        <f t="shared" ca="1" si="21"/>
        <v>-1.0360645293764174E-3</v>
      </c>
      <c r="V53" s="4">
        <f t="shared" ca="1" si="21"/>
        <v>-1.0357783165628708E-3</v>
      </c>
      <c r="W53" s="4">
        <f t="shared" ca="1" si="21"/>
        <v>-1.0952526769627553E-3</v>
      </c>
      <c r="X53" s="4">
        <f t="shared" ca="1" si="21"/>
        <v>-1.0947737057749047E-3</v>
      </c>
      <c r="Y53" s="4">
        <f t="shared" ca="1" si="21"/>
        <v>-1.094377164027654E-3</v>
      </c>
      <c r="Z53" s="4">
        <f t="shared" ca="1" si="21"/>
        <v>-1.0940705651380171E-3</v>
      </c>
      <c r="AA53" s="4">
        <f t="shared" ca="1" si="21"/>
        <v>-1.0938576828175813E-3</v>
      </c>
      <c r="AB53" s="4">
        <f t="shared" ca="1" si="21"/>
        <v>-1.1232474006859566E-3</v>
      </c>
      <c r="AC53" s="4">
        <f t="shared" ca="1" si="21"/>
        <v>-1.1228685568586284E-3</v>
      </c>
      <c r="AD53" s="4">
        <f t="shared" ca="1" si="21"/>
        <v>-1.1225949112712769E-3</v>
      </c>
      <c r="AE53" s="4">
        <f t="shared" ca="1" si="21"/>
        <v>-1.1224355607635265E-3</v>
      </c>
      <c r="AF53" s="4">
        <f t="shared" ca="1" si="21"/>
        <v>0</v>
      </c>
      <c r="AG53" s="4"/>
      <c r="AH53" s="4"/>
    </row>
    <row r="54" spans="2:34">
      <c r="B54" s="22"/>
      <c r="C54" s="18" t="s">
        <v>77</v>
      </c>
      <c r="D54" s="4"/>
      <c r="E54" s="4">
        <f ca="1">E48+E46</f>
        <v>-1.8104536122998814E-3</v>
      </c>
      <c r="F54" s="4">
        <f t="shared" ref="F54:AF54" ca="1" si="22">F48+F46</f>
        <v>-3.4096087136221407E-3</v>
      </c>
      <c r="G54" s="4">
        <f t="shared" ca="1" si="22"/>
        <v>-4.8857595823063957E-3</v>
      </c>
      <c r="H54" s="4">
        <f t="shared" ca="1" si="22"/>
        <v>-5.2357743171757834E-3</v>
      </c>
      <c r="I54" s="4">
        <f t="shared" ca="1" si="22"/>
        <v>-5.5044540962356928E-3</v>
      </c>
      <c r="J54" s="4">
        <f t="shared" ca="1" si="22"/>
        <v>-5.7337239677556677E-3</v>
      </c>
      <c r="K54" s="4">
        <f t="shared" ca="1" si="22"/>
        <v>-5.9235839317357099E-3</v>
      </c>
      <c r="L54" s="4">
        <f t="shared" ca="1" si="22"/>
        <v>-6.0740339881758228E-3</v>
      </c>
      <c r="M54" s="4">
        <f t="shared" ca="1" si="22"/>
        <v>-6.3709759924317063E-3</v>
      </c>
      <c r="N54" s="4">
        <f t="shared" ca="1" si="22"/>
        <v>-6.6186410194738017E-3</v>
      </c>
      <c r="O54" s="4">
        <f t="shared" ca="1" si="22"/>
        <v>-6.8073275226227317E-3</v>
      </c>
      <c r="P54" s="4">
        <f t="shared" ca="1" si="22"/>
        <v>-6.9370355018784991E-3</v>
      </c>
      <c r="Q54" s="4">
        <f t="shared" ca="1" si="22"/>
        <v>-7.0077649572411072E-3</v>
      </c>
      <c r="R54" s="4">
        <f t="shared" ca="1" si="22"/>
        <v>-7.0721753048154437E-3</v>
      </c>
      <c r="S54" s="4">
        <f t="shared" ca="1" si="22"/>
        <v>-7.0736301872230904E-3</v>
      </c>
      <c r="T54" s="4">
        <f t="shared" ca="1" si="22"/>
        <v>-7.0085837720083007E-3</v>
      </c>
      <c r="U54" s="4">
        <f t="shared" ca="1" si="22"/>
        <v>-6.8770360591710695E-3</v>
      </c>
      <c r="V54" s="4">
        <f t="shared" ca="1" si="22"/>
        <v>-6.678987048711409E-3</v>
      </c>
      <c r="W54" s="4">
        <f t="shared" ca="1" si="22"/>
        <v>-6.4746028529929734E-3</v>
      </c>
      <c r="X54" s="4">
        <f t="shared" ca="1" si="22"/>
        <v>-6.1967694025529176E-3</v>
      </c>
      <c r="Y54" s="4">
        <f t="shared" ca="1" si="22"/>
        <v>-5.8390644072984959E-3</v>
      </c>
      <c r="Z54" s="4">
        <f t="shared" ca="1" si="22"/>
        <v>-5.4014878672297133E-3</v>
      </c>
      <c r="AA54" s="4">
        <f t="shared" ca="1" si="22"/>
        <v>-4.8840397823465631E-3</v>
      </c>
      <c r="AB54" s="4">
        <f t="shared" ca="1" si="22"/>
        <v>-4.3164251654312143E-3</v>
      </c>
      <c r="AC54" s="4">
        <f t="shared" ca="1" si="22"/>
        <v>-3.6611835235603701E-3</v>
      </c>
      <c r="AD54" s="4">
        <f t="shared" ca="1" si="22"/>
        <v>-2.9112178304840845E-3</v>
      </c>
      <c r="AE54" s="4">
        <f t="shared" ca="1" si="22"/>
        <v>-2.0665280862023575E-3</v>
      </c>
      <c r="AF54" s="4">
        <f t="shared" ca="1" si="22"/>
        <v>0</v>
      </c>
      <c r="AG54" s="4"/>
      <c r="AH54" s="4"/>
    </row>
    <row r="55" spans="2:34">
      <c r="B55" s="21"/>
      <c r="C55" s="18" t="s">
        <v>80</v>
      </c>
      <c r="D55" s="4">
        <f ca="1">D52-D58</f>
        <v>0.79656743982777534</v>
      </c>
      <c r="E55" s="4">
        <f ca="1">MAX($D$14*(D55+D52*E53)+$D$15*($D55+$D52*E54),1%)</f>
        <v>0.79475698621547541</v>
      </c>
      <c r="F55" s="4">
        <f t="shared" ref="F55:AF55" ca="1" si="23">MAX($D$14*(E55+E52*F53)+$D$15*($D55+$D52*F54),1%)</f>
        <v>0.7930538324843257</v>
      </c>
      <c r="G55" s="4">
        <f t="shared" ca="1" si="23"/>
        <v>0.79146572657613312</v>
      </c>
      <c r="H55" s="4">
        <f t="shared" ca="1" si="23"/>
        <v>0.79099701793153687</v>
      </c>
      <c r="I55" s="4">
        <f t="shared" ca="1" si="23"/>
        <v>0.7906285352386222</v>
      </c>
      <c r="J55" s="4">
        <f t="shared" ca="1" si="23"/>
        <v>0.79032982866090373</v>
      </c>
      <c r="K55" s="4">
        <f t="shared" ca="1" si="23"/>
        <v>0.79008568588835981</v>
      </c>
      <c r="L55" s="4">
        <f t="shared" ca="1" si="23"/>
        <v>0.78988850707371627</v>
      </c>
      <c r="M55" s="4">
        <f t="shared" ca="1" si="23"/>
        <v>0.78954923834568846</v>
      </c>
      <c r="N55" s="4">
        <f t="shared" ca="1" si="23"/>
        <v>0.78925600653535621</v>
      </c>
      <c r="O55" s="4">
        <f t="shared" ca="1" si="23"/>
        <v>0.78901525838357478</v>
      </c>
      <c r="P55" s="4">
        <f t="shared" ca="1" si="23"/>
        <v>0.78883021388363272</v>
      </c>
      <c r="Q55" s="4">
        <f t="shared" ca="1" si="23"/>
        <v>0.7887024813693142</v>
      </c>
      <c r="R55" s="4">
        <f t="shared" ca="1" si="23"/>
        <v>0.78858042104764103</v>
      </c>
      <c r="S55" s="4">
        <f t="shared" ca="1" si="23"/>
        <v>0.78851890250245316</v>
      </c>
      <c r="T55" s="4">
        <f t="shared" ca="1" si="23"/>
        <v>0.78852087201138388</v>
      </c>
      <c r="U55" s="4">
        <f t="shared" ca="1" si="23"/>
        <v>0.78858780076027812</v>
      </c>
      <c r="V55" s="4">
        <f t="shared" ca="1" si="23"/>
        <v>0.78872042337941484</v>
      </c>
      <c r="W55" s="4">
        <f t="shared" ca="1" si="23"/>
        <v>0.78885918981226044</v>
      </c>
      <c r="X55" s="4">
        <f t="shared" ca="1" si="23"/>
        <v>0.7890677143951389</v>
      </c>
      <c r="Y55" s="4">
        <f t="shared" ca="1" si="23"/>
        <v>0.78935101218758286</v>
      </c>
      <c r="Z55" s="4">
        <f t="shared" ca="1" si="23"/>
        <v>0.78971158733705116</v>
      </c>
      <c r="AA55" s="4">
        <f t="shared" ca="1" si="23"/>
        <v>0.79015069021531414</v>
      </c>
      <c r="AB55" s="4">
        <f t="shared" ca="1" si="23"/>
        <v>0.7906393421290463</v>
      </c>
      <c r="AC55" s="4">
        <f t="shared" ca="1" si="23"/>
        <v>0.79121146096119033</v>
      </c>
      <c r="AD55" s="4">
        <f t="shared" ca="1" si="23"/>
        <v>0.79187262314113238</v>
      </c>
      <c r="AE55" s="4">
        <f t="shared" ca="1" si="23"/>
        <v>0.79262561283110367</v>
      </c>
      <c r="AF55" s="4">
        <f t="shared" ca="1" si="23"/>
        <v>0.79459652632943945</v>
      </c>
      <c r="AG55" s="4"/>
      <c r="AH55" s="4"/>
    </row>
    <row r="56" spans="2:34">
      <c r="B56" s="20" t="s">
        <v>55</v>
      </c>
      <c r="C56" s="18" t="s">
        <v>76</v>
      </c>
      <c r="D56" s="4"/>
      <c r="E56" s="4">
        <f ca="1">E50-E53</f>
        <v>1.6937355615504488E-3</v>
      </c>
      <c r="F56" s="4">
        <f t="shared" ref="F56:AF56" ca="1" si="24">F50-F53</f>
        <v>1.6910769714005517E-3</v>
      </c>
      <c r="G56" s="4">
        <f t="shared" ca="1" si="24"/>
        <v>1.6885997385974686E-3</v>
      </c>
      <c r="H56" s="4">
        <f t="shared" ca="1" si="24"/>
        <v>7.5858462387802495E-4</v>
      </c>
      <c r="I56" s="4">
        <f t="shared" ca="1" si="24"/>
        <v>7.5830750777865024E-4</v>
      </c>
      <c r="J56" s="4">
        <f t="shared" ca="1" si="24"/>
        <v>7.5810453629679214E-4</v>
      </c>
      <c r="K56" s="4">
        <f t="shared" ca="1" si="24"/>
        <v>7.5795353196614682E-4</v>
      </c>
      <c r="L56" s="4">
        <f t="shared" ca="1" si="24"/>
        <v>7.5784340335432142E-4</v>
      </c>
      <c r="M56" s="4">
        <f t="shared" ca="1" si="24"/>
        <v>9.3868369143700883E-4</v>
      </c>
      <c r="N56" s="4">
        <f t="shared" ca="1" si="24"/>
        <v>9.3843692660110765E-4</v>
      </c>
      <c r="O56" s="4">
        <f t="shared" ca="1" si="24"/>
        <v>9.3823363799956693E-4</v>
      </c>
      <c r="P56" s="4">
        <f t="shared" ca="1" si="24"/>
        <v>9.3808025091618886E-4</v>
      </c>
      <c r="Q56" s="4">
        <f t="shared" ca="1" si="24"/>
        <v>9.3797994843264018E-4</v>
      </c>
      <c r="R56" s="4">
        <f t="shared" ca="1" si="24"/>
        <v>1.0002265028040583E-3</v>
      </c>
      <c r="S56" s="4">
        <f t="shared" ca="1" si="24"/>
        <v>1.0000769168917599E-3</v>
      </c>
      <c r="T56" s="4">
        <f t="shared" ca="1" si="24"/>
        <v>9.9998966698475905E-4</v>
      </c>
      <c r="U56" s="4">
        <f t="shared" ca="1" si="24"/>
        <v>9.9996920659329376E-4</v>
      </c>
      <c r="V56" s="4">
        <f t="shared" ca="1" si="24"/>
        <v>1.0000177694337196E-3</v>
      </c>
      <c r="W56" s="4">
        <f t="shared" ca="1" si="24"/>
        <v>1.0666232032114902E-3</v>
      </c>
      <c r="X56" s="4">
        <f t="shared" ca="1" si="24"/>
        <v>1.0666565804414853E-3</v>
      </c>
      <c r="Y56" s="4">
        <f t="shared" ca="1" si="24"/>
        <v>1.0667704040065106E-3</v>
      </c>
      <c r="Z56" s="4">
        <f t="shared" ca="1" si="24"/>
        <v>1.0669721145250245E-3</v>
      </c>
      <c r="AA56" s="4">
        <f t="shared" ca="1" si="24"/>
        <v>1.0672655178315257E-3</v>
      </c>
      <c r="AB56" s="4">
        <f t="shared" ca="1" si="24"/>
        <v>1.101164935874888E-3</v>
      </c>
      <c r="AC56" s="4">
        <f t="shared" ca="1" si="24"/>
        <v>1.1015117645197436E-3</v>
      </c>
      <c r="AD56" s="4">
        <f t="shared" ca="1" si="24"/>
        <v>1.1019625411869945E-3</v>
      </c>
      <c r="AE56" s="4">
        <f t="shared" ca="1" si="24"/>
        <v>1.1025264055523937E-3</v>
      </c>
      <c r="AF56" s="4">
        <f t="shared" ca="1" si="24"/>
        <v>0</v>
      </c>
      <c r="AG56" s="4"/>
      <c r="AH56" s="4"/>
    </row>
    <row r="57" spans="2:34">
      <c r="B57" s="22"/>
      <c r="C57" s="18" t="s">
        <v>77</v>
      </c>
      <c r="D57" s="4"/>
      <c r="E57" s="4">
        <f ca="1">E51-E54</f>
        <v>1.6937355615504488E-3</v>
      </c>
      <c r="F57" s="4">
        <f t="shared" ref="F57:AF57" ca="1" si="25">F51-F54</f>
        <v>3.1902615558699371E-3</v>
      </c>
      <c r="G57" s="4">
        <f t="shared" ca="1" si="25"/>
        <v>4.5716952826590279E-3</v>
      </c>
      <c r="H57" s="4">
        <f t="shared" ca="1" si="25"/>
        <v>4.9056840765183598E-3</v>
      </c>
      <c r="I57" s="4">
        <f t="shared" ca="1" si="25"/>
        <v>5.1631809276661746E-3</v>
      </c>
      <c r="J57" s="4">
        <f t="shared" ca="1" si="25"/>
        <v>5.383281566733537E-3</v>
      </c>
      <c r="K57" s="4">
        <f t="shared" ca="1" si="25"/>
        <v>5.5659859937204469E-3</v>
      </c>
      <c r="L57" s="4">
        <f t="shared" ca="1" si="25"/>
        <v>5.7112942086269087E-3</v>
      </c>
      <c r="M57" s="4">
        <f t="shared" ca="1" si="25"/>
        <v>6.0013121563341904E-3</v>
      </c>
      <c r="N57" s="4">
        <f t="shared" ca="1" si="25"/>
        <v>6.2443587890236851E-3</v>
      </c>
      <c r="O57" s="4">
        <f t="shared" ca="1" si="25"/>
        <v>6.4308401628031201E-3</v>
      </c>
      <c r="P57" s="4">
        <f t="shared" ca="1" si="25"/>
        <v>6.5607562776724979E-3</v>
      </c>
      <c r="Q57" s="4">
        <f t="shared" ca="1" si="25"/>
        <v>6.6341071336318211E-3</v>
      </c>
      <c r="R57" s="4">
        <f t="shared" ca="1" si="25"/>
        <v>6.7136743572247387E-3</v>
      </c>
      <c r="S57" s="4">
        <f t="shared" ca="1" si="25"/>
        <v>6.7321163643321779E-3</v>
      </c>
      <c r="T57" s="4">
        <f t="shared" ca="1" si="25"/>
        <v>6.6850243087376061E-3</v>
      </c>
      <c r="U57" s="4">
        <f t="shared" ca="1" si="25"/>
        <v>6.5723981904410199E-3</v>
      </c>
      <c r="V57" s="4">
        <f t="shared" ca="1" si="25"/>
        <v>6.3942380094424286E-3</v>
      </c>
      <c r="W57" s="4">
        <f t="shared" ca="1" si="25"/>
        <v>6.2175631022740041E-3</v>
      </c>
      <c r="X57" s="4">
        <f t="shared" ca="1" si="25"/>
        <v>5.9678250821595087E-3</v>
      </c>
      <c r="Y57" s="4">
        <f t="shared" ca="1" si="25"/>
        <v>5.6376598134469606E-3</v>
      </c>
      <c r="Z57" s="4">
        <f t="shared" ca="1" si="25"/>
        <v>5.2270672961363621E-3</v>
      </c>
      <c r="AA57" s="4">
        <f t="shared" ca="1" si="25"/>
        <v>4.7360475302277083E-3</v>
      </c>
      <c r="AB57" s="4">
        <f t="shared" ca="1" si="25"/>
        <v>4.1983377689382047E-3</v>
      </c>
      <c r="AC57" s="4">
        <f t="shared" ca="1" si="25"/>
        <v>3.5716587929423334E-3</v>
      </c>
      <c r="AD57" s="4">
        <f t="shared" ca="1" si="25"/>
        <v>2.847683941739813E-3</v>
      </c>
      <c r="AE57" s="4">
        <f t="shared" ca="1" si="25"/>
        <v>2.026413215330643E-3</v>
      </c>
      <c r="AF57" s="4">
        <f t="shared" ca="1" si="25"/>
        <v>0</v>
      </c>
      <c r="AG57" s="4"/>
      <c r="AH57" s="4"/>
    </row>
    <row r="58" spans="2:34">
      <c r="B58" s="21"/>
      <c r="C58" s="18" t="s">
        <v>80</v>
      </c>
      <c r="D58" s="4">
        <f ca="1">D13</f>
        <v>0.20343256017222472</v>
      </c>
      <c r="E58" s="4">
        <f ca="1">$D$14*(D58+D52*E56)+$D$15*($D58+$D52*E57)</f>
        <v>0.20512629573377517</v>
      </c>
      <c r="F58" s="4">
        <f t="shared" ref="F58:AF58" ca="1" si="26">$D$14*(E58+E52*F56)+$D$15*($D58+$D52*F57)</f>
        <v>0.2067199985270313</v>
      </c>
      <c r="G58" s="4">
        <f t="shared" ca="1" si="26"/>
        <v>0.2082062359058087</v>
      </c>
      <c r="H58" s="4">
        <f t="shared" ca="1" si="26"/>
        <v>0.20865140796710629</v>
      </c>
      <c r="I58" s="4">
        <f t="shared" ca="1" si="26"/>
        <v>0.20900259498674761</v>
      </c>
      <c r="J58" s="4">
        <f t="shared" ca="1" si="26"/>
        <v>0.20928813081007661</v>
      </c>
      <c r="K58" s="4">
        <f t="shared" ca="1" si="26"/>
        <v>0.20952217046950977</v>
      </c>
      <c r="L58" s="4">
        <f t="shared" ca="1" si="26"/>
        <v>0.20971178553512168</v>
      </c>
      <c r="M58" s="4">
        <f t="shared" ca="1" si="26"/>
        <v>0.21004198317815409</v>
      </c>
      <c r="N58" s="4">
        <f t="shared" ca="1" si="26"/>
        <v>0.21032847772659338</v>
      </c>
      <c r="O58" s="4">
        <f t="shared" ca="1" si="26"/>
        <v>0.21056486092438911</v>
      </c>
      <c r="P58" s="4">
        <f t="shared" ca="1" si="26"/>
        <v>0.21074793187170879</v>
      </c>
      <c r="Q58" s="4">
        <f t="shared" ca="1" si="26"/>
        <v>0.21087609171758764</v>
      </c>
      <c r="R58" s="4">
        <f t="shared" ca="1" si="26"/>
        <v>0.21101106561373684</v>
      </c>
      <c r="S58" s="4">
        <f t="shared" ca="1" si="26"/>
        <v>0.21108770526121265</v>
      </c>
      <c r="T58" s="4">
        <f t="shared" ca="1" si="26"/>
        <v>0.21110244301049416</v>
      </c>
      <c r="U58" s="4">
        <f t="shared" ca="1" si="26"/>
        <v>0.21105349695318726</v>
      </c>
      <c r="V58" s="4">
        <f t="shared" ca="1" si="26"/>
        <v>0.21093997709781381</v>
      </c>
      <c r="W58" s="4">
        <f t="shared" ca="1" si="26"/>
        <v>0.2108281806753966</v>
      </c>
      <c r="X58" s="4">
        <f t="shared" ca="1" si="26"/>
        <v>0.21064744452094786</v>
      </c>
      <c r="Y58" s="4">
        <f ca="1">$D$14*(X58+X52*Y56)+$D$15*($D58+$D52*Y57)</f>
        <v>0.21039206552529394</v>
      </c>
      <c r="Z58" s="4">
        <f t="shared" ca="1" si="26"/>
        <v>0.21005919548963203</v>
      </c>
      <c r="AA58" s="4">
        <f t="shared" ca="1" si="26"/>
        <v>0.20964741203716541</v>
      </c>
      <c r="AB58" s="4">
        <f t="shared" ca="1" si="26"/>
        <v>0.2091896262957415</v>
      </c>
      <c r="AC58" s="4">
        <f t="shared" ca="1" si="26"/>
        <v>0.20864758431606806</v>
      </c>
      <c r="AD58" s="4">
        <f t="shared" ca="1" si="26"/>
        <v>0.20801481782219755</v>
      </c>
      <c r="AE58" s="4">
        <f t="shared" ca="1" si="26"/>
        <v>0.20728809675799759</v>
      </c>
      <c r="AF58" s="4">
        <f t="shared" ca="1" si="26"/>
        <v>0.20536032846511115</v>
      </c>
      <c r="AG58" s="4"/>
      <c r="AH58" s="4"/>
    </row>
    <row r="59" spans="2:34">
      <c r="E59" s="46"/>
    </row>
    <row r="87" spans="2:4" s="2" customFormat="1" ht="21">
      <c r="B87" s="17" t="s">
        <v>86</v>
      </c>
    </row>
    <row r="89" spans="2:4">
      <c r="B89" s="154" t="s">
        <v>51</v>
      </c>
      <c r="C89" s="155"/>
    </row>
    <row r="90" spans="2:4">
      <c r="B90" s="47" t="s">
        <v>87</v>
      </c>
      <c r="C90" s="156" t="s">
        <v>88</v>
      </c>
      <c r="D90" s="32" cm="1">
        <f t="array" aca="1" ref="D90" ca="1">INDIRECT("'" &amp; INDIRECT("Admin!J2") &amp; "'!C3")</f>
        <v>0.35</v>
      </c>
    </row>
    <row r="91" spans="2:4" outlineLevel="1">
      <c r="B91" s="47" t="s">
        <v>89</v>
      </c>
      <c r="C91" s="47" t="s">
        <v>90</v>
      </c>
      <c r="D91" s="40">
        <f ca="1">D112/D123</f>
        <v>4.4670355480227698E-3</v>
      </c>
    </row>
    <row r="92" spans="2:4" outlineLevel="1">
      <c r="B92" s="157" t="s">
        <v>91</v>
      </c>
      <c r="C92" s="47" t="s">
        <v>90</v>
      </c>
      <c r="D92" s="10">
        <f ca="1">D108/D106</f>
        <v>3.1059245402108602E-4</v>
      </c>
    </row>
    <row r="93" spans="2:4" outlineLevel="1">
      <c r="B93" s="157" t="s">
        <v>92</v>
      </c>
      <c r="C93" s="47" t="s">
        <v>90</v>
      </c>
      <c r="D93" s="10">
        <f ca="1">D110/D106</f>
        <v>3.3817037319773743E-2</v>
      </c>
    </row>
    <row r="94" spans="2:4" outlineLevel="1">
      <c r="B94" s="48" t="s">
        <v>93</v>
      </c>
      <c r="C94" s="47" t="s">
        <v>90</v>
      </c>
      <c r="D94" s="10">
        <f ca="1">D113/((1-D90)*(D111-D112))</f>
        <v>1</v>
      </c>
    </row>
    <row r="95" spans="2:4" outlineLevel="1">
      <c r="B95" s="157" t="s">
        <v>94</v>
      </c>
      <c r="C95" s="47" t="s">
        <v>90</v>
      </c>
      <c r="D95" s="10">
        <f ca="1">D115/(D$107-D$119)</f>
        <v>0.97364318095157409</v>
      </c>
    </row>
    <row r="96" spans="2:4" outlineLevel="1">
      <c r="B96" s="157" t="s">
        <v>95</v>
      </c>
      <c r="C96" s="47" t="s">
        <v>90</v>
      </c>
      <c r="D96" s="10">
        <f ca="1">D116/(D$107-D$119-D$120)</f>
        <v>1</v>
      </c>
    </row>
    <row r="97" spans="2:34" outlineLevel="1">
      <c r="B97" s="157" t="s">
        <v>96</v>
      </c>
      <c r="C97" s="47" t="s">
        <v>90</v>
      </c>
      <c r="D97" s="10">
        <f ca="1">D117/(D$107-D$112)</f>
        <v>1</v>
      </c>
    </row>
    <row r="98" spans="2:34" outlineLevel="1">
      <c r="B98" s="157" t="s">
        <v>97</v>
      </c>
      <c r="C98" s="47" t="s">
        <v>90</v>
      </c>
      <c r="D98" s="10">
        <f ca="1">D118/(D$107-D$112)</f>
        <v>1</v>
      </c>
    </row>
    <row r="99" spans="2:34" outlineLevel="1">
      <c r="B99" s="157" t="s">
        <v>98</v>
      </c>
      <c r="C99" s="47" t="s">
        <v>90</v>
      </c>
      <c r="D99" s="43">
        <f ca="1">D124/D$122</f>
        <v>7.9112092351258832E-4</v>
      </c>
    </row>
    <row r="100" spans="2:34" outlineLevel="1">
      <c r="B100" s="157" t="s">
        <v>99</v>
      </c>
      <c r="C100" s="47" t="s">
        <v>90</v>
      </c>
      <c r="D100" s="43">
        <f ca="1">D125/D$122</f>
        <v>4.6054421108426271E-3</v>
      </c>
    </row>
    <row r="101" spans="2:34" outlineLevel="1">
      <c r="B101" s="157" t="s">
        <v>100</v>
      </c>
      <c r="C101" s="47" t="s">
        <v>90</v>
      </c>
      <c r="D101" s="43">
        <f ca="1">D126/D123</f>
        <v>0.99255968428448971</v>
      </c>
    </row>
    <row r="102" spans="2:34">
      <c r="B102" s="48" t="s">
        <v>101</v>
      </c>
      <c r="C102" s="190" cm="1">
        <f t="array" aca="1" ref="C102" ca="1">INDIRECT("'" &amp; INDIRECT("Admin!I2") &amp; "'!F162")</f>
        <v>0.6</v>
      </c>
      <c r="D102" s="44">
        <v>0.6</v>
      </c>
    </row>
    <row r="103" spans="2:34">
      <c r="B103" s="48" t="s">
        <v>102</v>
      </c>
      <c r="C103" s="191"/>
      <c r="D103" s="44">
        <f>100%-D102</f>
        <v>0.4</v>
      </c>
    </row>
    <row r="104" spans="2:34">
      <c r="B104" s="25"/>
      <c r="C104" s="155"/>
    </row>
    <row r="105" spans="2:34">
      <c r="B105" s="154" t="s">
        <v>103</v>
      </c>
      <c r="C105" s="155"/>
      <c r="D105" s="1">
        <f>D$22</f>
        <v>2023</v>
      </c>
      <c r="E105" s="1">
        <f t="shared" ref="E105:AH105" si="27">E$22</f>
        <v>2024</v>
      </c>
      <c r="F105" s="1">
        <f t="shared" si="27"/>
        <v>2025</v>
      </c>
      <c r="G105" s="1">
        <f t="shared" si="27"/>
        <v>2026</v>
      </c>
      <c r="H105" s="1">
        <f t="shared" si="27"/>
        <v>2027</v>
      </c>
      <c r="I105" s="1">
        <f t="shared" si="27"/>
        <v>2028</v>
      </c>
      <c r="J105" s="1">
        <f t="shared" si="27"/>
        <v>2029</v>
      </c>
      <c r="K105" s="1">
        <f t="shared" si="27"/>
        <v>2030</v>
      </c>
      <c r="L105" s="1">
        <f t="shared" si="27"/>
        <v>2031</v>
      </c>
      <c r="M105" s="1">
        <f t="shared" si="27"/>
        <v>2032</v>
      </c>
      <c r="N105" s="1">
        <f t="shared" si="27"/>
        <v>2033</v>
      </c>
      <c r="O105" s="1">
        <f t="shared" si="27"/>
        <v>2034</v>
      </c>
      <c r="P105" s="1">
        <f t="shared" si="27"/>
        <v>2035</v>
      </c>
      <c r="Q105" s="1">
        <f t="shared" si="27"/>
        <v>2036</v>
      </c>
      <c r="R105" s="1">
        <f t="shared" si="27"/>
        <v>2037</v>
      </c>
      <c r="S105" s="1">
        <f t="shared" si="27"/>
        <v>2038</v>
      </c>
      <c r="T105" s="1">
        <f t="shared" si="27"/>
        <v>2039</v>
      </c>
      <c r="U105" s="1">
        <f t="shared" si="27"/>
        <v>2040</v>
      </c>
      <c r="V105" s="1">
        <f t="shared" si="27"/>
        <v>2041</v>
      </c>
      <c r="W105" s="1">
        <f t="shared" si="27"/>
        <v>2042</v>
      </c>
      <c r="X105" s="1">
        <f t="shared" si="27"/>
        <v>2043</v>
      </c>
      <c r="Y105" s="1">
        <f t="shared" si="27"/>
        <v>2044</v>
      </c>
      <c r="Z105" s="1">
        <f t="shared" si="27"/>
        <v>2045</v>
      </c>
      <c r="AA105" s="1">
        <f t="shared" si="27"/>
        <v>2046</v>
      </c>
      <c r="AB105" s="1">
        <f t="shared" si="27"/>
        <v>2047</v>
      </c>
      <c r="AC105" s="1">
        <f t="shared" si="27"/>
        <v>2048</v>
      </c>
      <c r="AD105" s="1">
        <f t="shared" si="27"/>
        <v>2049</v>
      </c>
      <c r="AE105" s="1">
        <f t="shared" si="27"/>
        <v>2050</v>
      </c>
      <c r="AF105" s="1">
        <f t="shared" si="27"/>
        <v>2050</v>
      </c>
      <c r="AG105" s="1">
        <f t="shared" si="27"/>
        <v>0</v>
      </c>
      <c r="AH105" s="1">
        <f t="shared" si="27"/>
        <v>0</v>
      </c>
    </row>
    <row r="106" spans="2:34" s="19" customFormat="1">
      <c r="B106" s="47" t="s">
        <v>104</v>
      </c>
      <c r="C106" s="47" t="s">
        <v>8</v>
      </c>
      <c r="D106" s="23" cm="1">
        <f t="array" aca="1" ref="D106" ca="1">VLOOKUP(C106,INDIRECT("'" &amp; INDIRECT("Admin!I2") &amp; "'!B5:C14"),2,FALSE)</f>
        <v>1382519.1</v>
      </c>
      <c r="E106" s="23">
        <f t="shared" ref="E106:AF106" ca="1" si="28">$D$106*E52</f>
        <v>1382357.7350655242</v>
      </c>
      <c r="F106" s="23">
        <f t="shared" ca="1" si="28"/>
        <v>1382206.4170533733</v>
      </c>
      <c r="G106" s="23">
        <f t="shared" ca="1" si="28"/>
        <v>1382065.5818657679</v>
      </c>
      <c r="H106" s="23">
        <f t="shared" ca="1" si="28"/>
        <v>1382033.042089809</v>
      </c>
      <c r="I106" s="23">
        <f t="shared" ca="1" si="28"/>
        <v>1382009.130491161</v>
      </c>
      <c r="J106" s="23">
        <f t="shared" ca="1" si="28"/>
        <v>1381990.9216716562</v>
      </c>
      <c r="K106" s="23">
        <f t="shared" ca="1" si="28"/>
        <v>1381976.9539248112</v>
      </c>
      <c r="L106" s="23">
        <f t="shared" ca="1" si="28"/>
        <v>1381966.4968973075</v>
      </c>
      <c r="M106" s="23">
        <f t="shared" ca="1" si="28"/>
        <v>1381953.9559490434</v>
      </c>
      <c r="N106" s="23">
        <f t="shared" ca="1" si="28"/>
        <v>1381944.641555795</v>
      </c>
      <c r="O106" s="23">
        <f t="shared" ca="1" si="28"/>
        <v>1381938.606923539</v>
      </c>
      <c r="P106" s="23">
        <f t="shared" ca="1" si="28"/>
        <v>1381935.8784493436</v>
      </c>
      <c r="Q106" s="23">
        <f t="shared" ca="1" si="28"/>
        <v>1381936.4692433877</v>
      </c>
      <c r="R106" s="23">
        <f t="shared" ca="1" si="28"/>
        <v>1381954.32250675</v>
      </c>
      <c r="S106" s="23">
        <f t="shared" ca="1" si="28"/>
        <v>1381975.227719476</v>
      </c>
      <c r="T106" s="23">
        <f t="shared" ca="1" si="28"/>
        <v>1381998.325823063</v>
      </c>
      <c r="U106" s="23">
        <f t="shared" ca="1" si="28"/>
        <v>1382023.187237652</v>
      </c>
      <c r="V106" s="23">
        <f t="shared" ca="1" si="28"/>
        <v>1382049.5971734177</v>
      </c>
      <c r="W106" s="23">
        <f t="shared" ca="1" si="28"/>
        <v>1382086.8837279622</v>
      </c>
      <c r="X106" s="23">
        <f t="shared" ca="1" si="28"/>
        <v>1382125.3017610251</v>
      </c>
      <c r="Y106" s="23">
        <f t="shared" ca="1" si="28"/>
        <v>1382163.9000308365</v>
      </c>
      <c r="Z106" s="23">
        <f t="shared" ca="1" si="28"/>
        <v>1382202.2028798414</v>
      </c>
      <c r="AA106" s="23">
        <f t="shared" ca="1" si="28"/>
        <v>1382239.972507806</v>
      </c>
      <c r="AB106" s="23">
        <f t="shared" ca="1" si="28"/>
        <v>1382282.645580566</v>
      </c>
      <c r="AC106" s="23">
        <f t="shared" ca="1" si="28"/>
        <v>1382324.2274035744</v>
      </c>
      <c r="AD106" s="23">
        <f t="shared" ca="1" si="28"/>
        <v>1382363.4849819259</v>
      </c>
      <c r="AE106" s="23">
        <f t="shared" ca="1" si="28"/>
        <v>1382399.8018587856</v>
      </c>
      <c r="AF106" s="23">
        <f t="shared" ca="1" si="28"/>
        <v>1382459.4509293928</v>
      </c>
      <c r="AG106" s="23"/>
      <c r="AH106" s="23"/>
    </row>
    <row r="107" spans="2:34" s="19" customFormat="1">
      <c r="B107" s="47" t="s">
        <v>105</v>
      </c>
      <c r="C107" s="47" t="s">
        <v>8</v>
      </c>
      <c r="D107" s="23" cm="1">
        <f t="array" aca="1" ref="D107" ca="1">VLOOKUP(C107,INDIRECT("'" &amp; INDIRECT("Admin!I2") &amp; "'!B17:C26"),2,FALSE)</f>
        <v>402913</v>
      </c>
      <c r="E107" s="23">
        <f ca="1">$D$107*E58/$D$58</f>
        <v>406267.56662263523</v>
      </c>
      <c r="F107" s="23">
        <f ca="1">$D$107*F58/$D$58</f>
        <v>409424.01106297254</v>
      </c>
      <c r="G107" s="23">
        <f t="shared" ref="G107:AF107" ca="1" si="29">$D$107*G58/$D$58</f>
        <v>412367.61242397584</v>
      </c>
      <c r="H107" s="23">
        <f t="shared" ca="1" si="29"/>
        <v>413249.30811016168</v>
      </c>
      <c r="I107" s="23">
        <f t="shared" ca="1" si="29"/>
        <v>413944.85957707016</v>
      </c>
      <c r="J107" s="23">
        <f t="shared" ca="1" si="29"/>
        <v>414510.38406876195</v>
      </c>
      <c r="K107" s="23">
        <f t="shared" ca="1" si="29"/>
        <v>414973.91665775049</v>
      </c>
      <c r="L107" s="23">
        <f t="shared" ca="1" si="29"/>
        <v>415349.46310354176</v>
      </c>
      <c r="M107" s="23">
        <f t="shared" ca="1" si="29"/>
        <v>416003.44358156592</v>
      </c>
      <c r="N107" s="23">
        <f t="shared" ca="1" si="29"/>
        <v>416570.86689815595</v>
      </c>
      <c r="O107" s="23">
        <f t="shared" ca="1" si="29"/>
        <v>417039.04103553511</v>
      </c>
      <c r="P107" s="23">
        <f t="shared" ca="1" si="29"/>
        <v>417401.62637848599</v>
      </c>
      <c r="Q107" s="23">
        <f t="shared" ca="1" si="29"/>
        <v>417655.45628623955</v>
      </c>
      <c r="R107" s="23">
        <f t="shared" ca="1" si="29"/>
        <v>417922.78191677341</v>
      </c>
      <c r="S107" s="23">
        <f t="shared" ca="1" si="29"/>
        <v>418074.57231973193</v>
      </c>
      <c r="T107" s="23">
        <f t="shared" ca="1" si="29"/>
        <v>418103.76150543179</v>
      </c>
      <c r="U107" s="23">
        <f t="shared" ca="1" si="29"/>
        <v>418006.8202745344</v>
      </c>
      <c r="V107" s="23">
        <f t="shared" ca="1" si="29"/>
        <v>417781.98593410547</v>
      </c>
      <c r="W107" s="23">
        <f t="shared" ca="1" si="29"/>
        <v>417560.56497815205</v>
      </c>
      <c r="X107" s="23">
        <f t="shared" ca="1" si="29"/>
        <v>417202.60386250884</v>
      </c>
      <c r="Y107" s="23">
        <f t="shared" ca="1" si="29"/>
        <v>416696.80716413964</v>
      </c>
      <c r="Z107" s="23">
        <f ca="1">$D$107*Z58/$D$58</f>
        <v>416037.53381790099</v>
      </c>
      <c r="AA107" s="23">
        <f t="shared" ca="1" si="29"/>
        <v>415221.96670296509</v>
      </c>
      <c r="AB107" s="23">
        <f t="shared" ca="1" si="29"/>
        <v>414315.28870472236</v>
      </c>
      <c r="AC107" s="23">
        <f t="shared" ca="1" si="29"/>
        <v>413241.73509083048</v>
      </c>
      <c r="AD107" s="23">
        <f t="shared" ca="1" si="29"/>
        <v>411988.4949697358</v>
      </c>
      <c r="AE107" s="23">
        <f t="shared" ca="1" si="29"/>
        <v>410549.17098004551</v>
      </c>
      <c r="AF107" s="23">
        <f t="shared" ca="1" si="29"/>
        <v>406731.08549002279</v>
      </c>
      <c r="AG107" s="23"/>
      <c r="AH107" s="23"/>
    </row>
    <row r="108" spans="2:34" s="19" customFormat="1">
      <c r="B108" s="47" t="s">
        <v>106</v>
      </c>
      <c r="C108" s="47" t="s">
        <v>90</v>
      </c>
      <c r="D108" s="23">
        <f ca="1">D107-D109</f>
        <v>429.40000000002328</v>
      </c>
      <c r="E108" s="23">
        <f ca="1">D108</f>
        <v>429.40000000002328</v>
      </c>
      <c r="F108" s="23">
        <f t="shared" ref="F108:AF108" ca="1" si="30">E108</f>
        <v>429.40000000002328</v>
      </c>
      <c r="G108" s="23">
        <f t="shared" ca="1" si="30"/>
        <v>429.40000000002328</v>
      </c>
      <c r="H108" s="23">
        <f t="shared" ca="1" si="30"/>
        <v>429.40000000002328</v>
      </c>
      <c r="I108" s="23">
        <f t="shared" ca="1" si="30"/>
        <v>429.40000000002328</v>
      </c>
      <c r="J108" s="23">
        <f t="shared" ca="1" si="30"/>
        <v>429.40000000002328</v>
      </c>
      <c r="K108" s="23">
        <f t="shared" ca="1" si="30"/>
        <v>429.40000000002328</v>
      </c>
      <c r="L108" s="23">
        <f t="shared" ca="1" si="30"/>
        <v>429.40000000002328</v>
      </c>
      <c r="M108" s="23">
        <f t="shared" ca="1" si="30"/>
        <v>429.40000000002328</v>
      </c>
      <c r="N108" s="23">
        <f t="shared" ca="1" si="30"/>
        <v>429.40000000002328</v>
      </c>
      <c r="O108" s="23">
        <f t="shared" ca="1" si="30"/>
        <v>429.40000000002328</v>
      </c>
      <c r="P108" s="23">
        <f t="shared" ca="1" si="30"/>
        <v>429.40000000002328</v>
      </c>
      <c r="Q108" s="23">
        <f t="shared" ca="1" si="30"/>
        <v>429.40000000002328</v>
      </c>
      <c r="R108" s="23">
        <f t="shared" ca="1" si="30"/>
        <v>429.40000000002328</v>
      </c>
      <c r="S108" s="23">
        <f t="shared" ca="1" si="30"/>
        <v>429.40000000002328</v>
      </c>
      <c r="T108" s="23">
        <f t="shared" ca="1" si="30"/>
        <v>429.40000000002328</v>
      </c>
      <c r="U108" s="23">
        <f t="shared" ca="1" si="30"/>
        <v>429.40000000002328</v>
      </c>
      <c r="V108" s="23">
        <f t="shared" ca="1" si="30"/>
        <v>429.40000000002328</v>
      </c>
      <c r="W108" s="23">
        <f t="shared" ca="1" si="30"/>
        <v>429.40000000002328</v>
      </c>
      <c r="X108" s="23">
        <f t="shared" ca="1" si="30"/>
        <v>429.40000000002328</v>
      </c>
      <c r="Y108" s="23">
        <f t="shared" ca="1" si="30"/>
        <v>429.40000000002328</v>
      </c>
      <c r="Z108" s="23">
        <f t="shared" ca="1" si="30"/>
        <v>429.40000000002328</v>
      </c>
      <c r="AA108" s="23">
        <f t="shared" ca="1" si="30"/>
        <v>429.40000000002328</v>
      </c>
      <c r="AB108" s="23">
        <f t="shared" ca="1" si="30"/>
        <v>429.40000000002328</v>
      </c>
      <c r="AC108" s="23">
        <f t="shared" ca="1" si="30"/>
        <v>429.40000000002328</v>
      </c>
      <c r="AD108" s="23">
        <f t="shared" ca="1" si="30"/>
        <v>429.40000000002328</v>
      </c>
      <c r="AE108" s="23">
        <f t="shared" ca="1" si="30"/>
        <v>429.40000000002328</v>
      </c>
      <c r="AF108" s="23">
        <f t="shared" ca="1" si="30"/>
        <v>429.40000000002328</v>
      </c>
      <c r="AG108" s="23"/>
      <c r="AH108" s="23"/>
    </row>
    <row r="109" spans="2:34" s="19" customFormat="1">
      <c r="B109" s="47" t="s">
        <v>107</v>
      </c>
      <c r="C109" s="47" t="s">
        <v>8</v>
      </c>
      <c r="D109" s="23" cm="1">
        <f t="array" aca="1" ref="D109" ca="1">VLOOKUP(C109,INDIRECT("'" &amp; INDIRECT("Admin!I2") &amp; "'!B29:C38"),2,FALSE)</f>
        <v>402483.6</v>
      </c>
      <c r="E109" s="23">
        <f ca="1">E107-E108</f>
        <v>405838.16662263521</v>
      </c>
      <c r="F109" s="23">
        <f t="shared" ref="F109:AF109" ca="1" si="31">F107-F108</f>
        <v>408994.61106297252</v>
      </c>
      <c r="G109" s="23">
        <f t="shared" ca="1" si="31"/>
        <v>411938.21242397581</v>
      </c>
      <c r="H109" s="23">
        <f t="shared" ca="1" si="31"/>
        <v>412819.90811016166</v>
      </c>
      <c r="I109" s="23">
        <f t="shared" ca="1" si="31"/>
        <v>413515.45957707014</v>
      </c>
      <c r="J109" s="23">
        <f t="shared" ca="1" si="31"/>
        <v>414080.98406876193</v>
      </c>
      <c r="K109" s="23">
        <f t="shared" ca="1" si="31"/>
        <v>414544.51665775047</v>
      </c>
      <c r="L109" s="23">
        <f t="shared" ca="1" si="31"/>
        <v>414920.06310354173</v>
      </c>
      <c r="M109" s="23">
        <f t="shared" ca="1" si="31"/>
        <v>415574.0435815659</v>
      </c>
      <c r="N109" s="23">
        <f t="shared" ca="1" si="31"/>
        <v>416141.46689815592</v>
      </c>
      <c r="O109" s="23">
        <f t="shared" ca="1" si="31"/>
        <v>416609.64103553508</v>
      </c>
      <c r="P109" s="23">
        <f t="shared" ca="1" si="31"/>
        <v>416972.22637848597</v>
      </c>
      <c r="Q109" s="23">
        <f t="shared" ca="1" si="31"/>
        <v>417226.05628623953</v>
      </c>
      <c r="R109" s="23">
        <f t="shared" ca="1" si="31"/>
        <v>417493.38191677339</v>
      </c>
      <c r="S109" s="23">
        <f t="shared" ca="1" si="31"/>
        <v>417645.17231973191</v>
      </c>
      <c r="T109" s="23">
        <f t="shared" ca="1" si="31"/>
        <v>417674.36150543176</v>
      </c>
      <c r="U109" s="23">
        <f t="shared" ca="1" si="31"/>
        <v>417577.42027453438</v>
      </c>
      <c r="V109" s="23">
        <f t="shared" ca="1" si="31"/>
        <v>417352.58593410545</v>
      </c>
      <c r="W109" s="23">
        <f t="shared" ca="1" si="31"/>
        <v>417131.16497815202</v>
      </c>
      <c r="X109" s="23">
        <f t="shared" ca="1" si="31"/>
        <v>416773.20386250882</v>
      </c>
      <c r="Y109" s="23">
        <f t="shared" ca="1" si="31"/>
        <v>416267.40716413961</v>
      </c>
      <c r="Z109" s="23">
        <f t="shared" ca="1" si="31"/>
        <v>415608.13381790096</v>
      </c>
      <c r="AA109" s="23">
        <f t="shared" ca="1" si="31"/>
        <v>414792.56670296506</v>
      </c>
      <c r="AB109" s="23">
        <f t="shared" ca="1" si="31"/>
        <v>413885.88870472234</v>
      </c>
      <c r="AC109" s="23">
        <f t="shared" ca="1" si="31"/>
        <v>412812.33509083046</v>
      </c>
      <c r="AD109" s="23">
        <f t="shared" ca="1" si="31"/>
        <v>411559.09496973577</v>
      </c>
      <c r="AE109" s="23">
        <f t="shared" ca="1" si="31"/>
        <v>410119.77098004549</v>
      </c>
      <c r="AF109" s="23">
        <f t="shared" ca="1" si="31"/>
        <v>406301.68549002276</v>
      </c>
      <c r="AG109" s="23"/>
      <c r="AH109" s="23"/>
    </row>
    <row r="110" spans="2:34" s="19" customFormat="1">
      <c r="B110" s="47" t="s">
        <v>108</v>
      </c>
      <c r="C110" s="47" t="s">
        <v>90</v>
      </c>
      <c r="D110" s="23">
        <f ca="1">D107-D111</f>
        <v>46752.700000000012</v>
      </c>
      <c r="E110" s="23">
        <f ca="1">D110</f>
        <v>46752.700000000012</v>
      </c>
      <c r="F110" s="23">
        <f t="shared" ref="F110:AF110" ca="1" si="32">E110</f>
        <v>46752.700000000012</v>
      </c>
      <c r="G110" s="23">
        <f t="shared" ca="1" si="32"/>
        <v>46752.700000000012</v>
      </c>
      <c r="H110" s="23">
        <f t="shared" ca="1" si="32"/>
        <v>46752.700000000012</v>
      </c>
      <c r="I110" s="23">
        <f t="shared" ca="1" si="32"/>
        <v>46752.700000000012</v>
      </c>
      <c r="J110" s="23">
        <f t="shared" ca="1" si="32"/>
        <v>46752.700000000012</v>
      </c>
      <c r="K110" s="23">
        <f t="shared" ca="1" si="32"/>
        <v>46752.700000000012</v>
      </c>
      <c r="L110" s="23">
        <f t="shared" ca="1" si="32"/>
        <v>46752.700000000012</v>
      </c>
      <c r="M110" s="23">
        <f t="shared" ca="1" si="32"/>
        <v>46752.700000000012</v>
      </c>
      <c r="N110" s="23">
        <f t="shared" ca="1" si="32"/>
        <v>46752.700000000012</v>
      </c>
      <c r="O110" s="23">
        <f t="shared" ca="1" si="32"/>
        <v>46752.700000000012</v>
      </c>
      <c r="P110" s="23">
        <f t="shared" ca="1" si="32"/>
        <v>46752.700000000012</v>
      </c>
      <c r="Q110" s="23">
        <f t="shared" ca="1" si="32"/>
        <v>46752.700000000012</v>
      </c>
      <c r="R110" s="23">
        <f t="shared" ca="1" si="32"/>
        <v>46752.700000000012</v>
      </c>
      <c r="S110" s="23">
        <f t="shared" ca="1" si="32"/>
        <v>46752.700000000012</v>
      </c>
      <c r="T110" s="23">
        <f t="shared" ca="1" si="32"/>
        <v>46752.700000000012</v>
      </c>
      <c r="U110" s="23">
        <f t="shared" ca="1" si="32"/>
        <v>46752.700000000012</v>
      </c>
      <c r="V110" s="23">
        <f t="shared" ca="1" si="32"/>
        <v>46752.700000000012</v>
      </c>
      <c r="W110" s="23">
        <f t="shared" ca="1" si="32"/>
        <v>46752.700000000012</v>
      </c>
      <c r="X110" s="23">
        <f t="shared" ca="1" si="32"/>
        <v>46752.700000000012</v>
      </c>
      <c r="Y110" s="23">
        <f t="shared" ca="1" si="32"/>
        <v>46752.700000000012</v>
      </c>
      <c r="Z110" s="23">
        <f t="shared" ca="1" si="32"/>
        <v>46752.700000000012</v>
      </c>
      <c r="AA110" s="23">
        <f t="shared" ca="1" si="32"/>
        <v>46752.700000000012</v>
      </c>
      <c r="AB110" s="23">
        <f t="shared" ca="1" si="32"/>
        <v>46752.700000000012</v>
      </c>
      <c r="AC110" s="23">
        <f t="shared" ca="1" si="32"/>
        <v>46752.700000000012</v>
      </c>
      <c r="AD110" s="23">
        <f t="shared" ca="1" si="32"/>
        <v>46752.700000000012</v>
      </c>
      <c r="AE110" s="23">
        <f t="shared" ca="1" si="32"/>
        <v>46752.700000000012</v>
      </c>
      <c r="AF110" s="23">
        <f t="shared" ca="1" si="32"/>
        <v>46752.700000000012</v>
      </c>
      <c r="AG110" s="23"/>
      <c r="AH110" s="23"/>
    </row>
    <row r="111" spans="2:34" s="19" customFormat="1">
      <c r="B111" s="47" t="s">
        <v>109</v>
      </c>
      <c r="C111" s="47" t="s">
        <v>8</v>
      </c>
      <c r="D111" s="23" cm="1">
        <f t="array" aca="1" ref="D111" ca="1">VLOOKUP(C111,INDIRECT("'" &amp; INDIRECT("Admin!I2") &amp; "'!B41:C50"),2,FALSE)</f>
        <v>356160.3</v>
      </c>
      <c r="E111" s="23">
        <f ca="1">E107-E110</f>
        <v>359514.86662263522</v>
      </c>
      <c r="F111" s="23">
        <f t="shared" ref="F111:AF111" ca="1" si="33">F107-F110</f>
        <v>362671.31106297253</v>
      </c>
      <c r="G111" s="23">
        <f t="shared" ca="1" si="33"/>
        <v>365614.91242397582</v>
      </c>
      <c r="H111" s="23">
        <f t="shared" ca="1" si="33"/>
        <v>366496.60811016167</v>
      </c>
      <c r="I111" s="23">
        <f t="shared" ca="1" si="33"/>
        <v>367192.15957707015</v>
      </c>
      <c r="J111" s="23">
        <f t="shared" ca="1" si="33"/>
        <v>367757.68406876194</v>
      </c>
      <c r="K111" s="23">
        <f t="shared" ca="1" si="33"/>
        <v>368221.21665775048</v>
      </c>
      <c r="L111" s="23">
        <f t="shared" ca="1" si="33"/>
        <v>368596.76310354174</v>
      </c>
      <c r="M111" s="23">
        <f t="shared" ca="1" si="33"/>
        <v>369250.74358156591</v>
      </c>
      <c r="N111" s="23">
        <f t="shared" ca="1" si="33"/>
        <v>369818.16689815593</v>
      </c>
      <c r="O111" s="23">
        <f t="shared" ca="1" si="33"/>
        <v>370286.34103553509</v>
      </c>
      <c r="P111" s="23">
        <f t="shared" ca="1" si="33"/>
        <v>370648.92637848598</v>
      </c>
      <c r="Q111" s="23">
        <f t="shared" ca="1" si="33"/>
        <v>370902.75628623954</v>
      </c>
      <c r="R111" s="23">
        <f t="shared" ca="1" si="33"/>
        <v>371170.0819167734</v>
      </c>
      <c r="S111" s="23">
        <f t="shared" ca="1" si="33"/>
        <v>371321.87231973192</v>
      </c>
      <c r="T111" s="23">
        <f t="shared" ca="1" si="33"/>
        <v>371351.06150543178</v>
      </c>
      <c r="U111" s="23">
        <f t="shared" ca="1" si="33"/>
        <v>371254.12027453439</v>
      </c>
      <c r="V111" s="23">
        <f t="shared" ca="1" si="33"/>
        <v>371029.28593410546</v>
      </c>
      <c r="W111" s="23">
        <f t="shared" ca="1" si="33"/>
        <v>370807.86497815204</v>
      </c>
      <c r="X111" s="23">
        <f t="shared" ca="1" si="33"/>
        <v>370449.90386250883</v>
      </c>
      <c r="Y111" s="23">
        <f t="shared" ca="1" si="33"/>
        <v>369944.10716413963</v>
      </c>
      <c r="Z111" s="23">
        <f t="shared" ca="1" si="33"/>
        <v>369284.83381790097</v>
      </c>
      <c r="AA111" s="23">
        <f t="shared" ca="1" si="33"/>
        <v>368469.26670296508</v>
      </c>
      <c r="AB111" s="23">
        <f t="shared" ca="1" si="33"/>
        <v>367562.58870472235</v>
      </c>
      <c r="AC111" s="23">
        <f t="shared" ca="1" si="33"/>
        <v>366489.03509083047</v>
      </c>
      <c r="AD111" s="23">
        <f t="shared" ca="1" si="33"/>
        <v>365235.79496973578</v>
      </c>
      <c r="AE111" s="23">
        <f t="shared" ca="1" si="33"/>
        <v>363796.4709800455</v>
      </c>
      <c r="AF111" s="23">
        <f t="shared" ca="1" si="33"/>
        <v>359978.38549002277</v>
      </c>
      <c r="AG111" s="23"/>
      <c r="AH111" s="23"/>
    </row>
    <row r="112" spans="2:34" s="19" customFormat="1">
      <c r="B112" s="47" t="s">
        <v>110</v>
      </c>
      <c r="C112" s="47" t="s">
        <v>8</v>
      </c>
      <c r="D112" s="23" cm="1">
        <f t="array" aca="1" ref="D112" ca="1">VLOOKUP(C112,INDIRECT("'" &amp; INDIRECT("Admin!I2") &amp; "'!B53:C62"),2,FALSE)</f>
        <v>6843.0999999999995</v>
      </c>
      <c r="E112" s="23">
        <f t="shared" ref="E112:AF112" ca="1" si="34">$D$91*D123</f>
        <v>6843.1</v>
      </c>
      <c r="F112" s="23">
        <f t="shared" ca="1" si="34"/>
        <v>6841.3354316745153</v>
      </c>
      <c r="G112" s="23">
        <f t="shared" ca="1" si="34"/>
        <v>6839.673030110308</v>
      </c>
      <c r="H112" s="23">
        <f t="shared" ca="1" si="34"/>
        <v>6838.1227068708049</v>
      </c>
      <c r="I112" s="23">
        <f t="shared" ca="1" si="34"/>
        <v>6837.6571169279378</v>
      </c>
      <c r="J112" s="23">
        <f t="shared" ca="1" si="34"/>
        <v>6837.2907023633552</v>
      </c>
      <c r="K112" s="23">
        <f t="shared" ca="1" si="34"/>
        <v>6836.99279974209</v>
      </c>
      <c r="L112" s="23">
        <f t="shared" ca="1" si="34"/>
        <v>6836.7486264486497</v>
      </c>
      <c r="M112" s="23">
        <f t="shared" ca="1" si="34"/>
        <v>6836.5507980078401</v>
      </c>
      <c r="N112" s="23">
        <f t="shared" ca="1" si="34"/>
        <v>6836.2065615908386</v>
      </c>
      <c r="O112" s="23">
        <f t="shared" ca="1" si="34"/>
        <v>6835.9076859085071</v>
      </c>
      <c r="P112" s="23">
        <f t="shared" ca="1" si="34"/>
        <v>6835.6610699387611</v>
      </c>
      <c r="Q112" s="23">
        <f t="shared" ca="1" si="34"/>
        <v>6835.4700564571449</v>
      </c>
      <c r="R112" s="23">
        <f t="shared" ca="1" si="34"/>
        <v>6835.336315061666</v>
      </c>
      <c r="S112" s="23">
        <f t="shared" ca="1" si="34"/>
        <v>6835.1955411668223</v>
      </c>
      <c r="T112" s="23">
        <f t="shared" ca="1" si="34"/>
        <v>6835.1155329167623</v>
      </c>
      <c r="U112" s="23">
        <f t="shared" ca="1" si="34"/>
        <v>6835.1000859044216</v>
      </c>
      <c r="V112" s="23">
        <f t="shared" ca="1" si="34"/>
        <v>6835.1510609666975</v>
      </c>
      <c r="W112" s="23">
        <f t="shared" ca="1" si="34"/>
        <v>6835.2693874761326</v>
      </c>
      <c r="X112" s="23">
        <f t="shared" ca="1" si="34"/>
        <v>6835.3859967018288</v>
      </c>
      <c r="Y112" s="23">
        <f t="shared" ca="1" si="34"/>
        <v>6835.5744267548789</v>
      </c>
      <c r="Z112" s="23">
        <f t="shared" ca="1" si="34"/>
        <v>6835.8407046602961</v>
      </c>
      <c r="AA112" s="23">
        <f t="shared" ca="1" si="34"/>
        <v>6836.1878047297678</v>
      </c>
      <c r="AB112" s="23">
        <f t="shared" ca="1" si="34"/>
        <v>6836.6172122789658</v>
      </c>
      <c r="AC112" s="23">
        <f t="shared" ca="1" si="34"/>
        <v>6837.0946415473327</v>
      </c>
      <c r="AD112" s="23">
        <f t="shared" ca="1" si="34"/>
        <v>6837.6599064606098</v>
      </c>
      <c r="AE112" s="23">
        <f t="shared" ca="1" si="34"/>
        <v>6838.3197920419398</v>
      </c>
      <c r="AF112" s="23">
        <f t="shared" ca="1" si="34"/>
        <v>6839.0776713101432</v>
      </c>
      <c r="AG112" s="23"/>
      <c r="AH112" s="23"/>
    </row>
    <row r="113" spans="1:34" s="19" customFormat="1">
      <c r="B113" s="47" t="s">
        <v>111</v>
      </c>
      <c r="C113" s="47" t="s">
        <v>90</v>
      </c>
      <c r="D113" s="23">
        <f t="shared" ref="D113:AF113" ca="1" si="35">(1-$D$90)*(D111-D112)</f>
        <v>227056.18000000002</v>
      </c>
      <c r="E113" s="23">
        <f ca="1">(1-$D$90)*(E111-E112)</f>
        <v>229236.64830471293</v>
      </c>
      <c r="F113" s="23">
        <f ca="1">(1-$D$90)*(F111-F112)</f>
        <v>231289.48416034374</v>
      </c>
      <c r="G113" s="23">
        <f t="shared" ca="1" si="35"/>
        <v>233203.90560601259</v>
      </c>
      <c r="H113" s="23">
        <f t="shared" ca="1" si="35"/>
        <v>233778.0155121391</v>
      </c>
      <c r="I113" s="23">
        <f t="shared" ca="1" si="35"/>
        <v>234230.42659909243</v>
      </c>
      <c r="J113" s="23">
        <f t="shared" ca="1" si="35"/>
        <v>234598.25568815909</v>
      </c>
      <c r="K113" s="23">
        <f t="shared" ca="1" si="35"/>
        <v>234899.74550770546</v>
      </c>
      <c r="L113" s="23">
        <f t="shared" ca="1" si="35"/>
        <v>235144.00941011054</v>
      </c>
      <c r="M113" s="23">
        <f t="shared" ca="1" si="35"/>
        <v>235569.22530931272</v>
      </c>
      <c r="N113" s="23">
        <f t="shared" ca="1" si="35"/>
        <v>235938.27421876733</v>
      </c>
      <c r="O113" s="23">
        <f t="shared" ca="1" si="35"/>
        <v>236242.7816772573</v>
      </c>
      <c r="P113" s="23">
        <f t="shared" ca="1" si="35"/>
        <v>236478.6224505557</v>
      </c>
      <c r="Q113" s="23">
        <f t="shared" ca="1" si="35"/>
        <v>236643.73604935856</v>
      </c>
      <c r="R113" s="23">
        <f t="shared" ca="1" si="35"/>
        <v>236817.58464111263</v>
      </c>
      <c r="S113" s="23">
        <f t="shared" ca="1" si="35"/>
        <v>236916.33990606733</v>
      </c>
      <c r="T113" s="23">
        <f t="shared" ca="1" si="35"/>
        <v>236935.36488213477</v>
      </c>
      <c r="U113" s="23">
        <f t="shared" ca="1" si="35"/>
        <v>236872.3631226095</v>
      </c>
      <c r="V113" s="23">
        <f t="shared" ca="1" si="35"/>
        <v>236726.18766754019</v>
      </c>
      <c r="W113" s="23">
        <f t="shared" ca="1" si="35"/>
        <v>236582.18713393933</v>
      </c>
      <c r="X113" s="23">
        <f t="shared" ca="1" si="35"/>
        <v>236349.43661277456</v>
      </c>
      <c r="Y113" s="23">
        <f t="shared" ca="1" si="35"/>
        <v>236020.54627930009</v>
      </c>
      <c r="Z113" s="23">
        <f t="shared" ca="1" si="35"/>
        <v>235591.84552360646</v>
      </c>
      <c r="AA113" s="23">
        <f t="shared" ca="1" si="35"/>
        <v>235061.50128385294</v>
      </c>
      <c r="AB113" s="23">
        <f t="shared" ca="1" si="35"/>
        <v>234471.88147008824</v>
      </c>
      <c r="AC113" s="23">
        <f t="shared" ca="1" si="35"/>
        <v>233773.76129203403</v>
      </c>
      <c r="AD113" s="23">
        <f t="shared" ca="1" si="35"/>
        <v>232958.78779112888</v>
      </c>
      <c r="AE113" s="23">
        <f t="shared" ca="1" si="35"/>
        <v>232022.79827220232</v>
      </c>
      <c r="AF113" s="23">
        <f t="shared" ca="1" si="35"/>
        <v>229540.55008216322</v>
      </c>
      <c r="AG113" s="23"/>
      <c r="AH113" s="23"/>
    </row>
    <row r="114" spans="1:34" s="19" customFormat="1">
      <c r="B114" s="47" t="s">
        <v>112</v>
      </c>
      <c r="C114" s="47" t="s">
        <v>90</v>
      </c>
      <c r="D114" s="23">
        <f ca="1">D111</f>
        <v>356160.3</v>
      </c>
      <c r="E114" s="23">
        <f t="shared" ref="E114:AF114" ca="1" si="36">E111</f>
        <v>359514.86662263522</v>
      </c>
      <c r="F114" s="23">
        <f t="shared" ca="1" si="36"/>
        <v>362671.31106297253</v>
      </c>
      <c r="G114" s="23">
        <f t="shared" ca="1" si="36"/>
        <v>365614.91242397582</v>
      </c>
      <c r="H114" s="23">
        <f ca="1">H111</f>
        <v>366496.60811016167</v>
      </c>
      <c r="I114" s="23">
        <f t="shared" ca="1" si="36"/>
        <v>367192.15957707015</v>
      </c>
      <c r="J114" s="23">
        <f t="shared" ca="1" si="36"/>
        <v>367757.68406876194</v>
      </c>
      <c r="K114" s="23">
        <f t="shared" ca="1" si="36"/>
        <v>368221.21665775048</v>
      </c>
      <c r="L114" s="23">
        <f t="shared" ca="1" si="36"/>
        <v>368596.76310354174</v>
      </c>
      <c r="M114" s="23">
        <f t="shared" ca="1" si="36"/>
        <v>369250.74358156591</v>
      </c>
      <c r="N114" s="23">
        <f t="shared" ca="1" si="36"/>
        <v>369818.16689815593</v>
      </c>
      <c r="O114" s="23">
        <f t="shared" ca="1" si="36"/>
        <v>370286.34103553509</v>
      </c>
      <c r="P114" s="23">
        <f t="shared" ca="1" si="36"/>
        <v>370648.92637848598</v>
      </c>
      <c r="Q114" s="23">
        <f t="shared" ca="1" si="36"/>
        <v>370902.75628623954</v>
      </c>
      <c r="R114" s="23">
        <f t="shared" ca="1" si="36"/>
        <v>371170.0819167734</v>
      </c>
      <c r="S114" s="23">
        <f t="shared" ca="1" si="36"/>
        <v>371321.87231973192</v>
      </c>
      <c r="T114" s="23">
        <f t="shared" ca="1" si="36"/>
        <v>371351.06150543178</v>
      </c>
      <c r="U114" s="23">
        <f t="shared" ca="1" si="36"/>
        <v>371254.12027453439</v>
      </c>
      <c r="V114" s="23">
        <f t="shared" ca="1" si="36"/>
        <v>371029.28593410546</v>
      </c>
      <c r="W114" s="23">
        <f t="shared" ca="1" si="36"/>
        <v>370807.86497815204</v>
      </c>
      <c r="X114" s="23">
        <f t="shared" ca="1" si="36"/>
        <v>370449.90386250883</v>
      </c>
      <c r="Y114" s="23">
        <f t="shared" ca="1" si="36"/>
        <v>369944.10716413963</v>
      </c>
      <c r="Z114" s="23">
        <f t="shared" ca="1" si="36"/>
        <v>369284.83381790097</v>
      </c>
      <c r="AA114" s="23">
        <f t="shared" ca="1" si="36"/>
        <v>368469.26670296508</v>
      </c>
      <c r="AB114" s="23">
        <f t="shared" ca="1" si="36"/>
        <v>367562.58870472235</v>
      </c>
      <c r="AC114" s="23">
        <f t="shared" ca="1" si="36"/>
        <v>366489.03509083047</v>
      </c>
      <c r="AD114" s="23">
        <f t="shared" ca="1" si="36"/>
        <v>365235.79496973578</v>
      </c>
      <c r="AE114" s="23">
        <f t="shared" ca="1" si="36"/>
        <v>363796.4709800455</v>
      </c>
      <c r="AF114" s="23">
        <f t="shared" ca="1" si="36"/>
        <v>359978.38549002277</v>
      </c>
      <c r="AG114" s="23"/>
      <c r="AH114" s="23"/>
    </row>
    <row r="115" spans="1:34" s="19" customFormat="1">
      <c r="A115" s="25"/>
      <c r="B115" s="47" t="s">
        <v>113</v>
      </c>
      <c r="C115" s="47" t="s">
        <v>90</v>
      </c>
      <c r="D115" s="24">
        <f t="shared" ref="D115:AF115" ca="1" si="37">D117-D119</f>
        <v>252789.90000000002</v>
      </c>
      <c r="E115" s="24">
        <f t="shared" ca="1" si="37"/>
        <v>254951.54828619247</v>
      </c>
      <c r="F115" s="24">
        <f t="shared" ca="1" si="37"/>
        <v>256987.29324080006</v>
      </c>
      <c r="G115" s="24">
        <f t="shared" ca="1" si="37"/>
        <v>258885.78213384349</v>
      </c>
      <c r="H115" s="24">
        <f t="shared" ca="1" si="37"/>
        <v>259455.48810381442</v>
      </c>
      <c r="I115" s="24">
        <f t="shared" ca="1" si="37"/>
        <v>259904.15991695641</v>
      </c>
      <c r="J115" s="24">
        <f t="shared" ca="1" si="37"/>
        <v>260268.94450703636</v>
      </c>
      <c r="K115" s="24">
        <f t="shared" ca="1" si="37"/>
        <v>260567.93805034648</v>
      </c>
      <c r="L115" s="24">
        <f t="shared" ca="1" si="37"/>
        <v>260810.18049711367</v>
      </c>
      <c r="M115" s="24">
        <f t="shared" ca="1" si="37"/>
        <v>261231.79663037675</v>
      </c>
      <c r="N115" s="24">
        <f t="shared" ca="1" si="37"/>
        <v>261597.78262557593</v>
      </c>
      <c r="O115" s="24">
        <f t="shared" ca="1" si="37"/>
        <v>261899.76810806958</v>
      </c>
      <c r="P115" s="24">
        <f t="shared" ca="1" si="37"/>
        <v>262133.6609959302</v>
      </c>
      <c r="Q115" s="24">
        <f t="shared" ca="1" si="37"/>
        <v>262297.41739558638</v>
      </c>
      <c r="R115" s="24">
        <f t="shared" ca="1" si="37"/>
        <v>262469.81302833906</v>
      </c>
      <c r="S115" s="24">
        <f t="shared" ca="1" si="37"/>
        <v>262567.76597928291</v>
      </c>
      <c r="T115" s="24">
        <f t="shared" ca="1" si="37"/>
        <v>262586.65519907698</v>
      </c>
      <c r="U115" s="24">
        <f t="shared" ca="1" si="37"/>
        <v>262524.20271231304</v>
      </c>
      <c r="V115" s="24">
        <f t="shared" ca="1" si="37"/>
        <v>262379.27079692716</v>
      </c>
      <c r="W115" s="24">
        <f t="shared" ca="1" si="37"/>
        <v>262236.47108000086</v>
      </c>
      <c r="X115" s="24">
        <f t="shared" ca="1" si="37"/>
        <v>262005.68800347875</v>
      </c>
      <c r="Y115" s="24">
        <f t="shared" ca="1" si="37"/>
        <v>261679.56937462918</v>
      </c>
      <c r="Z115" s="24">
        <f t="shared" ca="1" si="37"/>
        <v>261254.47412197248</v>
      </c>
      <c r="AA115" s="24">
        <f t="shared" ca="1" si="37"/>
        <v>260728.5839474622</v>
      </c>
      <c r="AB115" s="24">
        <f t="shared" ca="1" si="37"/>
        <v>260143.90054781613</v>
      </c>
      <c r="AC115" s="24">
        <f t="shared" ca="1" si="37"/>
        <v>259451.63619324224</v>
      </c>
      <c r="AD115" s="24">
        <f t="shared" ca="1" si="37"/>
        <v>258643.49586284297</v>
      </c>
      <c r="AE115" s="24">
        <f t="shared" ca="1" si="37"/>
        <v>257715.350377603</v>
      </c>
      <c r="AF115" s="24">
        <f t="shared" ca="1" si="37"/>
        <v>255254.25741351233</v>
      </c>
      <c r="AG115" s="24"/>
      <c r="AH115" s="24"/>
    </row>
    <row r="116" spans="1:34" s="19" customFormat="1">
      <c r="A116" s="25"/>
      <c r="B116" s="47" t="s">
        <v>114</v>
      </c>
      <c r="C116" s="47" t="s">
        <v>90</v>
      </c>
      <c r="D116" s="24">
        <f ca="1">D107-D119-D120</f>
        <v>73440.299999999988</v>
      </c>
      <c r="E116" s="24">
        <f ca="1">E107-E119-E120</f>
        <v>75623.680335200217</v>
      </c>
      <c r="F116" s="24">
        <f ca="1">F107-F119-F120</f>
        <v>77678.039687126264</v>
      </c>
      <c r="G116" s="24">
        <f t="shared" ref="G116:AF116" ca="1" si="38">G107-G119-G120</f>
        <v>79593.833355142386</v>
      </c>
      <c r="H116" s="24">
        <f t="shared" ca="1" si="38"/>
        <v>80166.371341866878</v>
      </c>
      <c r="I116" s="24">
        <f t="shared" ca="1" si="38"/>
        <v>80617.79789317114</v>
      </c>
      <c r="J116" s="24">
        <f t="shared" ca="1" si="38"/>
        <v>80984.668367007311</v>
      </c>
      <c r="K116" s="24">
        <f t="shared" ca="1" si="38"/>
        <v>81285.24513360468</v>
      </c>
      <c r="L116" s="24">
        <f t="shared" ca="1" si="38"/>
        <v>81528.651721932692</v>
      </c>
      <c r="M116" s="24">
        <f t="shared" ca="1" si="38"/>
        <v>81951.758996562246</v>
      </c>
      <c r="N116" s="24">
        <f t="shared" ca="1" si="38"/>
        <v>82318.655184326839</v>
      </c>
      <c r="O116" s="24">
        <f t="shared" ca="1" si="38"/>
        <v>82621.154513706104</v>
      </c>
      <c r="P116" s="24">
        <f t="shared" ca="1" si="38"/>
        <v>82855.168246688379</v>
      </c>
      <c r="Q116" s="24">
        <f t="shared" ca="1" si="38"/>
        <v>83018.654066846007</v>
      </c>
      <c r="R116" s="24">
        <f t="shared" ca="1" si="38"/>
        <v>83188.511544904817</v>
      </c>
      <c r="S116" s="24">
        <f t="shared" ca="1" si="38"/>
        <v>83283.508283091855</v>
      </c>
      <c r="T116" s="24">
        <f t="shared" ca="1" si="38"/>
        <v>83299.20672511973</v>
      </c>
      <c r="U116" s="24">
        <f t="shared" ca="1" si="38"/>
        <v>83233.390545443544</v>
      </c>
      <c r="V116" s="24">
        <f t="shared" ca="1" si="38"/>
        <v>83084.952809957467</v>
      </c>
      <c r="W116" s="24">
        <f t="shared" ca="1" si="38"/>
        <v>82937.249800479825</v>
      </c>
      <c r="X116" s="24">
        <f t="shared" ca="1" si="38"/>
        <v>82701.409330665338</v>
      </c>
      <c r="Y116" s="24">
        <f t="shared" ca="1" si="38"/>
        <v>82370.280855713732</v>
      </c>
      <c r="Z116" s="24">
        <f t="shared" ca="1" si="38"/>
        <v>81940.29339101896</v>
      </c>
      <c r="AA116" s="24">
        <f t="shared" ca="1" si="38"/>
        <v>81409.663638926722</v>
      </c>
      <c r="AB116" s="24">
        <f t="shared" ca="1" si="38"/>
        <v>80819.662590869091</v>
      </c>
      <c r="AC116" s="24">
        <f t="shared" ca="1" si="38"/>
        <v>80122.275575194595</v>
      </c>
      <c r="AD116" s="24">
        <f t="shared" ca="1" si="38"/>
        <v>79309.413440250588</v>
      </c>
      <c r="AE116" s="24">
        <f t="shared" ca="1" si="38"/>
        <v>78377.036814234365</v>
      </c>
      <c r="AF116" s="24">
        <f t="shared" ca="1" si="38"/>
        <v>75908.668407117162</v>
      </c>
      <c r="AG116" s="24"/>
      <c r="AH116" s="24"/>
    </row>
    <row r="117" spans="1:34" s="19" customFormat="1">
      <c r="A117" s="25"/>
      <c r="B117" s="47" t="s">
        <v>115</v>
      </c>
      <c r="C117" s="47" t="s">
        <v>90</v>
      </c>
      <c r="D117" s="24">
        <f ca="1">D107-D112</f>
        <v>396069.9</v>
      </c>
      <c r="E117" s="24">
        <f t="shared" ref="E117:AF117" ca="1" si="39">E107-E112</f>
        <v>399424.46662263526</v>
      </c>
      <c r="F117" s="24">
        <f t="shared" ca="1" si="39"/>
        <v>402582.67563129804</v>
      </c>
      <c r="G117" s="24">
        <f t="shared" ca="1" si="39"/>
        <v>405527.93939386553</v>
      </c>
      <c r="H117" s="24">
        <f t="shared" ca="1" si="39"/>
        <v>406411.1854032909</v>
      </c>
      <c r="I117" s="24">
        <f t="shared" ca="1" si="39"/>
        <v>407107.2024601422</v>
      </c>
      <c r="J117" s="24">
        <f t="shared" ca="1" si="39"/>
        <v>407673.09336639859</v>
      </c>
      <c r="K117" s="24">
        <f t="shared" ca="1" si="39"/>
        <v>408136.92385800841</v>
      </c>
      <c r="L117" s="24">
        <f t="shared" ca="1" si="39"/>
        <v>408512.71447709313</v>
      </c>
      <c r="M117" s="24">
        <f t="shared" ca="1" si="39"/>
        <v>409166.89278355811</v>
      </c>
      <c r="N117" s="24">
        <f t="shared" ca="1" si="39"/>
        <v>409734.66033656511</v>
      </c>
      <c r="O117" s="24">
        <f t="shared" ca="1" si="39"/>
        <v>410203.13334962662</v>
      </c>
      <c r="P117" s="24">
        <f ca="1">P107-P112</f>
        <v>410565.96530854725</v>
      </c>
      <c r="Q117" s="24">
        <f t="shared" ca="1" si="39"/>
        <v>410819.9862297824</v>
      </c>
      <c r="R117" s="24">
        <f t="shared" ca="1" si="39"/>
        <v>411087.44560171175</v>
      </c>
      <c r="S117" s="24">
        <f t="shared" ca="1" si="39"/>
        <v>411239.37677856511</v>
      </c>
      <c r="T117" s="24">
        <f t="shared" ca="1" si="39"/>
        <v>411268.64597251505</v>
      </c>
      <c r="U117" s="24">
        <f t="shared" ca="1" si="39"/>
        <v>411171.72018862999</v>
      </c>
      <c r="V117" s="24">
        <f t="shared" ca="1" si="39"/>
        <v>410946.83487313875</v>
      </c>
      <c r="W117" s="24">
        <f t="shared" ca="1" si="39"/>
        <v>410725.2955906759</v>
      </c>
      <c r="X117" s="24">
        <f t="shared" ca="1" si="39"/>
        <v>410367.217865807</v>
      </c>
      <c r="Y117" s="24">
        <f t="shared" ca="1" si="39"/>
        <v>409861.23273738474</v>
      </c>
      <c r="Z117" s="24">
        <f t="shared" ca="1" si="39"/>
        <v>409201.6931132407</v>
      </c>
      <c r="AA117" s="24">
        <f t="shared" ca="1" si="39"/>
        <v>408385.77889823529</v>
      </c>
      <c r="AB117" s="24">
        <f t="shared" ca="1" si="39"/>
        <v>407478.67149244342</v>
      </c>
      <c r="AC117" s="24">
        <f t="shared" ca="1" si="39"/>
        <v>406404.64044928312</v>
      </c>
      <c r="AD117" s="24">
        <f t="shared" ca="1" si="39"/>
        <v>405150.83506327518</v>
      </c>
      <c r="AE117" s="24">
        <f t="shared" ca="1" si="39"/>
        <v>403710.85118800355</v>
      </c>
      <c r="AF117" s="24">
        <f t="shared" ca="1" si="39"/>
        <v>399892.00781871262</v>
      </c>
      <c r="AG117" s="24"/>
      <c r="AH117" s="24"/>
    </row>
    <row r="118" spans="1:34" s="19" customFormat="1">
      <c r="A118" s="25"/>
      <c r="B118" s="47" t="s">
        <v>116</v>
      </c>
      <c r="C118" s="47" t="s">
        <v>90</v>
      </c>
      <c r="D118" s="24">
        <f ca="1">D107-D112</f>
        <v>396069.9</v>
      </c>
      <c r="E118" s="24">
        <f t="shared" ref="E118:AF118" ca="1" si="40">E107-E112</f>
        <v>399424.46662263526</v>
      </c>
      <c r="F118" s="24">
        <f ca="1">F107-F112</f>
        <v>402582.67563129804</v>
      </c>
      <c r="G118" s="24">
        <f t="shared" ca="1" si="40"/>
        <v>405527.93939386553</v>
      </c>
      <c r="H118" s="24">
        <f t="shared" ca="1" si="40"/>
        <v>406411.1854032909</v>
      </c>
      <c r="I118" s="24">
        <f t="shared" ca="1" si="40"/>
        <v>407107.2024601422</v>
      </c>
      <c r="J118" s="24">
        <f t="shared" ca="1" si="40"/>
        <v>407673.09336639859</v>
      </c>
      <c r="K118" s="24">
        <f t="shared" ca="1" si="40"/>
        <v>408136.92385800841</v>
      </c>
      <c r="L118" s="24">
        <f t="shared" ca="1" si="40"/>
        <v>408512.71447709313</v>
      </c>
      <c r="M118" s="24">
        <f t="shared" ca="1" si="40"/>
        <v>409166.89278355811</v>
      </c>
      <c r="N118" s="24">
        <f t="shared" ca="1" si="40"/>
        <v>409734.66033656511</v>
      </c>
      <c r="O118" s="24">
        <f t="shared" ca="1" si="40"/>
        <v>410203.13334962662</v>
      </c>
      <c r="P118" s="24">
        <f t="shared" ca="1" si="40"/>
        <v>410565.96530854725</v>
      </c>
      <c r="Q118" s="24">
        <f t="shared" ca="1" si="40"/>
        <v>410819.9862297824</v>
      </c>
      <c r="R118" s="24">
        <f t="shared" ca="1" si="40"/>
        <v>411087.44560171175</v>
      </c>
      <c r="S118" s="24">
        <f t="shared" ca="1" si="40"/>
        <v>411239.37677856511</v>
      </c>
      <c r="T118" s="24">
        <f t="shared" ca="1" si="40"/>
        <v>411268.64597251505</v>
      </c>
      <c r="U118" s="24">
        <f t="shared" ca="1" si="40"/>
        <v>411171.72018862999</v>
      </c>
      <c r="V118" s="24">
        <f t="shared" ca="1" si="40"/>
        <v>410946.83487313875</v>
      </c>
      <c r="W118" s="24">
        <f t="shared" ca="1" si="40"/>
        <v>410725.2955906759</v>
      </c>
      <c r="X118" s="24">
        <f t="shared" ca="1" si="40"/>
        <v>410367.217865807</v>
      </c>
      <c r="Y118" s="24">
        <f t="shared" ca="1" si="40"/>
        <v>409861.23273738474</v>
      </c>
      <c r="Z118" s="24">
        <f t="shared" ca="1" si="40"/>
        <v>409201.6931132407</v>
      </c>
      <c r="AA118" s="24">
        <f t="shared" ca="1" si="40"/>
        <v>408385.77889823529</v>
      </c>
      <c r="AB118" s="24">
        <f t="shared" ca="1" si="40"/>
        <v>407478.67149244342</v>
      </c>
      <c r="AC118" s="24">
        <f t="shared" ca="1" si="40"/>
        <v>406404.64044928312</v>
      </c>
      <c r="AD118" s="24">
        <f t="shared" ca="1" si="40"/>
        <v>405150.83506327518</v>
      </c>
      <c r="AE118" s="24">
        <f t="shared" ca="1" si="40"/>
        <v>403710.85118800355</v>
      </c>
      <c r="AF118" s="24">
        <f t="shared" ca="1" si="40"/>
        <v>399892.00781871262</v>
      </c>
      <c r="AG118" s="24"/>
      <c r="AH118" s="24"/>
    </row>
    <row r="119" spans="1:34" s="19" customFormat="1">
      <c r="B119" s="47" t="s">
        <v>117</v>
      </c>
      <c r="C119" s="47" t="s">
        <v>8</v>
      </c>
      <c r="D119" s="23" cm="1">
        <f t="array" aca="1" ref="D119" ca="1">VLOOKUP(C119,INDIRECT("'" &amp; INDIRECT("Admin!I2") &amp; "'!B221:C230"),2,FALSE)</f>
        <v>143280</v>
      </c>
      <c r="E119" s="23">
        <f t="shared" ref="E119:AF119" ca="1" si="41">IF(E107&gt;0,E107*$D$119/$D$107,0)</f>
        <v>144472.91833644279</v>
      </c>
      <c r="F119" s="23">
        <f ca="1">IF(F107&gt;0,F107*$D$119/$D$107,0)</f>
        <v>145595.38239049798</v>
      </c>
      <c r="G119" s="23">
        <f t="shared" ca="1" si="41"/>
        <v>146642.15726002204</v>
      </c>
      <c r="H119" s="23">
        <f t="shared" ca="1" si="41"/>
        <v>146955.69729947648</v>
      </c>
      <c r="I119" s="23">
        <f t="shared" ca="1" si="41"/>
        <v>147203.04254318579</v>
      </c>
      <c r="J119" s="23">
        <f t="shared" ca="1" si="41"/>
        <v>147404.14885936223</v>
      </c>
      <c r="K119" s="23">
        <f t="shared" ca="1" si="41"/>
        <v>147568.98580766193</v>
      </c>
      <c r="L119" s="23">
        <f t="shared" ca="1" si="41"/>
        <v>147702.53397997946</v>
      </c>
      <c r="M119" s="23">
        <f t="shared" ca="1" si="41"/>
        <v>147935.09615318137</v>
      </c>
      <c r="N119" s="23">
        <f t="shared" ca="1" si="41"/>
        <v>148136.87771098918</v>
      </c>
      <c r="O119" s="23">
        <f t="shared" ca="1" si="41"/>
        <v>148303.36524155704</v>
      </c>
      <c r="P119" s="23">
        <f t="shared" ca="1" si="41"/>
        <v>148432.30431261705</v>
      </c>
      <c r="Q119" s="23">
        <f t="shared" ca="1" si="41"/>
        <v>148522.56883419599</v>
      </c>
      <c r="R119" s="23">
        <f t="shared" ca="1" si="41"/>
        <v>148617.63257337266</v>
      </c>
      <c r="S119" s="23">
        <f t="shared" ca="1" si="41"/>
        <v>148671.61079928221</v>
      </c>
      <c r="T119" s="23">
        <f t="shared" ca="1" si="41"/>
        <v>148681.9907734381</v>
      </c>
      <c r="U119" s="23">
        <f t="shared" ca="1" si="41"/>
        <v>148647.51747631695</v>
      </c>
      <c r="V119" s="23">
        <f t="shared" ca="1" si="41"/>
        <v>148567.56407621157</v>
      </c>
      <c r="W119" s="23">
        <f t="shared" ca="1" si="41"/>
        <v>148488.82451067507</v>
      </c>
      <c r="X119" s="23">
        <f t="shared" ca="1" si="41"/>
        <v>148361.52986232826</v>
      </c>
      <c r="Y119" s="23">
        <f t="shared" ca="1" si="41"/>
        <v>148181.66336275556</v>
      </c>
      <c r="Z119" s="23">
        <f t="shared" ca="1" si="41"/>
        <v>147947.21899126822</v>
      </c>
      <c r="AA119" s="23">
        <f t="shared" ca="1" si="41"/>
        <v>147657.19495077309</v>
      </c>
      <c r="AB119" s="23">
        <f t="shared" ca="1" si="41"/>
        <v>147334.77094462729</v>
      </c>
      <c r="AC119" s="23">
        <f t="shared" ca="1" si="41"/>
        <v>146953.00425604088</v>
      </c>
      <c r="AD119" s="23">
        <f t="shared" ca="1" si="41"/>
        <v>146507.33920043221</v>
      </c>
      <c r="AE119" s="23">
        <f t="shared" ca="1" si="41"/>
        <v>145995.50081040055</v>
      </c>
      <c r="AF119" s="23">
        <f t="shared" ca="1" si="41"/>
        <v>144637.75040520029</v>
      </c>
      <c r="AG119" s="23"/>
      <c r="AH119" s="23"/>
    </row>
    <row r="120" spans="1:34" s="19" customFormat="1">
      <c r="B120" s="47" t="s">
        <v>118</v>
      </c>
      <c r="C120" s="47" t="s">
        <v>8</v>
      </c>
      <c r="D120" s="23" cm="1">
        <f t="array" aca="1" ref="D120" ca="1">VLOOKUP(C119,INDIRECT("'" &amp; INDIRECT("Admin!I2") &amp; "'!B233:C242"),2,FALSE)</f>
        <v>186192.7</v>
      </c>
      <c r="E120" s="23">
        <f t="shared" ref="E120:AF120" ca="1" si="42">E106*$D$120/$D$106</f>
        <v>186170.96795099223</v>
      </c>
      <c r="F120" s="23">
        <f t="shared" ca="1" si="42"/>
        <v>186150.58898534827</v>
      </c>
      <c r="G120" s="23">
        <f t="shared" ca="1" si="42"/>
        <v>186131.62180881144</v>
      </c>
      <c r="H120" s="23">
        <f t="shared" ca="1" si="42"/>
        <v>186127.23946881833</v>
      </c>
      <c r="I120" s="23">
        <f t="shared" ca="1" si="42"/>
        <v>186124.01914071321</v>
      </c>
      <c r="J120" s="23">
        <f t="shared" ca="1" si="42"/>
        <v>186121.56684239241</v>
      </c>
      <c r="K120" s="23">
        <f t="shared" ca="1" si="42"/>
        <v>186119.68571648392</v>
      </c>
      <c r="L120" s="23">
        <f t="shared" ca="1" si="42"/>
        <v>186118.2774016296</v>
      </c>
      <c r="M120" s="23">
        <f t="shared" ca="1" si="42"/>
        <v>186116.58843182234</v>
      </c>
      <c r="N120" s="23">
        <f t="shared" ca="1" si="42"/>
        <v>186115.33400283995</v>
      </c>
      <c r="O120" s="23">
        <f t="shared" ca="1" si="42"/>
        <v>186114.52128027193</v>
      </c>
      <c r="P120" s="23">
        <f t="shared" ca="1" si="42"/>
        <v>186114.15381918056</v>
      </c>
      <c r="Q120" s="23">
        <f t="shared" ca="1" si="42"/>
        <v>186114.23338519759</v>
      </c>
      <c r="R120" s="23">
        <f t="shared" ca="1" si="42"/>
        <v>186116.63779849591</v>
      </c>
      <c r="S120" s="23">
        <f t="shared" ca="1" si="42"/>
        <v>186119.45323735787</v>
      </c>
      <c r="T120" s="23">
        <f t="shared" ca="1" si="42"/>
        <v>186122.56400687399</v>
      </c>
      <c r="U120" s="23">
        <f t="shared" ca="1" si="42"/>
        <v>186125.91225277391</v>
      </c>
      <c r="V120" s="23">
        <f t="shared" ca="1" si="42"/>
        <v>186129.46904793647</v>
      </c>
      <c r="W120" s="23">
        <f t="shared" ca="1" si="42"/>
        <v>186134.49066699718</v>
      </c>
      <c r="X120" s="23">
        <f t="shared" ca="1" si="42"/>
        <v>186139.66466951524</v>
      </c>
      <c r="Y120" s="23">
        <f t="shared" ca="1" si="42"/>
        <v>186144.86294567035</v>
      </c>
      <c r="Z120" s="23">
        <f t="shared" ca="1" si="42"/>
        <v>186150.02143561377</v>
      </c>
      <c r="AA120" s="23">
        <f t="shared" ca="1" si="42"/>
        <v>186155.10811326528</v>
      </c>
      <c r="AB120" s="23">
        <f t="shared" ca="1" si="42"/>
        <v>186160.85516922598</v>
      </c>
      <c r="AC120" s="23">
        <f t="shared" ca="1" si="42"/>
        <v>186166.45525959498</v>
      </c>
      <c r="AD120" s="23">
        <f t="shared" ca="1" si="42"/>
        <v>186171.74232905297</v>
      </c>
      <c r="AE120" s="23">
        <f t="shared" ca="1" si="42"/>
        <v>186176.63335541062</v>
      </c>
      <c r="AF120" s="23">
        <f t="shared" ca="1" si="42"/>
        <v>186184.66667770533</v>
      </c>
      <c r="AG120" s="23"/>
      <c r="AH120" s="23"/>
    </row>
    <row r="121" spans="1:34" s="19" customFormat="1">
      <c r="B121" s="47" t="s">
        <v>119</v>
      </c>
      <c r="C121" s="47" t="s">
        <v>8</v>
      </c>
      <c r="D121" s="23" cm="1">
        <f t="array" aca="1" ref="D121" ca="1">VLOOKUP(C121,INDIRECT("'" &amp; INDIRECT("Admin!I2") &amp; "'!B125:C134"),2,FALSE)</f>
        <v>580155.69999999995</v>
      </c>
      <c r="E121" s="23">
        <f ca="1">$D$121+E113-$D$113-E119+$D$119</f>
        <v>581143.24996827007</v>
      </c>
      <c r="F121" s="23">
        <f ca="1">$D$121+F113-$D$113-F119+$D$119</f>
        <v>582073.62176984572</v>
      </c>
      <c r="G121" s="23">
        <f t="shared" ref="G121:AF121" ca="1" si="43">$D$121+G113-$D$113-G119+$D$119</f>
        <v>582941.26834599045</v>
      </c>
      <c r="H121" s="23">
        <f t="shared" ca="1" si="43"/>
        <v>583201.83821266249</v>
      </c>
      <c r="I121" s="23">
        <f t="shared" ca="1" si="43"/>
        <v>583406.90405590658</v>
      </c>
      <c r="J121" s="23">
        <f t="shared" ca="1" si="43"/>
        <v>583573.6268287967</v>
      </c>
      <c r="K121" s="23">
        <f t="shared" ca="1" si="43"/>
        <v>583710.27970004349</v>
      </c>
      <c r="L121" s="23">
        <f t="shared" ca="1" si="43"/>
        <v>583820.99543013098</v>
      </c>
      <c r="M121" s="23">
        <f t="shared" ca="1" si="43"/>
        <v>584013.6491561312</v>
      </c>
      <c r="N121" s="23">
        <f t="shared" ca="1" si="43"/>
        <v>584180.91650777799</v>
      </c>
      <c r="O121" s="23">
        <f t="shared" ca="1" si="43"/>
        <v>584318.93643570016</v>
      </c>
      <c r="P121" s="23">
        <f t="shared" ca="1" si="43"/>
        <v>584425.83813793852</v>
      </c>
      <c r="Q121" s="23">
        <f t="shared" ca="1" si="43"/>
        <v>584500.68721516244</v>
      </c>
      <c r="R121" s="23">
        <f t="shared" ca="1" si="43"/>
        <v>584579.47206773981</v>
      </c>
      <c r="S121" s="23">
        <f t="shared" ca="1" si="43"/>
        <v>584624.24910678505</v>
      </c>
      <c r="T121" s="23">
        <f t="shared" ca="1" si="43"/>
        <v>584632.89410869661</v>
      </c>
      <c r="U121" s="23">
        <f t="shared" ca="1" si="43"/>
        <v>584604.36564629246</v>
      </c>
      <c r="V121" s="23">
        <f t="shared" ca="1" si="43"/>
        <v>584538.14359132852</v>
      </c>
      <c r="W121" s="23">
        <f t="shared" ca="1" si="43"/>
        <v>584472.88262326422</v>
      </c>
      <c r="X121" s="23">
        <f t="shared" ca="1" si="43"/>
        <v>584367.4267504462</v>
      </c>
      <c r="Y121" s="23">
        <f t="shared" ca="1" si="43"/>
        <v>584218.40291654447</v>
      </c>
      <c r="Z121" s="23">
        <f t="shared" ca="1" si="43"/>
        <v>584024.14653233823</v>
      </c>
      <c r="AA121" s="23">
        <f t="shared" ca="1" si="43"/>
        <v>583783.82633307972</v>
      </c>
      <c r="AB121" s="23">
        <f t="shared" ca="1" si="43"/>
        <v>583516.63052546093</v>
      </c>
      <c r="AC121" s="23">
        <f t="shared" ca="1" si="43"/>
        <v>583200.27703599306</v>
      </c>
      <c r="AD121" s="23">
        <f t="shared" ca="1" si="43"/>
        <v>582830.96859069658</v>
      </c>
      <c r="AE121" s="23">
        <f t="shared" ca="1" si="43"/>
        <v>582406.81746180158</v>
      </c>
      <c r="AF121" s="23">
        <f t="shared" ca="1" si="43"/>
        <v>581282.3196769628</v>
      </c>
      <c r="AG121" s="23"/>
      <c r="AH121" s="23"/>
    </row>
    <row r="122" spans="1:34" s="19" customFormat="1">
      <c r="B122" s="47" t="s">
        <v>120</v>
      </c>
      <c r="C122" s="47" t="s">
        <v>8</v>
      </c>
      <c r="D122" s="23" cm="1">
        <f t="array" aca="1" ref="D122" ca="1">VLOOKUP(C122,INDIRECT("'" &amp; INDIRECT("Admin!I2") &amp; "'!B137:C146"),2,FALSE)</f>
        <v>2112066.5</v>
      </c>
      <c r="E122" s="23">
        <f ca="1">$D$122+$D$102*(E121-$D$121)</f>
        <v>2112659.0299809622</v>
      </c>
      <c r="F122" s="23">
        <f ca="1">$D$122+$D$102*(F121-$D$121)</f>
        <v>2113217.2530619074</v>
      </c>
      <c r="G122" s="23">
        <f t="shared" ref="G122:AF122" ca="1" si="44">$D$122+$D$102*(G121-$D$121)</f>
        <v>2113737.8410075945</v>
      </c>
      <c r="H122" s="23">
        <f t="shared" ca="1" si="44"/>
        <v>2113894.1829275973</v>
      </c>
      <c r="I122" s="23">
        <f t="shared" ca="1" si="44"/>
        <v>2114017.2224335438</v>
      </c>
      <c r="J122" s="23">
        <f t="shared" ca="1" si="44"/>
        <v>2114117.2560972781</v>
      </c>
      <c r="K122" s="23">
        <f t="shared" ca="1" si="44"/>
        <v>2114199.2478200262</v>
      </c>
      <c r="L122" s="23">
        <f t="shared" ca="1" si="44"/>
        <v>2114265.6772580785</v>
      </c>
      <c r="M122" s="23">
        <f t="shared" ca="1" si="44"/>
        <v>2114381.2694936786</v>
      </c>
      <c r="N122" s="23">
        <f t="shared" ca="1" si="44"/>
        <v>2114481.6299046669</v>
      </c>
      <c r="O122" s="23">
        <f t="shared" ca="1" si="44"/>
        <v>2114564.4418614199</v>
      </c>
      <c r="P122" s="23">
        <f t="shared" ca="1" si="44"/>
        <v>2114628.5828827634</v>
      </c>
      <c r="Q122" s="23">
        <f t="shared" ca="1" si="44"/>
        <v>2114673.4923290974</v>
      </c>
      <c r="R122" s="23">
        <f t="shared" ca="1" si="44"/>
        <v>2114720.7632406438</v>
      </c>
      <c r="S122" s="23">
        <f t="shared" ca="1" si="44"/>
        <v>2114747.6294640712</v>
      </c>
      <c r="T122" s="23">
        <f t="shared" ca="1" si="44"/>
        <v>2114752.8164652181</v>
      </c>
      <c r="U122" s="23">
        <f t="shared" ca="1" si="44"/>
        <v>2114735.6993877757</v>
      </c>
      <c r="V122" s="23">
        <f t="shared" ca="1" si="44"/>
        <v>2114695.966154797</v>
      </c>
      <c r="W122" s="23">
        <f t="shared" ca="1" si="44"/>
        <v>2114656.8095739586</v>
      </c>
      <c r="X122" s="23">
        <f t="shared" ca="1" si="44"/>
        <v>2114593.5360502675</v>
      </c>
      <c r="Y122" s="23">
        <f t="shared" ca="1" si="44"/>
        <v>2114504.1217499268</v>
      </c>
      <c r="Z122" s="23">
        <f t="shared" ca="1" si="44"/>
        <v>2114387.5679194028</v>
      </c>
      <c r="AA122" s="23">
        <f t="shared" ca="1" si="44"/>
        <v>2114243.3757998478</v>
      </c>
      <c r="AB122" s="23">
        <f t="shared" ca="1" si="44"/>
        <v>2114083.0583152766</v>
      </c>
      <c r="AC122" s="23">
        <f t="shared" ca="1" si="44"/>
        <v>2113893.2462215959</v>
      </c>
      <c r="AD122" s="23">
        <f t="shared" ca="1" si="44"/>
        <v>2113671.6611544178</v>
      </c>
      <c r="AE122" s="23">
        <f t="shared" ca="1" si="44"/>
        <v>2113417.1704770811</v>
      </c>
      <c r="AF122" s="23">
        <f t="shared" ca="1" si="44"/>
        <v>2112742.4718061779</v>
      </c>
      <c r="AG122" s="23"/>
      <c r="AH122" s="23"/>
    </row>
    <row r="123" spans="1:34" s="19" customFormat="1">
      <c r="B123" s="47" t="s">
        <v>121</v>
      </c>
      <c r="C123" s="47" t="s">
        <v>90</v>
      </c>
      <c r="D123" s="23">
        <f ca="1">D122-D121</f>
        <v>1531910.8</v>
      </c>
      <c r="E123" s="23">
        <f ca="1">$D$123-$D$103*(E121-$D$121)</f>
        <v>1531515.7800126921</v>
      </c>
      <c r="F123" s="23">
        <f ca="1">$D$123-$D$103*(F121-$D$121)</f>
        <v>1531143.6312920616</v>
      </c>
      <c r="G123" s="23">
        <f t="shared" ref="G123:AF123" ca="1" si="45">$D$123-$D$103*(G121-$D$121)</f>
        <v>1530796.5726616038</v>
      </c>
      <c r="H123" s="23">
        <f t="shared" ca="1" si="45"/>
        <v>1530692.3447149349</v>
      </c>
      <c r="I123" s="23">
        <f t="shared" ca="1" si="45"/>
        <v>1530610.3183776373</v>
      </c>
      <c r="J123" s="23">
        <f t="shared" ca="1" si="45"/>
        <v>1530543.6292684814</v>
      </c>
      <c r="K123" s="23">
        <f t="shared" ca="1" si="45"/>
        <v>1530488.9681199826</v>
      </c>
      <c r="L123" s="23">
        <f t="shared" ca="1" si="45"/>
        <v>1530444.6818279477</v>
      </c>
      <c r="M123" s="23">
        <f t="shared" ca="1" si="45"/>
        <v>1530367.6203375475</v>
      </c>
      <c r="N123" s="23">
        <f t="shared" ca="1" si="45"/>
        <v>1530300.7133968889</v>
      </c>
      <c r="O123" s="23">
        <f t="shared" ca="1" si="45"/>
        <v>1530245.50542572</v>
      </c>
      <c r="P123" s="23">
        <f t="shared" ca="1" si="45"/>
        <v>1530202.7447448247</v>
      </c>
      <c r="Q123" s="23">
        <f t="shared" ca="1" si="45"/>
        <v>1530172.8051139351</v>
      </c>
      <c r="R123" s="23">
        <f t="shared" ca="1" si="45"/>
        <v>1530141.2911729042</v>
      </c>
      <c r="S123" s="23">
        <f t="shared" ca="1" si="45"/>
        <v>1530123.380357286</v>
      </c>
      <c r="T123" s="23">
        <f t="shared" ca="1" si="45"/>
        <v>1530119.9223565215</v>
      </c>
      <c r="U123" s="23">
        <f t="shared" ca="1" si="45"/>
        <v>1530131.333741483</v>
      </c>
      <c r="V123" s="23">
        <f t="shared" ca="1" si="45"/>
        <v>1530157.8225634687</v>
      </c>
      <c r="W123" s="23">
        <f t="shared" ca="1" si="45"/>
        <v>1530183.9269506943</v>
      </c>
      <c r="X123" s="23">
        <f t="shared" ca="1" si="45"/>
        <v>1530226.1092998215</v>
      </c>
      <c r="Y123" s="23">
        <f t="shared" ca="1" si="45"/>
        <v>1530285.7188333822</v>
      </c>
      <c r="Z123" s="23">
        <f t="shared" ca="1" si="45"/>
        <v>1530363.4213870647</v>
      </c>
      <c r="AA123" s="23">
        <f t="shared" ca="1" si="45"/>
        <v>1530459.549466768</v>
      </c>
      <c r="AB123" s="23">
        <f t="shared" ca="1" si="45"/>
        <v>1530566.4277898157</v>
      </c>
      <c r="AC123" s="23">
        <f t="shared" ca="1" si="45"/>
        <v>1530692.9691856029</v>
      </c>
      <c r="AD123" s="23">
        <f t="shared" ca="1" si="45"/>
        <v>1530840.6925637214</v>
      </c>
      <c r="AE123" s="23">
        <f t="shared" ca="1" si="45"/>
        <v>1531010.3530152794</v>
      </c>
      <c r="AF123" s="23">
        <f t="shared" ca="1" si="45"/>
        <v>1531460.152129215</v>
      </c>
      <c r="AG123" s="23"/>
      <c r="AH123" s="23"/>
    </row>
    <row r="124" spans="1:34" s="19" customFormat="1">
      <c r="B124" s="47" t="s">
        <v>122</v>
      </c>
      <c r="C124" s="47" t="s">
        <v>8</v>
      </c>
      <c r="D124" s="23" cm="1">
        <f t="array" aca="1" ref="D124" ca="1">VLOOKUP(C124,INDIRECT("'" &amp; INDIRECT("Admin!I2") &amp; "'!B161:C170"),2,FALSE)</f>
        <v>1670.9</v>
      </c>
      <c r="E124" s="23">
        <f t="shared" ref="E124:AF124" ca="1" si="46">$D99*E$122</f>
        <v>1671.3687628657478</v>
      </c>
      <c r="F124" s="23">
        <f t="shared" ca="1" si="46"/>
        <v>1671.8103848250712</v>
      </c>
      <c r="G124" s="23">
        <f t="shared" ca="1" si="46"/>
        <v>1672.2222328414327</v>
      </c>
      <c r="H124" s="23">
        <f t="shared" ca="1" si="46"/>
        <v>1672.345918205569</v>
      </c>
      <c r="I124" s="23">
        <f t="shared" ca="1" si="46"/>
        <v>1672.4432573331419</v>
      </c>
      <c r="J124" s="23">
        <f t="shared" ca="1" si="46"/>
        <v>1672.5223960575779</v>
      </c>
      <c r="K124" s="23">
        <f t="shared" ca="1" si="46"/>
        <v>1672.5872614249988</v>
      </c>
      <c r="L124" s="23">
        <f t="shared" ca="1" si="46"/>
        <v>1672.6398151433791</v>
      </c>
      <c r="M124" s="23">
        <f t="shared" ca="1" si="46"/>
        <v>1672.7312625795578</v>
      </c>
      <c r="N124" s="23">
        <f t="shared" ca="1" si="46"/>
        <v>1672.8106598005832</v>
      </c>
      <c r="O124" s="23">
        <f t="shared" ca="1" si="46"/>
        <v>1672.8761740722873</v>
      </c>
      <c r="P124" s="23">
        <f t="shared" ca="1" si="46"/>
        <v>1672.9269173763275</v>
      </c>
      <c r="Q124" s="23">
        <f t="shared" ca="1" si="46"/>
        <v>1672.9624461789858</v>
      </c>
      <c r="R124" s="23">
        <f t="shared" ca="1" si="46"/>
        <v>1672.9998431861836</v>
      </c>
      <c r="S124" s="23">
        <f t="shared" ca="1" si="46"/>
        <v>1673.0210976176729</v>
      </c>
      <c r="T124" s="23">
        <f t="shared" ca="1" si="46"/>
        <v>1673.0252011628106</v>
      </c>
      <c r="U124" s="23">
        <f t="shared" ca="1" si="46"/>
        <v>1673.0116594846966</v>
      </c>
      <c r="V124" s="23">
        <f t="shared" ca="1" si="46"/>
        <v>1672.9802256927283</v>
      </c>
      <c r="W124" s="23">
        <f t="shared" ca="1" si="46"/>
        <v>1672.9492481023337</v>
      </c>
      <c r="X124" s="23">
        <f t="shared" ca="1" si="46"/>
        <v>1672.8991910938373</v>
      </c>
      <c r="Y124" s="23">
        <f t="shared" ca="1" si="46"/>
        <v>1672.8284535699765</v>
      </c>
      <c r="Z124" s="23">
        <f t="shared" ca="1" si="46"/>
        <v>1672.7362453959336</v>
      </c>
      <c r="AA124" s="23">
        <f t="shared" ca="1" si="46"/>
        <v>1672.622171993148</v>
      </c>
      <c r="AB124" s="23">
        <f t="shared" ca="1" si="46"/>
        <v>1672.4953414766987</v>
      </c>
      <c r="AC124" s="23">
        <f t="shared" ca="1" si="46"/>
        <v>1672.3451771578523</v>
      </c>
      <c r="AD124" s="23">
        <f t="shared" ca="1" si="46"/>
        <v>1672.1698765748697</v>
      </c>
      <c r="AE124" s="23">
        <f t="shared" ca="1" si="46"/>
        <v>1671.9685436751897</v>
      </c>
      <c r="AF124" s="23">
        <f t="shared" ca="1" si="46"/>
        <v>1671.4347754395719</v>
      </c>
      <c r="AG124" s="23"/>
      <c r="AH124" s="23"/>
    </row>
    <row r="125" spans="1:34" s="19" customFormat="1">
      <c r="B125" s="47" t="s">
        <v>123</v>
      </c>
      <c r="C125" s="47" t="s">
        <v>8</v>
      </c>
      <c r="D125" s="23" cm="1">
        <f t="array" aca="1" ref="D125" ca="1">VLOOKUP(C125,INDIRECT("'" &amp; INDIRECT("Admin!I2") &amp; "'!B173:C182"),2,FALSE)</f>
        <v>9727</v>
      </c>
      <c r="E125" s="23">
        <f t="shared" ref="E125:AF125" ca="1" si="47">$D100*E$122</f>
        <v>9729.728862526259</v>
      </c>
      <c r="F125" s="23">
        <f t="shared" ca="1" si="47"/>
        <v>9732.2997266104885</v>
      </c>
      <c r="G125" s="23">
        <f t="shared" ca="1" si="47"/>
        <v>9734.6972642579531</v>
      </c>
      <c r="H125" s="23">
        <f t="shared" ca="1" si="47"/>
        <v>9735.417287920025</v>
      </c>
      <c r="I125" s="23">
        <f t="shared" ca="1" si="47"/>
        <v>9735.9839392420072</v>
      </c>
      <c r="J125" s="23">
        <f t="shared" ca="1" si="47"/>
        <v>9736.4446384894709</v>
      </c>
      <c r="K125" s="23">
        <f t="shared" ca="1" si="47"/>
        <v>9736.8222466221559</v>
      </c>
      <c r="L125" s="23">
        <f t="shared" ca="1" si="47"/>
        <v>9737.128183553561</v>
      </c>
      <c r="M125" s="23">
        <f t="shared" ca="1" si="47"/>
        <v>9737.6605369030804</v>
      </c>
      <c r="N125" s="23">
        <f t="shared" ca="1" si="47"/>
        <v>9738.1227409661078</v>
      </c>
      <c r="O125" s="23">
        <f t="shared" ca="1" si="47"/>
        <v>9738.5041266390199</v>
      </c>
      <c r="P125" s="23">
        <f t="shared" ca="1" si="47"/>
        <v>9738.7995243997466</v>
      </c>
      <c r="Q125" s="23">
        <f t="shared" ca="1" si="47"/>
        <v>9739.0063522550681</v>
      </c>
      <c r="R125" s="23">
        <f t="shared" ca="1" si="47"/>
        <v>9739.2240557017212</v>
      </c>
      <c r="S125" s="23">
        <f t="shared" ca="1" si="47"/>
        <v>9739.3477865384539</v>
      </c>
      <c r="T125" s="23">
        <f t="shared" ca="1" si="47"/>
        <v>9739.3716749719642</v>
      </c>
      <c r="U125" s="23">
        <f t="shared" ca="1" si="47"/>
        <v>9739.2928432626977</v>
      </c>
      <c r="V125" s="23">
        <f t="shared" ca="1" si="47"/>
        <v>9739.1098541583378</v>
      </c>
      <c r="W125" s="23">
        <f t="shared" ca="1" si="47"/>
        <v>9738.9295207920277</v>
      </c>
      <c r="X125" s="23">
        <f t="shared" ca="1" si="47"/>
        <v>9738.6381182415189</v>
      </c>
      <c r="Y125" s="23">
        <f t="shared" ca="1" si="47"/>
        <v>9738.2263258574185</v>
      </c>
      <c r="Z125" s="23">
        <f t="shared" ca="1" si="47"/>
        <v>9737.6895439381442</v>
      </c>
      <c r="AA125" s="23">
        <f t="shared" ca="1" si="47"/>
        <v>9737.0254754786929</v>
      </c>
      <c r="AB125" s="23">
        <f t="shared" ca="1" si="47"/>
        <v>9736.287142584144</v>
      </c>
      <c r="AC125" s="23">
        <f t="shared" ca="1" si="47"/>
        <v>9735.4129739747605</v>
      </c>
      <c r="AD125" s="23">
        <f t="shared" ca="1" si="47"/>
        <v>9734.3924767752433</v>
      </c>
      <c r="AE125" s="23">
        <f t="shared" ca="1" si="47"/>
        <v>9733.2204346930212</v>
      </c>
      <c r="AF125" s="23">
        <f t="shared" ca="1" si="47"/>
        <v>9730.1131490219141</v>
      </c>
      <c r="AG125" s="23"/>
      <c r="AH125" s="23"/>
    </row>
    <row r="126" spans="1:34" s="19" customFormat="1">
      <c r="A126" s="25"/>
      <c r="B126" s="47" t="s">
        <v>124</v>
      </c>
      <c r="C126" s="47" t="s">
        <v>90</v>
      </c>
      <c r="D126" s="24">
        <f ca="1">D123-D124-D125</f>
        <v>1520512.9000000001</v>
      </c>
      <c r="E126" s="24">
        <f t="shared" ref="E126:AF126" ca="1" si="48">E123-E124-E125</f>
        <v>1520114.6823873001</v>
      </c>
      <c r="F126" s="24">
        <f ca="1">F123-F124-F125</f>
        <v>1519739.521180626</v>
      </c>
      <c r="G126" s="24">
        <f t="shared" ca="1" si="48"/>
        <v>1519389.6531645043</v>
      </c>
      <c r="H126" s="24">
        <f t="shared" ca="1" si="48"/>
        <v>1519284.5815088092</v>
      </c>
      <c r="I126" s="24">
        <f t="shared" ca="1" si="48"/>
        <v>1519201.891181062</v>
      </c>
      <c r="J126" s="24">
        <f t="shared" ca="1" si="48"/>
        <v>1519134.6622339343</v>
      </c>
      <c r="K126" s="24">
        <f t="shared" ca="1" si="48"/>
        <v>1519079.5586119355</v>
      </c>
      <c r="L126" s="24">
        <f t="shared" ca="1" si="48"/>
        <v>1519034.913829251</v>
      </c>
      <c r="M126" s="24">
        <f t="shared" ca="1" si="48"/>
        <v>1518957.2285380648</v>
      </c>
      <c r="N126" s="24">
        <f t="shared" ca="1" si="48"/>
        <v>1518889.7799961222</v>
      </c>
      <c r="O126" s="24">
        <f t="shared" ca="1" si="48"/>
        <v>1518834.1251250086</v>
      </c>
      <c r="P126" s="24">
        <f t="shared" ca="1" si="48"/>
        <v>1518791.0183030488</v>
      </c>
      <c r="Q126" s="24">
        <f t="shared" ca="1" si="48"/>
        <v>1518760.836315501</v>
      </c>
      <c r="R126" s="24">
        <f t="shared" ca="1" si="48"/>
        <v>1518729.0672740163</v>
      </c>
      <c r="S126" s="24">
        <f t="shared" ca="1" si="48"/>
        <v>1518711.0114731297</v>
      </c>
      <c r="T126" s="24">
        <f t="shared" ca="1" si="48"/>
        <v>1518707.5254803868</v>
      </c>
      <c r="U126" s="24">
        <f t="shared" ca="1" si="48"/>
        <v>1518719.0292387358</v>
      </c>
      <c r="V126" s="24">
        <f t="shared" ca="1" si="48"/>
        <v>1518745.7324836177</v>
      </c>
      <c r="W126" s="24">
        <f t="shared" ca="1" si="48"/>
        <v>1518772.0481817999</v>
      </c>
      <c r="X126" s="24">
        <f t="shared" ca="1" si="48"/>
        <v>1518814.5719904862</v>
      </c>
      <c r="Y126" s="24">
        <f t="shared" ca="1" si="48"/>
        <v>1518874.6640539549</v>
      </c>
      <c r="Z126" s="24">
        <f t="shared" ca="1" si="48"/>
        <v>1518952.9955977309</v>
      </c>
      <c r="AA126" s="24">
        <f t="shared" ca="1" si="48"/>
        <v>1519049.9018192962</v>
      </c>
      <c r="AB126" s="24">
        <f t="shared" ca="1" si="48"/>
        <v>1519157.6453057548</v>
      </c>
      <c r="AC126" s="24">
        <f t="shared" ca="1" si="48"/>
        <v>1519285.2110344702</v>
      </c>
      <c r="AD126" s="24">
        <f t="shared" ca="1" si="48"/>
        <v>1519434.1302103715</v>
      </c>
      <c r="AE126" s="24">
        <f t="shared" ca="1" si="48"/>
        <v>1519605.1640369112</v>
      </c>
      <c r="AF126" s="24">
        <f t="shared" ca="1" si="48"/>
        <v>1520058.6042047534</v>
      </c>
      <c r="AG126" s="24"/>
      <c r="AH126" s="24"/>
    </row>
    <row r="127" spans="1:34">
      <c r="B127" s="49" t="s">
        <v>125</v>
      </c>
      <c r="C127" s="47" t="s">
        <v>90</v>
      </c>
      <c r="D127" s="9">
        <f ca="1">0.2*D121</f>
        <v>116031.14</v>
      </c>
      <c r="E127" s="9">
        <f ca="1">E122*$D$127/$D$122</f>
        <v>116063.69197181302</v>
      </c>
      <c r="F127" s="9">
        <f t="shared" ref="F127:AF127" ca="1" si="49">F122*$D$127/$D$122</f>
        <v>116094.35921664473</v>
      </c>
      <c r="G127" s="9">
        <f t="shared" ca="1" si="49"/>
        <v>116122.95889038056</v>
      </c>
      <c r="H127" s="9">
        <f t="shared" ca="1" si="49"/>
        <v>116131.54788661136</v>
      </c>
      <c r="I127" s="9">
        <f t="shared" ca="1" si="49"/>
        <v>116138.3073395642</v>
      </c>
      <c r="J127" s="9">
        <f t="shared" ca="1" si="49"/>
        <v>116143.80291465213</v>
      </c>
      <c r="K127" s="9">
        <f t="shared" ca="1" si="49"/>
        <v>116148.30731499229</v>
      </c>
      <c r="L127" s="9">
        <f t="shared" ca="1" si="49"/>
        <v>116151.95676609942</v>
      </c>
      <c r="M127" s="9">
        <f t="shared" ca="1" si="49"/>
        <v>116158.30708644768</v>
      </c>
      <c r="N127" s="9">
        <f t="shared" ca="1" si="49"/>
        <v>116163.82061213348</v>
      </c>
      <c r="O127" s="9">
        <f t="shared" ca="1" si="49"/>
        <v>116168.37007387991</v>
      </c>
      <c r="P127" s="9">
        <f t="shared" ca="1" si="49"/>
        <v>116171.89380565031</v>
      </c>
      <c r="Q127" s="9">
        <f t="shared" ca="1" si="49"/>
        <v>116174.3610074429</v>
      </c>
      <c r="R127" s="9">
        <f t="shared" ca="1" si="49"/>
        <v>116176.95794165667</v>
      </c>
      <c r="S127" s="9">
        <f t="shared" ca="1" si="49"/>
        <v>116178.43389827629</v>
      </c>
      <c r="T127" s="9">
        <f t="shared" ca="1" si="49"/>
        <v>116178.71885789109</v>
      </c>
      <c r="U127" s="9">
        <f t="shared" ca="1" si="49"/>
        <v>116177.77849260945</v>
      </c>
      <c r="V127" s="9">
        <f t="shared" ca="1" si="49"/>
        <v>116175.59565777995</v>
      </c>
      <c r="W127" s="9">
        <f t="shared" ca="1" si="49"/>
        <v>116173.44450263727</v>
      </c>
      <c r="X127" s="9">
        <f t="shared" ca="1" si="49"/>
        <v>116169.96842880829</v>
      </c>
      <c r="Y127" s="9">
        <f t="shared" ca="1" si="49"/>
        <v>116165.05625241573</v>
      </c>
      <c r="Z127" s="9">
        <f t="shared" ca="1" si="49"/>
        <v>116158.65310468007</v>
      </c>
      <c r="AA127" s="9">
        <f t="shared" ca="1" si="49"/>
        <v>116150.73158515831</v>
      </c>
      <c r="AB127" s="9">
        <f t="shared" ca="1" si="49"/>
        <v>116141.9241823153</v>
      </c>
      <c r="AC127" s="9">
        <f t="shared" ca="1" si="49"/>
        <v>116131.49642655307</v>
      </c>
      <c r="AD127" s="9">
        <f t="shared" ca="1" si="49"/>
        <v>116119.32315078186</v>
      </c>
      <c r="AE127" s="9">
        <f t="shared" ca="1" si="49"/>
        <v>116105.34213105035</v>
      </c>
      <c r="AF127" s="9">
        <f t="shared" ca="1" si="49"/>
        <v>116068.27603680504</v>
      </c>
      <c r="AG127" s="9"/>
      <c r="AH127" s="9"/>
    </row>
    <row r="128" spans="1:34">
      <c r="B128" s="49" t="s">
        <v>126</v>
      </c>
      <c r="C128" s="49" t="s">
        <v>8</v>
      </c>
      <c r="D128" s="9" cm="1">
        <f t="array" aca="1" ref="D128" ca="1">VLOOKUP(C128,INDIRECT("'" &amp; INDIRECT("Admin!I2") &amp; "'!B257:C266"),2,FALSE)</f>
        <v>102689.79999999999</v>
      </c>
      <c r="E128" s="9">
        <f ca="1">E122*$D$128/$D$122</f>
        <v>102718.60912378422</v>
      </c>
      <c r="F128" s="9">
        <f t="shared" ref="F128:AF128" ca="1" si="50">F122*$D$128/$D$122</f>
        <v>102745.75022778715</v>
      </c>
      <c r="G128" s="9">
        <f t="shared" ca="1" si="50"/>
        <v>102771.06149143583</v>
      </c>
      <c r="H128" s="9">
        <f t="shared" ca="1" si="50"/>
        <v>102778.66291899349</v>
      </c>
      <c r="I128" s="9">
        <f t="shared" ca="1" si="50"/>
        <v>102784.64516541317</v>
      </c>
      <c r="J128" s="9">
        <f t="shared" ca="1" si="50"/>
        <v>102789.50885551106</v>
      </c>
      <c r="K128" s="9">
        <f t="shared" ca="1" si="50"/>
        <v>102793.49533681298</v>
      </c>
      <c r="L128" s="9">
        <f t="shared" ca="1" si="50"/>
        <v>102796.72517153063</v>
      </c>
      <c r="M128" s="9">
        <f t="shared" ca="1" si="50"/>
        <v>102802.34532769301</v>
      </c>
      <c r="N128" s="9">
        <f t="shared" ca="1" si="50"/>
        <v>102807.22490441671</v>
      </c>
      <c r="O128" s="9">
        <f t="shared" ca="1" si="50"/>
        <v>102811.25126593353</v>
      </c>
      <c r="P128" s="9">
        <f t="shared" ca="1" si="50"/>
        <v>102814.36983660996</v>
      </c>
      <c r="Q128" s="9">
        <f t="shared" ca="1" si="50"/>
        <v>102816.55335784954</v>
      </c>
      <c r="R128" s="9">
        <f t="shared" ca="1" si="50"/>
        <v>102818.85169478756</v>
      </c>
      <c r="S128" s="9">
        <f t="shared" ca="1" si="50"/>
        <v>102820.15794490352</v>
      </c>
      <c r="T128" s="9">
        <f t="shared" ca="1" si="50"/>
        <v>102820.41013966651</v>
      </c>
      <c r="U128" s="9">
        <f t="shared" ca="1" si="50"/>
        <v>102819.57789822943</v>
      </c>
      <c r="V128" s="9">
        <f t="shared" ca="1" si="50"/>
        <v>102817.64604724466</v>
      </c>
      <c r="W128" s="9">
        <f t="shared" ca="1" si="50"/>
        <v>102815.74223339457</v>
      </c>
      <c r="X128" s="9">
        <f t="shared" ca="1" si="50"/>
        <v>102812.66584091682</v>
      </c>
      <c r="Y128" s="9">
        <f t="shared" ca="1" si="50"/>
        <v>102808.31846993246</v>
      </c>
      <c r="Z128" s="9">
        <f t="shared" ca="1" si="50"/>
        <v>102802.65156051189</v>
      </c>
      <c r="AA128" s="9">
        <f t="shared" ca="1" si="50"/>
        <v>102795.64086273381</v>
      </c>
      <c r="AB128" s="9">
        <f t="shared" ca="1" si="50"/>
        <v>102787.84614110591</v>
      </c>
      <c r="AC128" s="9">
        <f t="shared" ca="1" si="50"/>
        <v>102778.61737584797</v>
      </c>
      <c r="AD128" s="9">
        <f t="shared" ca="1" si="50"/>
        <v>102767.84379166797</v>
      </c>
      <c r="AE128" s="9">
        <f t="shared" ca="1" si="50"/>
        <v>102755.47031916719</v>
      </c>
      <c r="AF128" s="9">
        <f t="shared" ca="1" si="50"/>
        <v>102722.66610984172</v>
      </c>
      <c r="AG128" s="9"/>
      <c r="AH128" s="9"/>
    </row>
    <row r="129" spans="2:34">
      <c r="B129" s="49" t="s">
        <v>127</v>
      </c>
      <c r="C129" s="47" t="s">
        <v>90</v>
      </c>
      <c r="D129" s="9">
        <f ca="1">D112</f>
        <v>6843.0999999999995</v>
      </c>
      <c r="E129" s="9">
        <f t="shared" ref="E129:AF129" ca="1" si="51">E122*$D$129/$D$122</f>
        <v>6845.0197984119923</v>
      </c>
      <c r="F129" s="9">
        <f t="shared" ca="1" si="51"/>
        <v>6846.8284423941841</v>
      </c>
      <c r="G129" s="9">
        <f t="shared" ca="1" si="51"/>
        <v>6848.5151484572425</v>
      </c>
      <c r="H129" s="9">
        <f t="shared" ca="1" si="51"/>
        <v>6849.021696614117</v>
      </c>
      <c r="I129" s="9">
        <f t="shared" ca="1" si="51"/>
        <v>6849.4203448778635</v>
      </c>
      <c r="J129" s="9">
        <f t="shared" ca="1" si="51"/>
        <v>6849.7444541633904</v>
      </c>
      <c r="K129" s="9">
        <f t="shared" ca="1" si="51"/>
        <v>6850.0101075213406</v>
      </c>
      <c r="L129" s="9">
        <f t="shared" ca="1" si="51"/>
        <v>6850.2253390434234</v>
      </c>
      <c r="M129" s="9">
        <f t="shared" ca="1" si="51"/>
        <v>6850.5998581352387</v>
      </c>
      <c r="N129" s="9">
        <f t="shared" ca="1" si="51"/>
        <v>6850.9250260825711</v>
      </c>
      <c r="O129" s="9">
        <f t="shared" ca="1" si="51"/>
        <v>6851.1933370004599</v>
      </c>
      <c r="P129" s="9">
        <f t="shared" ca="1" si="51"/>
        <v>6851.4011540474867</v>
      </c>
      <c r="Q129" s="9">
        <f t="shared" ca="1" si="51"/>
        <v>6851.5466607501439</v>
      </c>
      <c r="R129" s="9">
        <f t="shared" ca="1" si="51"/>
        <v>6851.699818605166</v>
      </c>
      <c r="S129" s="9">
        <f t="shared" ca="1" si="51"/>
        <v>6851.7868652268216</v>
      </c>
      <c r="T129" s="9">
        <f t="shared" ca="1" si="51"/>
        <v>6851.8036711216864</v>
      </c>
      <c r="U129" s="9">
        <f t="shared" ca="1" si="51"/>
        <v>6851.7482117539803</v>
      </c>
      <c r="V129" s="9">
        <f t="shared" ca="1" si="51"/>
        <v>6851.6194759937207</v>
      </c>
      <c r="W129" s="9">
        <f t="shared" ca="1" si="51"/>
        <v>6851.4926085876341</v>
      </c>
      <c r="X129" s="9">
        <f t="shared" ca="1" si="51"/>
        <v>6851.2876022348655</v>
      </c>
      <c r="Y129" s="9">
        <f t="shared" ca="1" si="51"/>
        <v>6850.9978997095604</v>
      </c>
      <c r="Z129" s="9">
        <f t="shared" ca="1" si="51"/>
        <v>6850.6202650481246</v>
      </c>
      <c r="AA129" s="9">
        <f t="shared" ca="1" si="51"/>
        <v>6850.1530822708173</v>
      </c>
      <c r="AB129" s="9">
        <f t="shared" ca="1" si="51"/>
        <v>6849.6336532761961</v>
      </c>
      <c r="AC129" s="9">
        <f t="shared" ca="1" si="51"/>
        <v>6849.0186616846586</v>
      </c>
      <c r="AD129" s="9">
        <f t="shared" ca="1" si="51"/>
        <v>6848.3007255906932</v>
      </c>
      <c r="AE129" s="9">
        <f t="shared" ca="1" si="51"/>
        <v>6847.4761752490804</v>
      </c>
      <c r="AF129" s="9">
        <f t="shared" ca="1" si="51"/>
        <v>6845.2901501050528</v>
      </c>
      <c r="AG129" s="9"/>
      <c r="AH129" s="9"/>
    </row>
    <row r="130" spans="2:34">
      <c r="B130" s="49" t="s">
        <v>128</v>
      </c>
      <c r="C130" s="47" t="s">
        <v>90</v>
      </c>
      <c r="D130" s="9">
        <f ca="1">0.6*D123</f>
        <v>919146.48</v>
      </c>
      <c r="E130" s="9">
        <f t="shared" ref="E130:AF130" ca="1" si="52">E123*$D$130/$D$123</f>
        <v>918909.4680076153</v>
      </c>
      <c r="F130" s="9">
        <f t="shared" ca="1" si="52"/>
        <v>918686.17877523694</v>
      </c>
      <c r="G130" s="9">
        <f t="shared" ca="1" si="52"/>
        <v>918477.94359696226</v>
      </c>
      <c r="H130" s="9">
        <f t="shared" ca="1" si="52"/>
        <v>918415.40682896087</v>
      </c>
      <c r="I130" s="9">
        <f t="shared" ca="1" si="52"/>
        <v>918366.19102658238</v>
      </c>
      <c r="J130" s="9">
        <f t="shared" ca="1" si="52"/>
        <v>918326.1775610887</v>
      </c>
      <c r="K130" s="9">
        <f t="shared" ca="1" si="52"/>
        <v>918293.38087198953</v>
      </c>
      <c r="L130" s="9">
        <f t="shared" ca="1" si="52"/>
        <v>918266.80909676861</v>
      </c>
      <c r="M130" s="9">
        <f t="shared" ca="1" si="52"/>
        <v>918220.57220252848</v>
      </c>
      <c r="N130" s="9">
        <f t="shared" ca="1" si="52"/>
        <v>918180.42803813331</v>
      </c>
      <c r="O130" s="9">
        <f t="shared" ca="1" si="52"/>
        <v>918147.30325543194</v>
      </c>
      <c r="P130" s="9">
        <f t="shared" ca="1" si="52"/>
        <v>918121.64684689487</v>
      </c>
      <c r="Q130" s="9">
        <f t="shared" ca="1" si="52"/>
        <v>918103.68306836102</v>
      </c>
      <c r="R130" s="9">
        <f t="shared" ca="1" si="52"/>
        <v>918084.77470374247</v>
      </c>
      <c r="S130" s="9">
        <f t="shared" ca="1" si="52"/>
        <v>918074.02821437153</v>
      </c>
      <c r="T130" s="9">
        <f t="shared" ca="1" si="52"/>
        <v>918071.95341391279</v>
      </c>
      <c r="U130" s="9">
        <f t="shared" ca="1" si="52"/>
        <v>918078.8002448898</v>
      </c>
      <c r="V130" s="9">
        <f t="shared" ca="1" si="52"/>
        <v>918094.69353808113</v>
      </c>
      <c r="W130" s="9">
        <f t="shared" ca="1" si="52"/>
        <v>918110.35617041658</v>
      </c>
      <c r="X130" s="9">
        <f t="shared" ca="1" si="52"/>
        <v>918135.66557989281</v>
      </c>
      <c r="Y130" s="9">
        <f t="shared" ca="1" si="52"/>
        <v>918171.43130002928</v>
      </c>
      <c r="Z130" s="9">
        <f t="shared" ca="1" si="52"/>
        <v>918218.05283223884</v>
      </c>
      <c r="AA130" s="9">
        <f t="shared" ca="1" si="52"/>
        <v>918275.72968006076</v>
      </c>
      <c r="AB130" s="9">
        <f t="shared" ca="1" si="52"/>
        <v>918339.85667388944</v>
      </c>
      <c r="AC130" s="9">
        <f t="shared" ca="1" si="52"/>
        <v>918415.78151136171</v>
      </c>
      <c r="AD130" s="9">
        <f t="shared" ca="1" si="52"/>
        <v>918504.41553823289</v>
      </c>
      <c r="AE130" s="9">
        <f t="shared" ca="1" si="52"/>
        <v>918606.21180916764</v>
      </c>
      <c r="AF130" s="9">
        <f t="shared" ca="1" si="52"/>
        <v>918876.09127752902</v>
      </c>
      <c r="AG130" s="9"/>
      <c r="AH130" s="9"/>
    </row>
    <row r="131" spans="2:34">
      <c r="B131" s="49" t="s">
        <v>129</v>
      </c>
      <c r="C131" s="47" t="s">
        <v>90</v>
      </c>
      <c r="D131" s="9">
        <f ca="1">0.8*D122</f>
        <v>1689653.2000000002</v>
      </c>
      <c r="E131" s="9">
        <f t="shared" ref="E131:AF131" ca="1" si="53">E122*$D$131/$D$122</f>
        <v>1690127.2239847698</v>
      </c>
      <c r="F131" s="9">
        <f t="shared" ca="1" si="53"/>
        <v>1690573.8024495263</v>
      </c>
      <c r="G131" s="9">
        <f t="shared" ca="1" si="53"/>
        <v>1690990.2728060759</v>
      </c>
      <c r="H131" s="9">
        <f t="shared" ca="1" si="53"/>
        <v>1691115.3463420779</v>
      </c>
      <c r="I131" s="9">
        <f t="shared" ca="1" si="53"/>
        <v>1691213.7779468352</v>
      </c>
      <c r="J131" s="9">
        <f t="shared" ca="1" si="53"/>
        <v>1691293.8048778228</v>
      </c>
      <c r="K131" s="9">
        <f t="shared" ca="1" si="53"/>
        <v>1691359.3982560211</v>
      </c>
      <c r="L131" s="9">
        <f t="shared" ca="1" si="53"/>
        <v>1691412.5418064629</v>
      </c>
      <c r="M131" s="9">
        <f t="shared" ca="1" si="53"/>
        <v>1691505.015594943</v>
      </c>
      <c r="N131" s="9">
        <f t="shared" ca="1" si="53"/>
        <v>1691585.3039237338</v>
      </c>
      <c r="O131" s="9">
        <f t="shared" ca="1" si="53"/>
        <v>1691651.5534891363</v>
      </c>
      <c r="P131" s="9">
        <f t="shared" ca="1" si="53"/>
        <v>1691702.8663062109</v>
      </c>
      <c r="Q131" s="9">
        <f t="shared" ca="1" si="53"/>
        <v>1691738.7938632781</v>
      </c>
      <c r="R131" s="9">
        <f t="shared" ca="1" si="53"/>
        <v>1691776.6105925152</v>
      </c>
      <c r="S131" s="9">
        <f t="shared" ca="1" si="53"/>
        <v>1691798.1035712573</v>
      </c>
      <c r="T131" s="9">
        <f t="shared" ca="1" si="53"/>
        <v>1691802.2531721746</v>
      </c>
      <c r="U131" s="9">
        <f t="shared" ca="1" si="53"/>
        <v>1691788.5595102208</v>
      </c>
      <c r="V131" s="9">
        <f t="shared" ca="1" si="53"/>
        <v>1691756.7729238379</v>
      </c>
      <c r="W131" s="9">
        <f t="shared" ca="1" si="53"/>
        <v>1691725.447659167</v>
      </c>
      <c r="X131" s="9">
        <f t="shared" ca="1" si="53"/>
        <v>1691674.8288402143</v>
      </c>
      <c r="Y131" s="9">
        <f t="shared" ca="1" si="53"/>
        <v>1691603.2973999416</v>
      </c>
      <c r="Z131" s="9">
        <f t="shared" ca="1" si="53"/>
        <v>1691510.0543355225</v>
      </c>
      <c r="AA131" s="9">
        <f t="shared" ca="1" si="53"/>
        <v>1691394.7006398784</v>
      </c>
      <c r="AB131" s="9">
        <f t="shared" ca="1" si="53"/>
        <v>1691266.4466522215</v>
      </c>
      <c r="AC131" s="9">
        <f t="shared" ca="1" si="53"/>
        <v>1691114.596977277</v>
      </c>
      <c r="AD131" s="9">
        <f t="shared" ca="1" si="53"/>
        <v>1690937.3289235344</v>
      </c>
      <c r="AE131" s="9">
        <f t="shared" ca="1" si="53"/>
        <v>1690733.7363816651</v>
      </c>
      <c r="AF131" s="9">
        <f t="shared" ca="1" si="53"/>
        <v>1690193.9774449426</v>
      </c>
      <c r="AG131" s="9"/>
      <c r="AH131" s="9"/>
    </row>
    <row r="132" spans="2:34">
      <c r="B132" s="25"/>
      <c r="C132" s="155"/>
    </row>
    <row r="133" spans="2:34">
      <c r="B133" s="25"/>
      <c r="C133" s="155"/>
    </row>
    <row r="134" spans="2:34">
      <c r="B134" s="25"/>
      <c r="C134" s="155"/>
    </row>
    <row r="135" spans="2:34">
      <c r="B135" s="25"/>
      <c r="C135" s="155"/>
    </row>
    <row r="136" spans="2:34">
      <c r="B136" s="25"/>
      <c r="C136" s="155"/>
    </row>
    <row r="137" spans="2:34">
      <c r="B137" s="25"/>
      <c r="C137" s="155"/>
    </row>
    <row r="138" spans="2:34">
      <c r="B138" s="25"/>
      <c r="C138" s="155"/>
    </row>
    <row r="139" spans="2:34">
      <c r="B139" s="25"/>
      <c r="C139" s="155"/>
    </row>
    <row r="140" spans="2:34">
      <c r="B140" s="25"/>
      <c r="C140" s="155"/>
    </row>
    <row r="141" spans="2:34">
      <c r="B141" s="25"/>
      <c r="C141" s="155"/>
    </row>
    <row r="142" spans="2:34">
      <c r="B142" s="25"/>
      <c r="C142" s="155"/>
    </row>
    <row r="143" spans="2:34">
      <c r="B143" s="25"/>
      <c r="C143" s="155"/>
    </row>
    <row r="144" spans="2:34">
      <c r="B144" s="25"/>
      <c r="C144" s="155"/>
    </row>
    <row r="145" spans="2:34">
      <c r="B145" s="25"/>
      <c r="C145" s="155"/>
    </row>
    <row r="146" spans="2:34" outlineLevel="1">
      <c r="B146" s="25"/>
      <c r="C146" s="155"/>
    </row>
    <row r="147" spans="2:34" outlineLevel="1">
      <c r="B147" s="25"/>
      <c r="C147" s="155"/>
      <c r="D147" s="1">
        <v>3</v>
      </c>
      <c r="E147" s="1">
        <f>D147+1</f>
        <v>4</v>
      </c>
      <c r="F147" s="1">
        <f t="shared" ref="F147:AH147" si="54">E147+1</f>
        <v>5</v>
      </c>
      <c r="G147" s="1">
        <f t="shared" si="54"/>
        <v>6</v>
      </c>
      <c r="H147" s="1">
        <f t="shared" si="54"/>
        <v>7</v>
      </c>
      <c r="I147" s="1">
        <f t="shared" si="54"/>
        <v>8</v>
      </c>
      <c r="J147" s="1">
        <f t="shared" si="54"/>
        <v>9</v>
      </c>
      <c r="K147" s="1">
        <f t="shared" si="54"/>
        <v>10</v>
      </c>
      <c r="L147" s="1">
        <f t="shared" si="54"/>
        <v>11</v>
      </c>
      <c r="M147" s="1">
        <f t="shared" si="54"/>
        <v>12</v>
      </c>
      <c r="N147" s="1">
        <f t="shared" si="54"/>
        <v>13</v>
      </c>
      <c r="O147" s="1">
        <f t="shared" si="54"/>
        <v>14</v>
      </c>
      <c r="P147" s="1">
        <f t="shared" si="54"/>
        <v>15</v>
      </c>
      <c r="Q147" s="1">
        <f t="shared" si="54"/>
        <v>16</v>
      </c>
      <c r="R147" s="1">
        <f t="shared" si="54"/>
        <v>17</v>
      </c>
      <c r="S147" s="1">
        <f t="shared" si="54"/>
        <v>18</v>
      </c>
      <c r="T147" s="1">
        <f t="shared" si="54"/>
        <v>19</v>
      </c>
      <c r="U147" s="1">
        <f t="shared" si="54"/>
        <v>20</v>
      </c>
      <c r="V147" s="1">
        <f t="shared" si="54"/>
        <v>21</v>
      </c>
      <c r="W147" s="1">
        <f t="shared" si="54"/>
        <v>22</v>
      </c>
      <c r="X147" s="1">
        <f t="shared" si="54"/>
        <v>23</v>
      </c>
      <c r="Y147" s="1">
        <f t="shared" si="54"/>
        <v>24</v>
      </c>
      <c r="Z147" s="1">
        <f t="shared" si="54"/>
        <v>25</v>
      </c>
      <c r="AA147" s="1">
        <f t="shared" si="54"/>
        <v>26</v>
      </c>
      <c r="AB147" s="1">
        <f t="shared" si="54"/>
        <v>27</v>
      </c>
      <c r="AC147" s="1">
        <f t="shared" si="54"/>
        <v>28</v>
      </c>
      <c r="AD147" s="1">
        <f t="shared" si="54"/>
        <v>29</v>
      </c>
      <c r="AE147" s="1">
        <f t="shared" si="54"/>
        <v>30</v>
      </c>
      <c r="AF147" s="1">
        <f t="shared" si="54"/>
        <v>31</v>
      </c>
      <c r="AG147" s="1">
        <f t="shared" si="54"/>
        <v>32</v>
      </c>
      <c r="AH147" s="1">
        <f t="shared" si="54"/>
        <v>33</v>
      </c>
    </row>
    <row r="148" spans="2:34" outlineLevel="1">
      <c r="B148" s="154" t="s">
        <v>130</v>
      </c>
      <c r="C148" s="155"/>
      <c r="D148" s="1">
        <f>D$22</f>
        <v>2023</v>
      </c>
      <c r="E148" s="1">
        <f t="shared" ref="E148:AH148" si="55">E$22</f>
        <v>2024</v>
      </c>
      <c r="F148" s="1">
        <f t="shared" si="55"/>
        <v>2025</v>
      </c>
      <c r="G148" s="1">
        <f t="shared" si="55"/>
        <v>2026</v>
      </c>
      <c r="H148" s="1">
        <f t="shared" si="55"/>
        <v>2027</v>
      </c>
      <c r="I148" s="1">
        <f t="shared" si="55"/>
        <v>2028</v>
      </c>
      <c r="J148" s="1">
        <f t="shared" si="55"/>
        <v>2029</v>
      </c>
      <c r="K148" s="1">
        <f t="shared" si="55"/>
        <v>2030</v>
      </c>
      <c r="L148" s="1">
        <f t="shared" si="55"/>
        <v>2031</v>
      </c>
      <c r="M148" s="1">
        <f t="shared" si="55"/>
        <v>2032</v>
      </c>
      <c r="N148" s="1">
        <f t="shared" si="55"/>
        <v>2033</v>
      </c>
      <c r="O148" s="1">
        <f t="shared" si="55"/>
        <v>2034</v>
      </c>
      <c r="P148" s="1">
        <f t="shared" si="55"/>
        <v>2035</v>
      </c>
      <c r="Q148" s="1">
        <f t="shared" si="55"/>
        <v>2036</v>
      </c>
      <c r="R148" s="1">
        <f t="shared" si="55"/>
        <v>2037</v>
      </c>
      <c r="S148" s="1">
        <f t="shared" si="55"/>
        <v>2038</v>
      </c>
      <c r="T148" s="1">
        <f t="shared" si="55"/>
        <v>2039</v>
      </c>
      <c r="U148" s="1">
        <f t="shared" si="55"/>
        <v>2040</v>
      </c>
      <c r="V148" s="1">
        <f t="shared" si="55"/>
        <v>2041</v>
      </c>
      <c r="W148" s="1">
        <f t="shared" si="55"/>
        <v>2042</v>
      </c>
      <c r="X148" s="1">
        <f t="shared" si="55"/>
        <v>2043</v>
      </c>
      <c r="Y148" s="1">
        <f t="shared" si="55"/>
        <v>2044</v>
      </c>
      <c r="Z148" s="1">
        <f t="shared" si="55"/>
        <v>2045</v>
      </c>
      <c r="AA148" s="1">
        <f t="shared" si="55"/>
        <v>2046</v>
      </c>
      <c r="AB148" s="1">
        <f t="shared" si="55"/>
        <v>2047</v>
      </c>
      <c r="AC148" s="1">
        <f t="shared" si="55"/>
        <v>2048</v>
      </c>
      <c r="AD148" s="1">
        <f t="shared" si="55"/>
        <v>2049</v>
      </c>
      <c r="AE148" s="1">
        <f t="shared" si="55"/>
        <v>2050</v>
      </c>
      <c r="AF148" s="1">
        <f t="shared" si="55"/>
        <v>2050</v>
      </c>
      <c r="AG148" s="1">
        <f t="shared" si="55"/>
        <v>0</v>
      </c>
      <c r="AH148" s="1">
        <f t="shared" si="55"/>
        <v>0</v>
      </c>
    </row>
    <row r="149" spans="2:34" outlineLevel="1">
      <c r="B149" s="48" t="s">
        <v>131</v>
      </c>
      <c r="C149" s="158"/>
      <c r="D149" s="45">
        <f ca="1">D109/D106</f>
        <v>0.29112335590878996</v>
      </c>
      <c r="E149" s="45">
        <f ca="1">E109/E106</f>
        <v>0.2935840385798531</v>
      </c>
      <c r="F149" s="45">
        <f t="shared" ref="F149:AF149" ca="1" si="56">F109/F106</f>
        <v>0.29589980629295498</v>
      </c>
      <c r="G149" s="45">
        <f t="shared" ca="1" si="56"/>
        <v>0.29805981556089789</v>
      </c>
      <c r="H149" s="45">
        <f t="shared" ca="1" si="56"/>
        <v>0.29870480338583344</v>
      </c>
      <c r="I149" s="45">
        <f t="shared" ca="1" si="56"/>
        <v>0.29921326165921081</v>
      </c>
      <c r="J149" s="45">
        <f t="shared" ca="1" si="56"/>
        <v>0.29962641402006429</v>
      </c>
      <c r="K149" s="45">
        <f t="shared" ca="1" si="56"/>
        <v>0.29996485504367137</v>
      </c>
      <c r="L149" s="45">
        <f t="shared" ca="1" si="56"/>
        <v>0.30023887267534388</v>
      </c>
      <c r="M149" s="45">
        <f t="shared" ca="1" si="56"/>
        <v>0.30071482612904749</v>
      </c>
      <c r="N149" s="45">
        <f t="shared" ca="1" si="56"/>
        <v>0.30112745068403274</v>
      </c>
      <c r="O149" s="45">
        <f t="shared" ca="1" si="56"/>
        <v>0.30146754634997008</v>
      </c>
      <c r="P149" s="45">
        <f t="shared" ca="1" si="56"/>
        <v>0.30173051650295551</v>
      </c>
      <c r="Q149" s="45">
        <f t="shared" ca="1" si="56"/>
        <v>0.30191406448276992</v>
      </c>
      <c r="R149" s="45">
        <f t="shared" ca="1" si="56"/>
        <v>0.30210360437924982</v>
      </c>
      <c r="S149" s="45">
        <f t="shared" ca="1" si="56"/>
        <v>0.30220887027687643</v>
      </c>
      <c r="T149" s="45">
        <f t="shared" ca="1" si="56"/>
        <v>0.30222494029193675</v>
      </c>
      <c r="U149" s="45">
        <f t="shared" ca="1" si="56"/>
        <v>0.30214935909228557</v>
      </c>
      <c r="V149" s="45">
        <f t="shared" ca="1" si="56"/>
        <v>0.3019809034260994</v>
      </c>
      <c r="W149" s="45">
        <f t="shared" ca="1" si="56"/>
        <v>0.30181254875453722</v>
      </c>
      <c r="X149" s="45">
        <f t="shared" ca="1" si="56"/>
        <v>0.30154516622442279</v>
      </c>
      <c r="Y149" s="45">
        <f t="shared" ca="1" si="56"/>
        <v>0.30117079975453892</v>
      </c>
      <c r="Z149" s="45">
        <f t="shared" ca="1" si="56"/>
        <v>0.30068548071474238</v>
      </c>
      <c r="AA149" s="45">
        <f t="shared" ca="1" si="56"/>
        <v>0.30008723156110478</v>
      </c>
      <c r="AB149" s="45">
        <f t="shared" ca="1" si="56"/>
        <v>0.29942203935497436</v>
      </c>
      <c r="AC149" s="45">
        <f t="shared" ca="1" si="56"/>
        <v>0.29863640302841082</v>
      </c>
      <c r="AD149" s="45">
        <f t="shared" ca="1" si="56"/>
        <v>0.29772132976669069</v>
      </c>
      <c r="AE149" s="45">
        <f t="shared" ca="1" si="56"/>
        <v>0.29667233055777009</v>
      </c>
      <c r="AF149" s="45">
        <f t="shared" ca="1" si="56"/>
        <v>0.29389772352228943</v>
      </c>
      <c r="AG149" s="11"/>
      <c r="AH149" s="11"/>
    </row>
    <row r="150" spans="2:34" outlineLevel="1">
      <c r="B150" s="48" t="s">
        <v>132</v>
      </c>
      <c r="C150" s="158"/>
      <c r="D150" s="45">
        <f ca="1">D123/D107</f>
        <v>3.8020882920134125</v>
      </c>
      <c r="E150" s="45">
        <f t="shared" ref="E150" ca="1" si="57">E123/E107</f>
        <v>3.7697219907176405</v>
      </c>
      <c r="F150" s="45">
        <f t="shared" ref="F150:AF150" ca="1" si="58">F123/F107</f>
        <v>3.7397504540996742</v>
      </c>
      <c r="G150" s="45">
        <f t="shared" ca="1" si="58"/>
        <v>3.7122133905310561</v>
      </c>
      <c r="H150" s="45">
        <f t="shared" ca="1" si="58"/>
        <v>3.7040409134983756</v>
      </c>
      <c r="I150" s="45">
        <f t="shared" ca="1" si="58"/>
        <v>3.6976188566309789</v>
      </c>
      <c r="J150" s="45">
        <f t="shared" ca="1" si="58"/>
        <v>3.6924132376249079</v>
      </c>
      <c r="K150" s="45">
        <f t="shared" ca="1" si="58"/>
        <v>3.6881570303182514</v>
      </c>
      <c r="L150" s="45">
        <f t="shared" ca="1" si="58"/>
        <v>3.6847156859004433</v>
      </c>
      <c r="M150" s="45">
        <f t="shared" ca="1" si="58"/>
        <v>3.6787378661145334</v>
      </c>
      <c r="N150" s="45">
        <f t="shared" ca="1" si="58"/>
        <v>3.6735663364836788</v>
      </c>
      <c r="O150" s="45">
        <f t="shared" ca="1" si="58"/>
        <v>3.6693099562717695</v>
      </c>
      <c r="P150" s="45">
        <f t="shared" ca="1" si="58"/>
        <v>3.6660200824356335</v>
      </c>
      <c r="Q150" s="45">
        <f t="shared" ca="1" si="58"/>
        <v>3.6637203754504131</v>
      </c>
      <c r="R150" s="45">
        <f t="shared" ca="1" si="58"/>
        <v>3.6613014589800987</v>
      </c>
      <c r="S150" s="45">
        <f t="shared" ca="1" si="58"/>
        <v>3.6599293084657867</v>
      </c>
      <c r="T150" s="45">
        <f t="shared" ca="1" si="58"/>
        <v>3.6596655262013065</v>
      </c>
      <c r="U150" s="45">
        <f t="shared" ca="1" si="58"/>
        <v>3.660541549864039</v>
      </c>
      <c r="V150" s="45">
        <f t="shared" ca="1" si="58"/>
        <v>3.6625749172555571</v>
      </c>
      <c r="W150" s="45">
        <f t="shared" ca="1" si="58"/>
        <v>3.6645795970478146</v>
      </c>
      <c r="X150" s="45">
        <f t="shared" ca="1" si="58"/>
        <v>3.6678249251869843</v>
      </c>
      <c r="Y150" s="45">
        <f t="shared" ca="1" si="58"/>
        <v>3.6724200726371117</v>
      </c>
      <c r="Z150" s="45">
        <f t="shared" ca="1" si="58"/>
        <v>3.6784263365451602</v>
      </c>
      <c r="AA150" s="45">
        <f t="shared" ca="1" si="58"/>
        <v>3.6858829064831342</v>
      </c>
      <c r="AB150" s="45">
        <f t="shared" ca="1" si="58"/>
        <v>3.6942069711567713</v>
      </c>
      <c r="AC150" s="45">
        <f t="shared" ca="1" si="58"/>
        <v>3.7041103044666017</v>
      </c>
      <c r="AD150" s="45">
        <f t="shared" ca="1" si="58"/>
        <v>3.7157365102541888</v>
      </c>
      <c r="AE150" s="45">
        <f t="shared" ca="1" si="58"/>
        <v>3.7291765791671594</v>
      </c>
      <c r="AF150" s="45">
        <f t="shared" ca="1" si="58"/>
        <v>3.7652891720438273</v>
      </c>
      <c r="AG150" s="11"/>
      <c r="AH150" s="11"/>
    </row>
    <row r="151" spans="2:34" outlineLevel="1">
      <c r="B151" s="48" t="s">
        <v>133</v>
      </c>
      <c r="C151" s="158"/>
      <c r="D151" s="45">
        <f ca="1">D115/D126</f>
        <v>0.16625304527176324</v>
      </c>
      <c r="E151" s="45">
        <f t="shared" ref="E151" ca="1" si="59">E115/E126</f>
        <v>0.16771862757472863</v>
      </c>
      <c r="F151" s="45">
        <f t="shared" ref="F151:AF151" ca="1" si="60">F115/F126</f>
        <v>0.16909956585267766</v>
      </c>
      <c r="G151" s="45">
        <f t="shared" ca="1" si="60"/>
        <v>0.17038801178792412</v>
      </c>
      <c r="H151" s="45">
        <f t="shared" ca="1" si="60"/>
        <v>0.1707747786436086</v>
      </c>
      <c r="I151" s="45">
        <f t="shared" ca="1" si="60"/>
        <v>0.1710794078296605</v>
      </c>
      <c r="J151" s="45">
        <f t="shared" ca="1" si="60"/>
        <v>0.17132710547483845</v>
      </c>
      <c r="K151" s="45">
        <f t="shared" ca="1" si="60"/>
        <v>0.17153014572090047</v>
      </c>
      <c r="L151" s="45">
        <f t="shared" ca="1" si="60"/>
        <v>0.17169465831410796</v>
      </c>
      <c r="M151" s="45">
        <f t="shared" ca="1" si="60"/>
        <v>0.17198100889371443</v>
      </c>
      <c r="N151" s="45">
        <f t="shared" ca="1" si="60"/>
        <v>0.17222960222054018</v>
      </c>
      <c r="O151" s="45">
        <f t="shared" ca="1" si="60"/>
        <v>0.17243474042072485</v>
      </c>
      <c r="P151" s="45">
        <f t="shared" ca="1" si="60"/>
        <v>0.17259363390811541</v>
      </c>
      <c r="Q151" s="45">
        <f t="shared" ca="1" si="60"/>
        <v>0.17270488619651095</v>
      </c>
      <c r="R151" s="45">
        <f t="shared" ca="1" si="60"/>
        <v>0.17282201195994032</v>
      </c>
      <c r="S151" s="45">
        <f t="shared" ca="1" si="60"/>
        <v>0.1728885640491904</v>
      </c>
      <c r="T151" s="45">
        <f t="shared" ca="1" si="60"/>
        <v>0.17290139858628634</v>
      </c>
      <c r="U151" s="45">
        <f t="shared" ca="1" si="60"/>
        <v>0.17285896710196907</v>
      </c>
      <c r="V151" s="45">
        <f t="shared" ca="1" si="60"/>
        <v>0.17276049913098759</v>
      </c>
      <c r="W151" s="45">
        <f t="shared" ca="1" si="60"/>
        <v>0.172663482577216</v>
      </c>
      <c r="X151" s="45">
        <f t="shared" ca="1" si="60"/>
        <v>0.17250669886588363</v>
      </c>
      <c r="Y151" s="45">
        <f t="shared" ca="1" si="60"/>
        <v>0.17228516319851758</v>
      </c>
      <c r="Z151" s="45">
        <f t="shared" ca="1" si="60"/>
        <v>0.1719964178477853</v>
      </c>
      <c r="AA151" s="45">
        <f t="shared" ca="1" si="60"/>
        <v>0.17163924874041306</v>
      </c>
      <c r="AB151" s="45">
        <f t="shared" ca="1" si="60"/>
        <v>0.17124220211883145</v>
      </c>
      <c r="AC151" s="45">
        <f t="shared" ca="1" si="60"/>
        <v>0.17077217253802104</v>
      </c>
      <c r="AD151" s="45">
        <f t="shared" ca="1" si="60"/>
        <v>0.17022356594493029</v>
      </c>
      <c r="AE151" s="45">
        <f t="shared" ca="1" si="60"/>
        <v>0.16959362634236422</v>
      </c>
      <c r="AF151" s="45">
        <f t="shared" ca="1" si="60"/>
        <v>0.16792395813387292</v>
      </c>
      <c r="AG151" s="11"/>
      <c r="AH151" s="11"/>
    </row>
    <row r="152" spans="2:34" outlineLevel="1">
      <c r="B152" s="48" t="s">
        <v>134</v>
      </c>
      <c r="C152" s="158"/>
      <c r="D152" s="45">
        <f t="shared" ref="D152:E152" ca="1" si="61">D115/D123</f>
        <v>0.16501607012627628</v>
      </c>
      <c r="E152" s="45">
        <f t="shared" ca="1" si="61"/>
        <v>0.16647007599495947</v>
      </c>
      <c r="F152" s="45">
        <f t="shared" ref="F152:AF152" ca="1" si="62">F115/F123</f>
        <v>0.16784009546115561</v>
      </c>
      <c r="G152" s="45">
        <f t="shared" ca="1" si="62"/>
        <v>0.1691183444993723</v>
      </c>
      <c r="H152" s="45">
        <f t="shared" ca="1" si="62"/>
        <v>0.16950204853355658</v>
      </c>
      <c r="I152" s="45">
        <f t="shared" ca="1" si="62"/>
        <v>0.1698042648715713</v>
      </c>
      <c r="J152" s="45">
        <f t="shared" ca="1" si="62"/>
        <v>0.1700500002286319</v>
      </c>
      <c r="K152" s="45">
        <f t="shared" ca="1" si="62"/>
        <v>0.17025143171755242</v>
      </c>
      <c r="L152" s="45">
        <f t="shared" ca="1" si="62"/>
        <v>0.17041464065568487</v>
      </c>
      <c r="M152" s="45">
        <f t="shared" ca="1" si="62"/>
        <v>0.17069872177036641</v>
      </c>
      <c r="N152" s="45">
        <f t="shared" ca="1" si="62"/>
        <v>0.17094534449042606</v>
      </c>
      <c r="O152" s="45">
        <f t="shared" ca="1" si="62"/>
        <v>0.17114885629754428</v>
      </c>
      <c r="P152" s="45">
        <f t="shared" ca="1" si="62"/>
        <v>0.17130648987278047</v>
      </c>
      <c r="Q152" s="45">
        <f t="shared" ca="1" si="62"/>
        <v>0.17141685992521347</v>
      </c>
      <c r="R152" s="45">
        <f t="shared" ca="1" si="62"/>
        <v>0.1715330568114708</v>
      </c>
      <c r="S152" s="45">
        <f t="shared" ca="1" si="62"/>
        <v>0.17159908106101415</v>
      </c>
      <c r="T152" s="45">
        <f t="shared" ca="1" si="62"/>
        <v>0.17161181379474497</v>
      </c>
      <c r="U152" s="45">
        <f t="shared" ca="1" si="62"/>
        <v>0.17156971883608699</v>
      </c>
      <c r="V152" s="45">
        <f t="shared" ca="1" si="62"/>
        <v>0.17147203179170367</v>
      </c>
      <c r="W152" s="45">
        <f t="shared" ca="1" si="62"/>
        <v>0.17137578461079384</v>
      </c>
      <c r="X152" s="45">
        <f t="shared" ca="1" si="62"/>
        <v>0.17122024412677384</v>
      </c>
      <c r="Y152" s="45">
        <f t="shared" ca="1" si="62"/>
        <v>0.17100046491587295</v>
      </c>
      <c r="Z152" s="45">
        <f t="shared" ca="1" si="62"/>
        <v>0.17071400849687135</v>
      </c>
      <c r="AA152" s="45">
        <f t="shared" ca="1" si="62"/>
        <v>0.17035967009928712</v>
      </c>
      <c r="AB152" s="45">
        <f t="shared" ca="1" si="62"/>
        <v>0.16996576942006483</v>
      </c>
      <c r="AC152" s="45">
        <f t="shared" ca="1" si="62"/>
        <v>0.16949946293362941</v>
      </c>
      <c r="AD152" s="45">
        <f t="shared" ca="1" si="62"/>
        <v>0.16895520031525221</v>
      </c>
      <c r="AE152" s="45">
        <f t="shared" ca="1" si="62"/>
        <v>0.1683302466701419</v>
      </c>
      <c r="AF152" s="45">
        <f t="shared" ca="1" si="62"/>
        <v>0.16667378322487073</v>
      </c>
      <c r="AG152" s="11"/>
      <c r="AH152" s="11"/>
    </row>
    <row r="153" spans="2:34" outlineLevel="1">
      <c r="B153" s="48" t="s">
        <v>135</v>
      </c>
      <c r="C153" s="158"/>
      <c r="D153" s="45">
        <f t="shared" ref="D153:E153" ca="1" si="63">D116/D123</f>
        <v>4.7940323940532298E-2</v>
      </c>
      <c r="E153" s="45">
        <f t="shared" ca="1" si="63"/>
        <v>4.9378322654026786E-2</v>
      </c>
      <c r="F153" s="45">
        <f t="shared" ref="F153:AF153" ca="1" si="64">F116/F123</f>
        <v>5.0732039829325053E-2</v>
      </c>
      <c r="G153" s="45">
        <f t="shared" ca="1" si="64"/>
        <v>5.1995042827115937E-2</v>
      </c>
      <c r="H153" s="45">
        <f t="shared" ca="1" si="64"/>
        <v>5.2372621852235422E-2</v>
      </c>
      <c r="I153" s="45">
        <f t="shared" ca="1" si="64"/>
        <v>5.2670360917611979E-2</v>
      </c>
      <c r="J153" s="45">
        <f t="shared" ca="1" si="64"/>
        <v>5.2912355334629492E-2</v>
      </c>
      <c r="K153" s="45">
        <f t="shared" ca="1" si="64"/>
        <v>5.3110637728708103E-2</v>
      </c>
      <c r="L153" s="45">
        <f t="shared" ca="1" si="64"/>
        <v>5.3271217633659058E-2</v>
      </c>
      <c r="M153" s="45">
        <f t="shared" ca="1" si="64"/>
        <v>5.3550374372457285E-2</v>
      </c>
      <c r="N153" s="45">
        <f t="shared" ca="1" si="64"/>
        <v>5.3792469979053854E-2</v>
      </c>
      <c r="O153" s="45">
        <f t="shared" ca="1" si="64"/>
        <v>5.3992090955836916E-2</v>
      </c>
      <c r="P153" s="45">
        <f t="shared" ca="1" si="64"/>
        <v>5.414652962245551E-2</v>
      </c>
      <c r="Q153" s="45">
        <f t="shared" ca="1" si="64"/>
        <v>5.4254430473076223E-2</v>
      </c>
      <c r="R153" s="45">
        <f t="shared" ca="1" si="64"/>
        <v>5.4366555575490715E-2</v>
      </c>
      <c r="S153" s="45">
        <f t="shared" ca="1" si="64"/>
        <v>5.4429276326491423E-2</v>
      </c>
      <c r="T153" s="45">
        <f t="shared" ca="1" si="64"/>
        <v>5.4439658949627621E-2</v>
      </c>
      <c r="U153" s="45">
        <f t="shared" ca="1" si="64"/>
        <v>5.4396239531884452E-2</v>
      </c>
      <c r="V153" s="45">
        <f t="shared" ca="1" si="64"/>
        <v>5.4298289748155197E-2</v>
      </c>
      <c r="W153" s="45">
        <f t="shared" ca="1" si="64"/>
        <v>5.4200837127961962E-2</v>
      </c>
      <c r="X153" s="45">
        <f t="shared" ca="1" si="64"/>
        <v>5.4045221701586724E-2</v>
      </c>
      <c r="Y153" s="45">
        <f t="shared" ca="1" si="64"/>
        <v>5.382673303552029E-2</v>
      </c>
      <c r="Z153" s="45">
        <f t="shared" ca="1" si="64"/>
        <v>5.3543029221615419E-2</v>
      </c>
      <c r="AA153" s="45">
        <f t="shared" ca="1" si="64"/>
        <v>5.3192953493799232E-2</v>
      </c>
      <c r="AB153" s="45">
        <f t="shared" ca="1" si="64"/>
        <v>5.2803760178886931E-2</v>
      </c>
      <c r="AC153" s="45">
        <f t="shared" ca="1" si="64"/>
        <v>5.2343792771076245E-2</v>
      </c>
      <c r="AD153" s="45">
        <f t="shared" ca="1" si="64"/>
        <v>5.1807751012569403E-2</v>
      </c>
      <c r="AE153" s="45">
        <f t="shared" ca="1" si="64"/>
        <v>5.1193015553339084E-2</v>
      </c>
      <c r="AF153" s="45">
        <f t="shared" ca="1" si="64"/>
        <v>4.9566205363933274E-2</v>
      </c>
      <c r="AG153" s="11"/>
      <c r="AH153" s="11"/>
    </row>
    <row r="154" spans="2:34" outlineLevel="1">
      <c r="B154" s="48" t="s">
        <v>136</v>
      </c>
      <c r="C154" s="158"/>
      <c r="D154" s="45">
        <f t="shared" ref="D154:E154" ca="1" si="65">D109/D112</f>
        <v>58.815975215910917</v>
      </c>
      <c r="E154" s="45">
        <f t="shared" ca="1" si="65"/>
        <v>59.30618676077146</v>
      </c>
      <c r="F154" s="45">
        <f t="shared" ref="F154:AF154" ca="1" si="66">F109/F112</f>
        <v>59.782861861936972</v>
      </c>
      <c r="G154" s="45">
        <f t="shared" ca="1" si="66"/>
        <v>60.227763901943746</v>
      </c>
      <c r="H154" s="45">
        <f t="shared" ca="1" si="66"/>
        <v>60.370356866420181</v>
      </c>
      <c r="I154" s="45">
        <f t="shared" ca="1" si="66"/>
        <v>60.47619126050251</v>
      </c>
      <c r="J154" s="45">
        <f t="shared" ca="1" si="66"/>
        <v>60.562143997421678</v>
      </c>
      <c r="K154" s="45">
        <f t="shared" ca="1" si="66"/>
        <v>60.632580551114259</v>
      </c>
      <c r="L154" s="45">
        <f t="shared" ca="1" si="66"/>
        <v>60.689676595447978</v>
      </c>
      <c r="M154" s="45">
        <f t="shared" ca="1" si="66"/>
        <v>60.787092184360496</v>
      </c>
      <c r="N154" s="45">
        <f t="shared" ca="1" si="66"/>
        <v>60.873155769786536</v>
      </c>
      <c r="O154" s="45">
        <f t="shared" ca="1" si="66"/>
        <v>60.944304718206084</v>
      </c>
      <c r="P154" s="45">
        <f t="shared" ca="1" si="66"/>
        <v>60.999546658655724</v>
      </c>
      <c r="Q154" s="45">
        <f t="shared" ca="1" si="66"/>
        <v>61.03838548632158</v>
      </c>
      <c r="R154" s="45">
        <f t="shared" ca="1" si="66"/>
        <v>61.078689134406829</v>
      </c>
      <c r="S154" s="45">
        <f t="shared" ca="1" si="66"/>
        <v>61.102154255039288</v>
      </c>
      <c r="T154" s="45">
        <f t="shared" ca="1" si="66"/>
        <v>61.107139958934503</v>
      </c>
      <c r="U154" s="45">
        <f t="shared" ca="1" si="66"/>
        <v>61.093095203635258</v>
      </c>
      <c r="V154" s="45">
        <f t="shared" ca="1" si="66"/>
        <v>61.059745748337441</v>
      </c>
      <c r="W154" s="45">
        <f t="shared" ca="1" si="66"/>
        <v>61.026294843980438</v>
      </c>
      <c r="X154" s="45">
        <f t="shared" ca="1" si="66"/>
        <v>60.972884934897287</v>
      </c>
      <c r="Y154" s="45">
        <f t="shared" ca="1" si="66"/>
        <v>60.897209389578464</v>
      </c>
      <c r="Z154" s="45">
        <f t="shared" ca="1" si="66"/>
        <v>60.798393610103062</v>
      </c>
      <c r="AA154" s="45">
        <f t="shared" ca="1" si="66"/>
        <v>60.676005187566915</v>
      </c>
      <c r="AB154" s="45">
        <f t="shared" ca="1" si="66"/>
        <v>60.539573279217535</v>
      </c>
      <c r="AC154" s="45">
        <f t="shared" ca="1" si="66"/>
        <v>60.378326867419972</v>
      </c>
      <c r="AD154" s="45">
        <f t="shared" ca="1" si="66"/>
        <v>60.190050485089401</v>
      </c>
      <c r="AE154" s="45">
        <f t="shared" ca="1" si="66"/>
        <v>59.973763066377842</v>
      </c>
      <c r="AF154" s="45">
        <f t="shared" ca="1" si="66"/>
        <v>59.408842100807533</v>
      </c>
      <c r="AG154" s="11"/>
      <c r="AH154" s="11"/>
    </row>
    <row r="155" spans="2:34" outlineLevel="1">
      <c r="B155" s="48" t="s">
        <v>137</v>
      </c>
      <c r="C155" s="158"/>
      <c r="D155" s="45">
        <f t="shared" ref="D155:E155" ca="1" si="67">(D124+D125)/D123</f>
        <v>7.4403157155103284E-3</v>
      </c>
      <c r="E155" s="45">
        <f t="shared" ca="1" si="67"/>
        <v>7.4443226600626492E-3</v>
      </c>
      <c r="F155" s="45">
        <f t="shared" ref="F155:AF155" ca="1" si="68">(F124+F125)/F123</f>
        <v>7.4480994978976299E-3</v>
      </c>
      <c r="G155" s="45">
        <f t="shared" ca="1" si="68"/>
        <v>7.4516233579397916E-3</v>
      </c>
      <c r="H155" s="45">
        <f t="shared" ca="1" si="68"/>
        <v>7.4526819484748213E-3</v>
      </c>
      <c r="I155" s="45">
        <f t="shared" ca="1" si="68"/>
        <v>7.4535151498700556E-3</v>
      </c>
      <c r="J155" s="45">
        <f t="shared" ca="1" si="68"/>
        <v>7.4541926256619876E-3</v>
      </c>
      <c r="K155" s="45">
        <f t="shared" ca="1" si="68"/>
        <v>7.4547479568325215E-3</v>
      </c>
      <c r="L155" s="45">
        <f t="shared" ca="1" si="68"/>
        <v>7.455197913503955E-3</v>
      </c>
      <c r="M155" s="45">
        <f t="shared" ca="1" si="68"/>
        <v>7.455980934153515E-3</v>
      </c>
      <c r="N155" s="45">
        <f t="shared" ca="1" si="68"/>
        <v>7.4566608385336517E-3</v>
      </c>
      <c r="O155" s="45">
        <f t="shared" ca="1" si="68"/>
        <v>7.457221903446545E-3</v>
      </c>
      <c r="P155" s="45">
        <f t="shared" ca="1" si="68"/>
        <v>7.4576564974591546E-3</v>
      </c>
      <c r="Q155" s="45">
        <f t="shared" ca="1" si="68"/>
        <v>7.457960800436739E-3</v>
      </c>
      <c r="R155" s="45">
        <f t="shared" ca="1" si="68"/>
        <v>7.4582811173862619E-3</v>
      </c>
      <c r="S155" s="45">
        <f t="shared" ca="1" si="68"/>
        <v>7.4584631740554951E-3</v>
      </c>
      <c r="T155" s="45">
        <f t="shared" ca="1" si="68"/>
        <v>7.458498323816779E-3</v>
      </c>
      <c r="U155" s="45">
        <f t="shared" ca="1" si="68"/>
        <v>7.4583823303859698E-3</v>
      </c>
      <c r="V155" s="45">
        <f t="shared" ca="1" si="68"/>
        <v>7.4581130858334772E-3</v>
      </c>
      <c r="W155" s="45">
        <f t="shared" ca="1" si="68"/>
        <v>7.4578477579722189E-3</v>
      </c>
      <c r="X155" s="45">
        <f t="shared" ca="1" si="68"/>
        <v>7.4574190310717414E-3</v>
      </c>
      <c r="Y155" s="45">
        <f t="shared" ca="1" si="68"/>
        <v>7.4568132205576915E-3</v>
      </c>
      <c r="Z155" s="45">
        <f t="shared" ca="1" si="68"/>
        <v>7.4560236018919547E-3</v>
      </c>
      <c r="AA155" s="45">
        <f t="shared" ca="1" si="68"/>
        <v>7.4550468527228367E-3</v>
      </c>
      <c r="AB155" s="45">
        <f t="shared" ca="1" si="68"/>
        <v>7.4539610152925349E-3</v>
      </c>
      <c r="AC155" s="45">
        <f t="shared" ca="1" si="68"/>
        <v>7.4526756056128296E-3</v>
      </c>
      <c r="AD155" s="45">
        <f t="shared" ca="1" si="68"/>
        <v>7.4511752978341428E-3</v>
      </c>
      <c r="AE155" s="45">
        <f t="shared" ca="1" si="68"/>
        <v>7.4494525500144598E-3</v>
      </c>
      <c r="AF155" s="45">
        <f t="shared" ca="1" si="68"/>
        <v>7.4448870958932368E-3</v>
      </c>
      <c r="AG155" s="11"/>
      <c r="AH155" s="11"/>
    </row>
    <row r="156" spans="2:34" outlineLevel="1">
      <c r="B156" s="48" t="s">
        <v>138</v>
      </c>
      <c r="C156" s="158"/>
      <c r="D156" s="45">
        <f t="shared" ref="D156:E156" ca="1" si="69">D111/D106</f>
        <v>0.2576169110430373</v>
      </c>
      <c r="E156" s="45">
        <f t="shared" ca="1" si="69"/>
        <v>0.2600736824506531</v>
      </c>
      <c r="F156" s="45">
        <f t="shared" ref="F156:AF156" ca="1" si="70">F111/F106</f>
        <v>0.26238578159413084</v>
      </c>
      <c r="G156" s="45">
        <f t="shared" ca="1" si="70"/>
        <v>0.26454237571736727</v>
      </c>
      <c r="H156" s="45">
        <f t="shared" ca="1" si="70"/>
        <v>0.26518657437883858</v>
      </c>
      <c r="I156" s="45">
        <f t="shared" ca="1" si="70"/>
        <v>0.26569445271795811</v>
      </c>
      <c r="J156" s="45">
        <f t="shared" ca="1" si="70"/>
        <v>0.26610716344208851</v>
      </c>
      <c r="K156" s="45">
        <f t="shared" ca="1" si="70"/>
        <v>0.26644526568406451</v>
      </c>
      <c r="L156" s="45">
        <f t="shared" ca="1" si="70"/>
        <v>0.26671902968059563</v>
      </c>
      <c r="M156" s="45">
        <f t="shared" ca="1" si="70"/>
        <v>0.26719467894860982</v>
      </c>
      <c r="N156" s="45">
        <f t="shared" ca="1" si="70"/>
        <v>0.26760707757570823</v>
      </c>
      <c r="O156" s="45">
        <f t="shared" ca="1" si="70"/>
        <v>0.26794702686529881</v>
      </c>
      <c r="P156" s="45">
        <f t="shared" ca="1" si="70"/>
        <v>0.2682099308358557</v>
      </c>
      <c r="Q156" s="45">
        <f t="shared" ca="1" si="70"/>
        <v>0.26839349314611355</v>
      </c>
      <c r="R156" s="45">
        <f t="shared" ca="1" si="70"/>
        <v>0.26858346608989347</v>
      </c>
      <c r="S156" s="45">
        <f t="shared" ca="1" si="70"/>
        <v>0.26868923904843373</v>
      </c>
      <c r="T156" s="45">
        <f t="shared" ca="1" si="70"/>
        <v>0.26870586929565915</v>
      </c>
      <c r="U156" s="45">
        <f t="shared" ca="1" si="70"/>
        <v>0.26863089107541416</v>
      </c>
      <c r="V156" s="45">
        <f t="shared" ca="1" si="70"/>
        <v>0.2684630759221221</v>
      </c>
      <c r="W156" s="45">
        <f t="shared" ca="1" si="70"/>
        <v>0.26829562550941521</v>
      </c>
      <c r="X156" s="45">
        <f t="shared" ca="1" si="70"/>
        <v>0.2680291746272952</v>
      </c>
      <c r="Y156" s="45">
        <f t="shared" ca="1" si="70"/>
        <v>0.26765574412404064</v>
      </c>
      <c r="Z156" s="45">
        <f t="shared" ca="1" si="70"/>
        <v>0.26717135383556029</v>
      </c>
      <c r="AA156" s="45">
        <f t="shared" ca="1" si="70"/>
        <v>0.2665740204535173</v>
      </c>
      <c r="AB156" s="45">
        <f t="shared" ca="1" si="70"/>
        <v>0.26590986284888507</v>
      </c>
      <c r="AC156" s="45">
        <f t="shared" ca="1" si="70"/>
        <v>0.26512523460520432</v>
      </c>
      <c r="AD156" s="45">
        <f t="shared" ca="1" si="70"/>
        <v>0.26421111302322281</v>
      </c>
      <c r="AE156" s="45">
        <f t="shared" ca="1" si="70"/>
        <v>0.26316299415761052</v>
      </c>
      <c r="AF156" s="45">
        <f t="shared" ca="1" si="70"/>
        <v>0.26038983295171392</v>
      </c>
      <c r="AG156" s="11"/>
      <c r="AH156" s="11"/>
    </row>
    <row r="157" spans="2:34" outlineLevel="1">
      <c r="B157" s="48" t="s">
        <v>139</v>
      </c>
      <c r="C157" s="158"/>
      <c r="D157" s="45">
        <f t="shared" ref="D157:E157" ca="1" si="71">(D117+D112)/D112</f>
        <v>58.878724554660906</v>
      </c>
      <c r="E157" s="45">
        <f t="shared" ca="1" si="71"/>
        <v>59.368936099521449</v>
      </c>
      <c r="F157" s="45">
        <f t="shared" ref="F157:AF157" ca="1" si="72">(F117+F112)/F112</f>
        <v>59.845627385465022</v>
      </c>
      <c r="G157" s="45">
        <f t="shared" ca="1" si="72"/>
        <v>60.29054468080696</v>
      </c>
      <c r="H157" s="45">
        <f t="shared" ca="1" si="72"/>
        <v>60.433151878795229</v>
      </c>
      <c r="I157" s="45">
        <f t="shared" ca="1" si="72"/>
        <v>60.538990548717322</v>
      </c>
      <c r="J157" s="45">
        <f t="shared" ca="1" si="72"/>
        <v>60.624946651088521</v>
      </c>
      <c r="K157" s="45">
        <f t="shared" ca="1" si="72"/>
        <v>60.695385941229077</v>
      </c>
      <c r="L157" s="45">
        <f t="shared" ca="1" si="72"/>
        <v>60.752484228646431</v>
      </c>
      <c r="M157" s="45">
        <f t="shared" ca="1" si="72"/>
        <v>60.849901635015819</v>
      </c>
      <c r="N157" s="45">
        <f t="shared" ca="1" si="72"/>
        <v>60.93596838320471</v>
      </c>
      <c r="O157" s="45">
        <f t="shared" ca="1" si="72"/>
        <v>61.007120077881758</v>
      </c>
      <c r="P157" s="45">
        <f t="shared" ca="1" si="72"/>
        <v>61.062364284574656</v>
      </c>
      <c r="Q157" s="45">
        <f t="shared" ca="1" si="72"/>
        <v>61.101204867644796</v>
      </c>
      <c r="R157" s="45">
        <f t="shared" ca="1" si="72"/>
        <v>61.141509744865139</v>
      </c>
      <c r="S157" s="45">
        <f t="shared" ca="1" si="72"/>
        <v>61.164976159316033</v>
      </c>
      <c r="T157" s="45">
        <f t="shared" ca="1" si="72"/>
        <v>61.169962598571253</v>
      </c>
      <c r="U157" s="45">
        <f t="shared" ca="1" si="72"/>
        <v>61.155917985248301</v>
      </c>
      <c r="V157" s="45">
        <f t="shared" ca="1" si="72"/>
        <v>61.122568061431906</v>
      </c>
      <c r="W157" s="45">
        <f t="shared" ca="1" si="72"/>
        <v>61.089116069547167</v>
      </c>
      <c r="X157" s="45">
        <f t="shared" ca="1" si="72"/>
        <v>61.035705088756515</v>
      </c>
      <c r="Y157" s="45">
        <f t="shared" ca="1" si="72"/>
        <v>60.960027811731734</v>
      </c>
      <c r="Z157" s="45">
        <f t="shared" ca="1" si="72"/>
        <v>60.86120958527745</v>
      </c>
      <c r="AA157" s="45">
        <f t="shared" ca="1" si="72"/>
        <v>60.738817973327855</v>
      </c>
      <c r="AB157" s="45">
        <f t="shared" ca="1" si="72"/>
        <v>60.602382119710867</v>
      </c>
      <c r="AC157" s="45">
        <f t="shared" ca="1" si="72"/>
        <v>60.441131322018371</v>
      </c>
      <c r="AD157" s="45">
        <f t="shared" ca="1" si="72"/>
        <v>60.252849747684238</v>
      </c>
      <c r="AE157" s="45">
        <f t="shared" ca="1" si="72"/>
        <v>60.036556268956602</v>
      </c>
      <c r="AF157" s="45">
        <f t="shared" ca="1" si="72"/>
        <v>59.471628344894413</v>
      </c>
      <c r="AG157" s="11"/>
      <c r="AH157" s="11"/>
    </row>
    <row r="158" spans="2:34" outlineLevel="1">
      <c r="B158" s="48" t="s">
        <v>140</v>
      </c>
      <c r="C158" s="158"/>
      <c r="D158" s="45">
        <f t="shared" ref="D158:E158" ca="1" si="73">D121/D122</f>
        <v>0.27468628473582624</v>
      </c>
      <c r="E158" s="45">
        <f t="shared" ca="1" si="73"/>
        <v>0.27507668853383638</v>
      </c>
      <c r="F158" s="45">
        <f t="shared" ref="F158:AF158" ca="1" si="74">F121/F122</f>
        <v>0.27544428805247584</v>
      </c>
      <c r="G158" s="45">
        <f t="shared" ca="1" si="74"/>
        <v>0.27578692921923992</v>
      </c>
      <c r="H158" s="45">
        <f t="shared" ca="1" si="74"/>
        <v>0.27588979757017368</v>
      </c>
      <c r="I158" s="45">
        <f t="shared" ca="1" si="74"/>
        <v>0.27597074322049264</v>
      </c>
      <c r="J158" s="45">
        <f t="shared" ca="1" si="74"/>
        <v>0.27603654676471945</v>
      </c>
      <c r="K158" s="45">
        <f t="shared" ca="1" si="74"/>
        <v>0.27609047742397669</v>
      </c>
      <c r="L158" s="45">
        <f t="shared" ca="1" si="74"/>
        <v>0.27613416880856201</v>
      </c>
      <c r="M158" s="45">
        <f t="shared" ca="1" si="74"/>
        <v>0.27621018857019214</v>
      </c>
      <c r="N158" s="45">
        <f t="shared" ca="1" si="74"/>
        <v>0.27627618431195178</v>
      </c>
      <c r="O158" s="45">
        <f t="shared" ca="1" si="74"/>
        <v>0.27633063569409727</v>
      </c>
      <c r="P158" s="45">
        <f t="shared" ca="1" si="74"/>
        <v>0.27637280743704934</v>
      </c>
      <c r="Q158" s="45">
        <f t="shared" ca="1" si="74"/>
        <v>0.27640233319016755</v>
      </c>
      <c r="R158" s="45">
        <f t="shared" ca="1" si="74"/>
        <v>0.27643341013586947</v>
      </c>
      <c r="S158" s="45">
        <f t="shared" ca="1" si="74"/>
        <v>0.27645107196783719</v>
      </c>
      <c r="T158" s="45">
        <f t="shared" ca="1" si="74"/>
        <v>0.27645448184620597</v>
      </c>
      <c r="U158" s="45">
        <f t="shared" ca="1" si="74"/>
        <v>0.27644322920142583</v>
      </c>
      <c r="V158" s="45">
        <f t="shared" ca="1" si="74"/>
        <v>0.27641710815489395</v>
      </c>
      <c r="W158" s="45">
        <f t="shared" ca="1" si="74"/>
        <v>0.27639136524522784</v>
      </c>
      <c r="X158" s="45">
        <f t="shared" ca="1" si="74"/>
        <v>0.27634976499642283</v>
      </c>
      <c r="Y158" s="45">
        <f t="shared" ca="1" si="74"/>
        <v>0.27629097380668877</v>
      </c>
      <c r="Z158" s="45">
        <f t="shared" ca="1" si="74"/>
        <v>0.27621433051984362</v>
      </c>
      <c r="AA158" s="45">
        <f t="shared" ca="1" si="74"/>
        <v>0.27611950119613177</v>
      </c>
      <c r="AB158" s="45">
        <f t="shared" ca="1" si="74"/>
        <v>0.27601405168558907</v>
      </c>
      <c r="AC158" s="45">
        <f t="shared" ca="1" si="74"/>
        <v>0.27588918129068907</v>
      </c>
      <c r="AD158" s="45">
        <f t="shared" ca="1" si="74"/>
        <v>0.2757433802525287</v>
      </c>
      <c r="AE158" s="45">
        <f t="shared" ca="1" si="74"/>
        <v>0.27557588988941994</v>
      </c>
      <c r="AF158" s="45">
        <f t="shared" ca="1" si="74"/>
        <v>0.27513164876172819</v>
      </c>
      <c r="AG158" s="11"/>
      <c r="AH158" s="11"/>
    </row>
    <row r="159" spans="2:34" outlineLevel="1">
      <c r="B159" s="48" t="s">
        <v>141</v>
      </c>
      <c r="C159" s="158"/>
      <c r="D159" s="45">
        <f t="shared" ref="D159:E159" ca="1" si="75">D111/D112</f>
        <v>52.046630912890357</v>
      </c>
      <c r="E159" s="45">
        <f t="shared" ca="1" si="75"/>
        <v>52.5368424577509</v>
      </c>
      <c r="F159" s="45">
        <f t="shared" ref="F159:AF159" ca="1" si="76">F111/F112</f>
        <v>53.011771559080465</v>
      </c>
      <c r="G159" s="45">
        <f t="shared" ca="1" si="76"/>
        <v>53.455027866745745</v>
      </c>
      <c r="H159" s="45">
        <f t="shared" ca="1" si="76"/>
        <v>53.596085332296454</v>
      </c>
      <c r="I159" s="45">
        <f t="shared" ca="1" si="76"/>
        <v>53.701458452488822</v>
      </c>
      <c r="J159" s="45">
        <f t="shared" ca="1" si="76"/>
        <v>53.787048127358993</v>
      </c>
      <c r="K159" s="45">
        <f t="shared" ca="1" si="76"/>
        <v>53.857189475413925</v>
      </c>
      <c r="L159" s="45">
        <f t="shared" ca="1" si="76"/>
        <v>53.914043537828505</v>
      </c>
      <c r="M159" s="45">
        <f t="shared" ca="1" si="76"/>
        <v>54.011263061069478</v>
      </c>
      <c r="N159" s="45">
        <f t="shared" ca="1" si="76"/>
        <v>54.096985450377666</v>
      </c>
      <c r="O159" s="45">
        <f t="shared" ca="1" si="76"/>
        <v>54.167838134918178</v>
      </c>
      <c r="P159" s="45">
        <f t="shared" ca="1" si="76"/>
        <v>54.222835595008007</v>
      </c>
      <c r="Q159" s="45">
        <f t="shared" ca="1" si="76"/>
        <v>54.261485051180244</v>
      </c>
      <c r="R159" s="45">
        <f t="shared" ca="1" si="76"/>
        <v>54.301656101236745</v>
      </c>
      <c r="S159" s="45">
        <f t="shared" ca="1" si="76"/>
        <v>54.3249816458571</v>
      </c>
      <c r="T159" s="45">
        <f t="shared" ca="1" si="76"/>
        <v>54.3298880197515</v>
      </c>
      <c r="U159" s="45">
        <f t="shared" ca="1" si="76"/>
        <v>54.315827948174075</v>
      </c>
      <c r="V159" s="45">
        <f t="shared" ca="1" si="76"/>
        <v>54.282529036253763</v>
      </c>
      <c r="W159" s="45">
        <f t="shared" ca="1" si="76"/>
        <v>54.249195453446468</v>
      </c>
      <c r="X159" s="45">
        <f t="shared" ca="1" si="76"/>
        <v>54.195901159240485</v>
      </c>
      <c r="Y159" s="45">
        <f t="shared" ca="1" si="76"/>
        <v>54.120412428859609</v>
      </c>
      <c r="Z159" s="45">
        <f t="shared" ca="1" si="76"/>
        <v>54.021860627346555</v>
      </c>
      <c r="AA159" s="45">
        <f t="shared" ca="1" si="76"/>
        <v>53.899816275970572</v>
      </c>
      <c r="AB159" s="45">
        <f t="shared" ca="1" si="76"/>
        <v>53.763809979672168</v>
      </c>
      <c r="AC159" s="45">
        <f t="shared" ca="1" si="76"/>
        <v>53.603036714420668</v>
      </c>
      <c r="AD159" s="45">
        <f t="shared" ca="1" si="76"/>
        <v>53.41532044093627</v>
      </c>
      <c r="AE159" s="45">
        <f t="shared" ca="1" si="76"/>
        <v>53.199686771509548</v>
      </c>
      <c r="AF159" s="45">
        <f t="shared" ca="1" si="76"/>
        <v>52.635516482014559</v>
      </c>
      <c r="AG159" s="11"/>
      <c r="AH159" s="11"/>
    </row>
    <row r="160" spans="2:34" outlineLevel="1">
      <c r="B160" s="48" t="s">
        <v>142</v>
      </c>
      <c r="C160" s="158"/>
      <c r="D160" s="45">
        <f t="shared" ref="D160:E160" ca="1" si="77">D107/D106</f>
        <v>0.291433948362811</v>
      </c>
      <c r="E160" s="45">
        <f t="shared" ca="1" si="77"/>
        <v>0.2938946672898517</v>
      </c>
      <c r="F160" s="45">
        <f t="shared" ref="F160:AF160" ca="1" si="78">F107/F106</f>
        <v>0.29621046900924841</v>
      </c>
      <c r="G160" s="45">
        <f t="shared" ca="1" si="78"/>
        <v>0.29837050993433012</v>
      </c>
      <c r="H160" s="45">
        <f t="shared" ca="1" si="78"/>
        <v>0.29901550507452151</v>
      </c>
      <c r="I160" s="45">
        <f t="shared" ca="1" si="78"/>
        <v>0.2995239687236767</v>
      </c>
      <c r="J160" s="45">
        <f t="shared" ca="1" si="78"/>
        <v>0.2999371251783407</v>
      </c>
      <c r="K160" s="45">
        <f t="shared" ca="1" si="78"/>
        <v>0.30027556934232918</v>
      </c>
      <c r="L160" s="45">
        <f t="shared" ca="1" si="78"/>
        <v>0.30054958932510645</v>
      </c>
      <c r="M160" s="45">
        <f t="shared" ca="1" si="78"/>
        <v>0.30102554559849981</v>
      </c>
      <c r="N160" s="45">
        <f t="shared" ca="1" si="78"/>
        <v>0.30143817224775366</v>
      </c>
      <c r="O160" s="45">
        <f t="shared" ca="1" si="78"/>
        <v>0.30177826927054613</v>
      </c>
      <c r="P160" s="45">
        <f t="shared" ca="1" si="78"/>
        <v>0.30204124003701832</v>
      </c>
      <c r="Q160" s="45">
        <f t="shared" ca="1" si="78"/>
        <v>0.30222478788399482</v>
      </c>
      <c r="R160" s="45">
        <f t="shared" ca="1" si="78"/>
        <v>0.30241432376628508</v>
      </c>
      <c r="S160" s="45">
        <f t="shared" ca="1" si="78"/>
        <v>0.30251958496364301</v>
      </c>
      <c r="T160" s="45">
        <f t="shared" ca="1" si="78"/>
        <v>0.30253564978555664</v>
      </c>
      <c r="U160" s="45">
        <f t="shared" ca="1" si="78"/>
        <v>0.30246006299650757</v>
      </c>
      <c r="V160" s="45">
        <f t="shared" ca="1" si="78"/>
        <v>0.30229160139300176</v>
      </c>
      <c r="W160" s="45">
        <f t="shared" ca="1" si="78"/>
        <v>0.30212323833929172</v>
      </c>
      <c r="X160" s="45">
        <f t="shared" ca="1" si="78"/>
        <v>0.30185584717314207</v>
      </c>
      <c r="Y160" s="45">
        <f t="shared" ca="1" si="78"/>
        <v>0.30148147202719083</v>
      </c>
      <c r="Z160" s="45">
        <f t="shared" ca="1" si="78"/>
        <v>0.30099614437821021</v>
      </c>
      <c r="AA160" s="45">
        <f t="shared" ca="1" si="78"/>
        <v>0.30039788673570583</v>
      </c>
      <c r="AB160" s="45">
        <f t="shared" ca="1" si="78"/>
        <v>0.29973268493919908</v>
      </c>
      <c r="AC160" s="45">
        <f t="shared" ca="1" si="78"/>
        <v>0.29894703926807692</v>
      </c>
      <c r="AD160" s="45">
        <f t="shared" ca="1" si="78"/>
        <v>0.29803195718463471</v>
      </c>
      <c r="AE160" s="45">
        <f t="shared" ca="1" si="78"/>
        <v>0.29698294981525453</v>
      </c>
      <c r="AF160" s="45">
        <f t="shared" ca="1" si="78"/>
        <v>0.29420832937746394</v>
      </c>
      <c r="AG160" s="11"/>
      <c r="AH160" s="11"/>
    </row>
    <row r="161" spans="2:34" outlineLevel="1">
      <c r="B161" s="48" t="s">
        <v>143</v>
      </c>
      <c r="C161" s="158"/>
      <c r="D161" s="45">
        <f t="shared" ref="D161:E161" ca="1" si="79">D126/D107</f>
        <v>3.7737995547425873</v>
      </c>
      <c r="E161" s="45">
        <f t="shared" ca="1" si="79"/>
        <v>3.7416589638800044</v>
      </c>
      <c r="F161" s="45">
        <f t="shared" ref="F161:AF161" ca="1" si="80">F126/F107</f>
        <v>3.7118964206202318</v>
      </c>
      <c r="G161" s="45">
        <f t="shared" ca="1" si="80"/>
        <v>3.6845513745205176</v>
      </c>
      <c r="H161" s="45">
        <f t="shared" ca="1" si="80"/>
        <v>3.6764358746459336</v>
      </c>
      <c r="I161" s="45">
        <f t="shared" ca="1" si="80"/>
        <v>3.6700585984646343</v>
      </c>
      <c r="J161" s="45">
        <f t="shared" ca="1" si="80"/>
        <v>3.6648892780981077</v>
      </c>
      <c r="K161" s="45">
        <f t="shared" ca="1" si="80"/>
        <v>3.6606627492320087</v>
      </c>
      <c r="L161" s="45">
        <f t="shared" ca="1" si="80"/>
        <v>3.6572454012070637</v>
      </c>
      <c r="M161" s="45">
        <f t="shared" ca="1" si="80"/>
        <v>3.6513092667230347</v>
      </c>
      <c r="N161" s="45">
        <f t="shared" ca="1" si="80"/>
        <v>3.6461737982446656</v>
      </c>
      <c r="O161" s="45">
        <f t="shared" ca="1" si="80"/>
        <v>3.6419470976953252</v>
      </c>
      <c r="P161" s="45">
        <f t="shared" ca="1" si="80"/>
        <v>3.6386801639480422</v>
      </c>
      <c r="Q161" s="45">
        <f t="shared" ca="1" si="80"/>
        <v>3.6363964925065422</v>
      </c>
      <c r="R161" s="45">
        <f t="shared" ca="1" si="80"/>
        <v>3.633994443443529</v>
      </c>
      <c r="S161" s="45">
        <f t="shared" ca="1" si="80"/>
        <v>3.632631860498948</v>
      </c>
      <c r="T161" s="45">
        <f t="shared" ca="1" si="80"/>
        <v>3.6323699170084041</v>
      </c>
      <c r="U161" s="45">
        <f t="shared" ca="1" si="80"/>
        <v>3.6332398314488898</v>
      </c>
      <c r="V161" s="45">
        <f t="shared" ca="1" si="80"/>
        <v>3.6352590193373282</v>
      </c>
      <c r="W161" s="45">
        <f t="shared" ca="1" si="80"/>
        <v>3.6372497203160608</v>
      </c>
      <c r="X161" s="45">
        <f t="shared" ca="1" si="80"/>
        <v>3.6404724177872558</v>
      </c>
      <c r="Y161" s="45">
        <f t="shared" ca="1" si="80"/>
        <v>3.6450355220880302</v>
      </c>
      <c r="Z161" s="45">
        <f t="shared" ca="1" si="80"/>
        <v>3.650999902962059</v>
      </c>
      <c r="AA161" s="45">
        <f t="shared" ca="1" si="80"/>
        <v>3.6584044767216519</v>
      </c>
      <c r="AB161" s="45">
        <f t="shared" ca="1" si="80"/>
        <v>3.666670496411347</v>
      </c>
      <c r="AC161" s="45">
        <f t="shared" ca="1" si="80"/>
        <v>3.6765047719600044</v>
      </c>
      <c r="AD161" s="45">
        <f t="shared" ca="1" si="80"/>
        <v>3.6880499061557224</v>
      </c>
      <c r="AE161" s="45">
        <f t="shared" ca="1" si="80"/>
        <v>3.7013962551900286</v>
      </c>
      <c r="AF161" s="45">
        <f t="shared" ca="1" si="80"/>
        <v>3.7372570192745713</v>
      </c>
      <c r="AG161" s="11"/>
      <c r="AH161" s="11"/>
    </row>
    <row r="162" spans="2:34" outlineLevel="1">
      <c r="B162" s="48" t="s">
        <v>144</v>
      </c>
      <c r="C162" s="158"/>
      <c r="D162" s="45">
        <f t="shared" ref="D162:E162" ca="1" si="81">D117/D123</f>
        <v>0.25854632005988859</v>
      </c>
      <c r="E162" s="45">
        <f t="shared" ca="1" si="81"/>
        <v>0.2608033634621284</v>
      </c>
      <c r="F162" s="45">
        <f t="shared" ref="F162:AF162" ca="1" si="82">F117/F123</f>
        <v>0.2629293995701612</v>
      </c>
      <c r="G162" s="45">
        <f t="shared" ca="1" si="82"/>
        <v>0.26491301759891717</v>
      </c>
      <c r="H162" s="45">
        <f t="shared" ca="1" si="82"/>
        <v>0.26550807992639303</v>
      </c>
      <c r="I162" s="45">
        <f t="shared" ca="1" si="82"/>
        <v>0.26597704038193953</v>
      </c>
      <c r="J162" s="45">
        <f t="shared" ca="1" si="82"/>
        <v>0.26635836154585457</v>
      </c>
      <c r="K162" s="45">
        <f t="shared" ca="1" si="82"/>
        <v>0.26667093481853343</v>
      </c>
      <c r="L162" s="45">
        <f t="shared" ca="1" si="82"/>
        <v>0.26692419486156771</v>
      </c>
      <c r="M162" s="45">
        <f t="shared" ca="1" si="82"/>
        <v>0.26736510061112617</v>
      </c>
      <c r="N162" s="45">
        <f t="shared" ca="1" si="82"/>
        <v>0.26774780717905799</v>
      </c>
      <c r="O162" s="45">
        <f t="shared" ca="1" si="82"/>
        <v>0.26806360933274337</v>
      </c>
      <c r="P162" s="45">
        <f t="shared" ca="1" si="82"/>
        <v>0.26830821387463455</v>
      </c>
      <c r="Q162" s="45">
        <f t="shared" ca="1" si="82"/>
        <v>0.26847947163666469</v>
      </c>
      <c r="R162" s="45">
        <f t="shared" ca="1" si="82"/>
        <v>0.26865979499618597</v>
      </c>
      <c r="S162" s="45">
        <f t="shared" ca="1" si="82"/>
        <v>0.26876223320144299</v>
      </c>
      <c r="T162" s="45">
        <f t="shared" ca="1" si="82"/>
        <v>0.26878196928455422</v>
      </c>
      <c r="U162" s="45">
        <f t="shared" ca="1" si="82"/>
        <v>0.26871662001929686</v>
      </c>
      <c r="V162" s="45">
        <f t="shared" ca="1" si="82"/>
        <v>0.26856499951402452</v>
      </c>
      <c r="W162" s="45">
        <f t="shared" ca="1" si="82"/>
        <v>0.26841563837960136</v>
      </c>
      <c r="X162" s="45">
        <f t="shared" ca="1" si="82"/>
        <v>0.26817423606343826</v>
      </c>
      <c r="Y162" s="45">
        <f t="shared" ca="1" si="82"/>
        <v>0.26783314232968447</v>
      </c>
      <c r="Z162" s="45">
        <f t="shared" ca="1" si="82"/>
        <v>0.26738857410898875</v>
      </c>
      <c r="AA162" s="45">
        <f t="shared" ca="1" si="82"/>
        <v>0.26683866230931891</v>
      </c>
      <c r="AB162" s="45">
        <f t="shared" ca="1" si="82"/>
        <v>0.26622736791689267</v>
      </c>
      <c r="AC162" s="45">
        <f t="shared" ca="1" si="82"/>
        <v>0.26550369579701444</v>
      </c>
      <c r="AD162" s="45">
        <f t="shared" ca="1" si="82"/>
        <v>0.26465904455725114</v>
      </c>
      <c r="AE162" s="45">
        <f t="shared" ca="1" si="82"/>
        <v>0.26368917126713548</v>
      </c>
      <c r="AF162" s="45">
        <f t="shared" ca="1" si="82"/>
        <v>0.26111812786165933</v>
      </c>
      <c r="AG162" s="11"/>
      <c r="AH162" s="11"/>
    </row>
    <row r="163" spans="2:34" outlineLevel="1">
      <c r="B163" s="48" t="s">
        <v>145</v>
      </c>
      <c r="C163" s="158"/>
      <c r="D163" s="45">
        <f t="shared" ref="D163:E163" ca="1" si="83">D118/D123</f>
        <v>0.25854632005988859</v>
      </c>
      <c r="E163" s="45">
        <f t="shared" ca="1" si="83"/>
        <v>0.2608033634621284</v>
      </c>
      <c r="F163" s="45">
        <f t="shared" ref="F163:AF163" ca="1" si="84">F118/F123</f>
        <v>0.2629293995701612</v>
      </c>
      <c r="G163" s="45">
        <f t="shared" ca="1" si="84"/>
        <v>0.26491301759891717</v>
      </c>
      <c r="H163" s="45">
        <f t="shared" ca="1" si="84"/>
        <v>0.26550807992639303</v>
      </c>
      <c r="I163" s="45">
        <f t="shared" ca="1" si="84"/>
        <v>0.26597704038193953</v>
      </c>
      <c r="J163" s="45">
        <f t="shared" ca="1" si="84"/>
        <v>0.26635836154585457</v>
      </c>
      <c r="K163" s="45">
        <f t="shared" ca="1" si="84"/>
        <v>0.26667093481853343</v>
      </c>
      <c r="L163" s="45">
        <f t="shared" ca="1" si="84"/>
        <v>0.26692419486156771</v>
      </c>
      <c r="M163" s="45">
        <f t="shared" ca="1" si="84"/>
        <v>0.26736510061112617</v>
      </c>
      <c r="N163" s="45">
        <f t="shared" ca="1" si="84"/>
        <v>0.26774780717905799</v>
      </c>
      <c r="O163" s="45">
        <f t="shared" ca="1" si="84"/>
        <v>0.26806360933274337</v>
      </c>
      <c r="P163" s="45">
        <f t="shared" ca="1" si="84"/>
        <v>0.26830821387463455</v>
      </c>
      <c r="Q163" s="45">
        <f t="shared" ca="1" si="84"/>
        <v>0.26847947163666469</v>
      </c>
      <c r="R163" s="45">
        <f t="shared" ca="1" si="84"/>
        <v>0.26865979499618597</v>
      </c>
      <c r="S163" s="45">
        <f t="shared" ca="1" si="84"/>
        <v>0.26876223320144299</v>
      </c>
      <c r="T163" s="45">
        <f t="shared" ca="1" si="84"/>
        <v>0.26878196928455422</v>
      </c>
      <c r="U163" s="45">
        <f t="shared" ca="1" si="84"/>
        <v>0.26871662001929686</v>
      </c>
      <c r="V163" s="45">
        <f t="shared" ca="1" si="84"/>
        <v>0.26856499951402452</v>
      </c>
      <c r="W163" s="45">
        <f t="shared" ca="1" si="84"/>
        <v>0.26841563837960136</v>
      </c>
      <c r="X163" s="45">
        <f t="shared" ca="1" si="84"/>
        <v>0.26817423606343826</v>
      </c>
      <c r="Y163" s="45">
        <f t="shared" ca="1" si="84"/>
        <v>0.26783314232968447</v>
      </c>
      <c r="Z163" s="45">
        <f t="shared" ca="1" si="84"/>
        <v>0.26738857410898875</v>
      </c>
      <c r="AA163" s="45">
        <f t="shared" ca="1" si="84"/>
        <v>0.26683866230931891</v>
      </c>
      <c r="AB163" s="45">
        <f t="shared" ca="1" si="84"/>
        <v>0.26622736791689267</v>
      </c>
      <c r="AC163" s="45">
        <f t="shared" ca="1" si="84"/>
        <v>0.26550369579701444</v>
      </c>
      <c r="AD163" s="45">
        <f t="shared" ca="1" si="84"/>
        <v>0.26465904455725114</v>
      </c>
      <c r="AE163" s="45">
        <f t="shared" ca="1" si="84"/>
        <v>0.26368917126713548</v>
      </c>
      <c r="AF163" s="45">
        <f t="shared" ca="1" si="84"/>
        <v>0.26111812786165933</v>
      </c>
      <c r="AG163" s="11"/>
      <c r="AH163" s="11"/>
    </row>
    <row r="164" spans="2:34" outlineLevel="1">
      <c r="B164" s="48" t="s">
        <v>146</v>
      </c>
      <c r="C164" s="158"/>
      <c r="D164" s="45">
        <f t="shared" ref="D164:E164" ca="1" si="85">D107/D112</f>
        <v>58.878724554660906</v>
      </c>
      <c r="E164" s="45">
        <f t="shared" ca="1" si="85"/>
        <v>59.368936099521449</v>
      </c>
      <c r="F164" s="45">
        <f t="shared" ref="F164:AF164" ca="1" si="86">F107/F112</f>
        <v>59.845627385465022</v>
      </c>
      <c r="G164" s="45">
        <f t="shared" ca="1" si="86"/>
        <v>60.29054468080696</v>
      </c>
      <c r="H164" s="45">
        <f t="shared" ca="1" si="86"/>
        <v>60.433151878795229</v>
      </c>
      <c r="I164" s="45">
        <f t="shared" ca="1" si="86"/>
        <v>60.538990548717322</v>
      </c>
      <c r="J164" s="45">
        <f t="shared" ca="1" si="86"/>
        <v>60.624946651088521</v>
      </c>
      <c r="K164" s="45">
        <f t="shared" ca="1" si="86"/>
        <v>60.695385941229077</v>
      </c>
      <c r="L164" s="45">
        <f t="shared" ca="1" si="86"/>
        <v>60.752484228646431</v>
      </c>
      <c r="M164" s="45">
        <f t="shared" ca="1" si="86"/>
        <v>60.849901635015812</v>
      </c>
      <c r="N164" s="45">
        <f t="shared" ca="1" si="86"/>
        <v>60.93596838320471</v>
      </c>
      <c r="O164" s="45">
        <f t="shared" ca="1" si="86"/>
        <v>61.007120077881758</v>
      </c>
      <c r="P164" s="45">
        <f t="shared" ca="1" si="86"/>
        <v>61.062364284574656</v>
      </c>
      <c r="Q164" s="45">
        <f t="shared" ca="1" si="86"/>
        <v>61.101204867644796</v>
      </c>
      <c r="R164" s="45">
        <f t="shared" ca="1" si="86"/>
        <v>61.141509744865139</v>
      </c>
      <c r="S164" s="45">
        <f t="shared" ca="1" si="86"/>
        <v>61.164976159316033</v>
      </c>
      <c r="T164" s="45">
        <f t="shared" ca="1" si="86"/>
        <v>61.169962598571253</v>
      </c>
      <c r="U164" s="45">
        <f t="shared" ca="1" si="86"/>
        <v>61.155917985248301</v>
      </c>
      <c r="V164" s="45">
        <f t="shared" ca="1" si="86"/>
        <v>61.122568061431906</v>
      </c>
      <c r="W164" s="45">
        <f t="shared" ca="1" si="86"/>
        <v>61.089116069547167</v>
      </c>
      <c r="X164" s="45">
        <f t="shared" ca="1" si="86"/>
        <v>61.035705088756515</v>
      </c>
      <c r="Y164" s="45">
        <f t="shared" ca="1" si="86"/>
        <v>60.960027811731734</v>
      </c>
      <c r="Z164" s="45">
        <f t="shared" ca="1" si="86"/>
        <v>60.86120958527745</v>
      </c>
      <c r="AA164" s="45">
        <f t="shared" ca="1" si="86"/>
        <v>60.738817973327855</v>
      </c>
      <c r="AB164" s="45">
        <f t="shared" ca="1" si="86"/>
        <v>60.602382119710867</v>
      </c>
      <c r="AC164" s="45">
        <f t="shared" ca="1" si="86"/>
        <v>60.441131322018371</v>
      </c>
      <c r="AD164" s="45">
        <f t="shared" ca="1" si="86"/>
        <v>60.252849747684238</v>
      </c>
      <c r="AE164" s="45">
        <f t="shared" ca="1" si="86"/>
        <v>60.036556268956602</v>
      </c>
      <c r="AF164" s="45">
        <f t="shared" ca="1" si="86"/>
        <v>59.471628344894413</v>
      </c>
      <c r="AG164" s="11"/>
      <c r="AH164" s="11"/>
    </row>
    <row r="165" spans="2:34" s="27" customFormat="1" outlineLevel="1">
      <c r="B165" s="152" t="s">
        <v>147</v>
      </c>
      <c r="C165" s="159"/>
      <c r="D165" s="45">
        <f t="shared" ref="D165:E165" ca="1" si="87">D122/1000</f>
        <v>2112.0664999999999</v>
      </c>
      <c r="E165" s="45">
        <f t="shared" ca="1" si="87"/>
        <v>2112.6590299809623</v>
      </c>
      <c r="F165" s="45">
        <f t="shared" ref="F165:AF165" ca="1" si="88">F122/1000</f>
        <v>2113.2172530619073</v>
      </c>
      <c r="G165" s="45">
        <f t="shared" ca="1" si="88"/>
        <v>2113.7378410075944</v>
      </c>
      <c r="H165" s="45">
        <f t="shared" ca="1" si="88"/>
        <v>2113.8941829275973</v>
      </c>
      <c r="I165" s="45">
        <f t="shared" ca="1" si="88"/>
        <v>2114.0172224335438</v>
      </c>
      <c r="J165" s="45">
        <f t="shared" ca="1" si="88"/>
        <v>2114.1172560972782</v>
      </c>
      <c r="K165" s="45">
        <f t="shared" ca="1" si="88"/>
        <v>2114.1992478200264</v>
      </c>
      <c r="L165" s="45">
        <f t="shared" ca="1" si="88"/>
        <v>2114.2656772580785</v>
      </c>
      <c r="M165" s="45">
        <f t="shared" ca="1" si="88"/>
        <v>2114.3812694936787</v>
      </c>
      <c r="N165" s="45">
        <f t="shared" ca="1" si="88"/>
        <v>2114.481629904667</v>
      </c>
      <c r="O165" s="45">
        <f t="shared" ca="1" si="88"/>
        <v>2114.5644418614202</v>
      </c>
      <c r="P165" s="45">
        <f t="shared" ca="1" si="88"/>
        <v>2114.6285828827636</v>
      </c>
      <c r="Q165" s="45">
        <f t="shared" ca="1" si="88"/>
        <v>2114.6734923290974</v>
      </c>
      <c r="R165" s="45">
        <f t="shared" ca="1" si="88"/>
        <v>2114.7207632406439</v>
      </c>
      <c r="S165" s="45">
        <f t="shared" ca="1" si="88"/>
        <v>2114.7476294640715</v>
      </c>
      <c r="T165" s="45">
        <f t="shared" ca="1" si="88"/>
        <v>2114.7528164652181</v>
      </c>
      <c r="U165" s="45">
        <f t="shared" ca="1" si="88"/>
        <v>2114.7356993877756</v>
      </c>
      <c r="V165" s="45">
        <f t="shared" ca="1" si="88"/>
        <v>2114.6959661547971</v>
      </c>
      <c r="W165" s="45">
        <f t="shared" ca="1" si="88"/>
        <v>2114.6568095739585</v>
      </c>
      <c r="X165" s="45">
        <f t="shared" ca="1" si="88"/>
        <v>2114.5935360502676</v>
      </c>
      <c r="Y165" s="45">
        <f t="shared" ca="1" si="88"/>
        <v>2114.504121749927</v>
      </c>
      <c r="Z165" s="45">
        <f t="shared" ca="1" si="88"/>
        <v>2114.387567919403</v>
      </c>
      <c r="AA165" s="45">
        <f t="shared" ca="1" si="88"/>
        <v>2114.2433757998479</v>
      </c>
      <c r="AB165" s="45">
        <f t="shared" ca="1" si="88"/>
        <v>2114.0830583152765</v>
      </c>
      <c r="AC165" s="45">
        <f t="shared" ca="1" si="88"/>
        <v>2113.8932462215957</v>
      </c>
      <c r="AD165" s="45">
        <f t="shared" ca="1" si="88"/>
        <v>2113.671661154418</v>
      </c>
      <c r="AE165" s="45">
        <f t="shared" ca="1" si="88"/>
        <v>2113.4171704770811</v>
      </c>
      <c r="AF165" s="45">
        <f t="shared" ca="1" si="88"/>
        <v>2112.7424718061779</v>
      </c>
      <c r="AG165" s="26"/>
      <c r="AH165" s="26"/>
    </row>
    <row r="166" spans="2:34" s="27" customFormat="1" outlineLevel="1">
      <c r="B166" s="152" t="s">
        <v>148</v>
      </c>
      <c r="C166" s="159"/>
      <c r="D166" s="45">
        <f t="shared" ref="D166:E166" ca="1" si="89">D106/1000</f>
        <v>1382.5191</v>
      </c>
      <c r="E166" s="45">
        <f t="shared" ca="1" si="89"/>
        <v>1382.3577350655241</v>
      </c>
      <c r="F166" s="45">
        <f t="shared" ref="F166:AF166" ca="1" si="90">F106/1000</f>
        <v>1382.2064170533733</v>
      </c>
      <c r="G166" s="45">
        <f t="shared" ca="1" si="90"/>
        <v>1382.0655818657679</v>
      </c>
      <c r="H166" s="45">
        <f t="shared" ca="1" si="90"/>
        <v>1382.033042089809</v>
      </c>
      <c r="I166" s="45">
        <f t="shared" ca="1" si="90"/>
        <v>1382.0091304911609</v>
      </c>
      <c r="J166" s="45">
        <f t="shared" ca="1" si="90"/>
        <v>1381.9909216716562</v>
      </c>
      <c r="K166" s="45">
        <f t="shared" ca="1" si="90"/>
        <v>1381.9769539248111</v>
      </c>
      <c r="L166" s="45">
        <f t="shared" ca="1" si="90"/>
        <v>1381.9664968973075</v>
      </c>
      <c r="M166" s="45">
        <f t="shared" ca="1" si="90"/>
        <v>1381.9539559490433</v>
      </c>
      <c r="N166" s="45">
        <f t="shared" ca="1" si="90"/>
        <v>1381.944641555795</v>
      </c>
      <c r="O166" s="45">
        <f t="shared" ca="1" si="90"/>
        <v>1381.9386069235391</v>
      </c>
      <c r="P166" s="45">
        <f t="shared" ca="1" si="90"/>
        <v>1381.9358784493436</v>
      </c>
      <c r="Q166" s="45">
        <f t="shared" ca="1" si="90"/>
        <v>1381.9364692433876</v>
      </c>
      <c r="R166" s="45">
        <f t="shared" ca="1" si="90"/>
        <v>1381.95432250675</v>
      </c>
      <c r="S166" s="45">
        <f t="shared" ca="1" si="90"/>
        <v>1381.9752277194759</v>
      </c>
      <c r="T166" s="45">
        <f t="shared" ca="1" si="90"/>
        <v>1381.9983258230629</v>
      </c>
      <c r="U166" s="45">
        <f t="shared" ca="1" si="90"/>
        <v>1382.0231872376521</v>
      </c>
      <c r="V166" s="45">
        <f t="shared" ca="1" si="90"/>
        <v>1382.0495971734176</v>
      </c>
      <c r="W166" s="45">
        <f t="shared" ca="1" si="90"/>
        <v>1382.0868837279622</v>
      </c>
      <c r="X166" s="45">
        <f t="shared" ca="1" si="90"/>
        <v>1382.1253017610252</v>
      </c>
      <c r="Y166" s="45">
        <f t="shared" ca="1" si="90"/>
        <v>1382.1639000308364</v>
      </c>
      <c r="Z166" s="45">
        <f t="shared" ca="1" si="90"/>
        <v>1382.2022028798415</v>
      </c>
      <c r="AA166" s="45">
        <f t="shared" ca="1" si="90"/>
        <v>1382.239972507806</v>
      </c>
      <c r="AB166" s="45">
        <f t="shared" ca="1" si="90"/>
        <v>1382.2826455805659</v>
      </c>
      <c r="AC166" s="45">
        <f t="shared" ca="1" si="90"/>
        <v>1382.3242274035745</v>
      </c>
      <c r="AD166" s="45">
        <f t="shared" ca="1" si="90"/>
        <v>1382.3634849819259</v>
      </c>
      <c r="AE166" s="45">
        <f t="shared" ca="1" si="90"/>
        <v>1382.3998018587856</v>
      </c>
      <c r="AF166" s="45">
        <f t="shared" ca="1" si="90"/>
        <v>1382.4594509293929</v>
      </c>
      <c r="AG166" s="26"/>
      <c r="AH166" s="26"/>
    </row>
    <row r="167" spans="2:34" outlineLevel="1">
      <c r="B167" s="48" t="s">
        <v>149</v>
      </c>
      <c r="C167" s="158"/>
      <c r="D167" s="45">
        <f t="shared" ref="D167:E167" ca="1" si="91">(D118-D119)/D123</f>
        <v>0.16501607012627628</v>
      </c>
      <c r="E167" s="45">
        <f t="shared" ca="1" si="91"/>
        <v>0.16647007599495947</v>
      </c>
      <c r="F167" s="45">
        <f t="shared" ref="F167:AF167" ca="1" si="92">(F118-F119)/F123</f>
        <v>0.16784009546115561</v>
      </c>
      <c r="G167" s="45">
        <f t="shared" ca="1" si="92"/>
        <v>0.1691183444993723</v>
      </c>
      <c r="H167" s="45">
        <f t="shared" ca="1" si="92"/>
        <v>0.16950204853355658</v>
      </c>
      <c r="I167" s="45">
        <f t="shared" ca="1" si="92"/>
        <v>0.1698042648715713</v>
      </c>
      <c r="J167" s="45">
        <f t="shared" ca="1" si="92"/>
        <v>0.1700500002286319</v>
      </c>
      <c r="K167" s="45">
        <f t="shared" ca="1" si="92"/>
        <v>0.17025143171755242</v>
      </c>
      <c r="L167" s="45">
        <f t="shared" ca="1" si="92"/>
        <v>0.17041464065568487</v>
      </c>
      <c r="M167" s="45">
        <f t="shared" ca="1" si="92"/>
        <v>0.17069872177036641</v>
      </c>
      <c r="N167" s="45">
        <f t="shared" ca="1" si="92"/>
        <v>0.17094534449042606</v>
      </c>
      <c r="O167" s="45">
        <f t="shared" ca="1" si="92"/>
        <v>0.17114885629754428</v>
      </c>
      <c r="P167" s="45">
        <f t="shared" ca="1" si="92"/>
        <v>0.17130648987278047</v>
      </c>
      <c r="Q167" s="45">
        <f t="shared" ca="1" si="92"/>
        <v>0.17141685992521347</v>
      </c>
      <c r="R167" s="45">
        <f t="shared" ca="1" si="92"/>
        <v>0.1715330568114708</v>
      </c>
      <c r="S167" s="45">
        <f t="shared" ca="1" si="92"/>
        <v>0.17159908106101415</v>
      </c>
      <c r="T167" s="45">
        <f t="shared" ca="1" si="92"/>
        <v>0.17161181379474497</v>
      </c>
      <c r="U167" s="45">
        <f t="shared" ca="1" si="92"/>
        <v>0.17156971883608699</v>
      </c>
      <c r="V167" s="45">
        <f t="shared" ca="1" si="92"/>
        <v>0.17147203179170367</v>
      </c>
      <c r="W167" s="45">
        <f t="shared" ca="1" si="92"/>
        <v>0.17137578461079384</v>
      </c>
      <c r="X167" s="45">
        <f t="shared" ca="1" si="92"/>
        <v>0.17122024412677384</v>
      </c>
      <c r="Y167" s="45">
        <f t="shared" ca="1" si="92"/>
        <v>0.17100046491587295</v>
      </c>
      <c r="Z167" s="45">
        <f t="shared" ca="1" si="92"/>
        <v>0.17071400849687135</v>
      </c>
      <c r="AA167" s="45">
        <f t="shared" ca="1" si="92"/>
        <v>0.17035967009928712</v>
      </c>
      <c r="AB167" s="45">
        <f t="shared" ca="1" si="92"/>
        <v>0.16996576942006483</v>
      </c>
      <c r="AC167" s="45">
        <f t="shared" ca="1" si="92"/>
        <v>0.16949946293362941</v>
      </c>
      <c r="AD167" s="45">
        <f t="shared" ca="1" si="92"/>
        <v>0.16895520031525221</v>
      </c>
      <c r="AE167" s="45">
        <f t="shared" ca="1" si="92"/>
        <v>0.1683302466701419</v>
      </c>
      <c r="AF167" s="45">
        <f t="shared" ca="1" si="92"/>
        <v>0.16667378322487073</v>
      </c>
      <c r="AG167" s="11"/>
      <c r="AH167" s="11"/>
    </row>
    <row r="168" spans="2:34" outlineLevel="1">
      <c r="B168" s="48" t="s">
        <v>150</v>
      </c>
      <c r="C168" s="158"/>
      <c r="D168" s="45">
        <f t="shared" ref="D168:E168" ca="1" si="93">(D118+D112)/D112</f>
        <v>58.878724554660906</v>
      </c>
      <c r="E168" s="45">
        <f t="shared" ca="1" si="93"/>
        <v>59.368936099521449</v>
      </c>
      <c r="F168" s="45">
        <f t="shared" ref="F168:AF168" ca="1" si="94">(F118+F112)/F112</f>
        <v>59.845627385465022</v>
      </c>
      <c r="G168" s="45">
        <f t="shared" ca="1" si="94"/>
        <v>60.29054468080696</v>
      </c>
      <c r="H168" s="45">
        <f t="shared" ca="1" si="94"/>
        <v>60.433151878795229</v>
      </c>
      <c r="I168" s="45">
        <f t="shared" ca="1" si="94"/>
        <v>60.538990548717322</v>
      </c>
      <c r="J168" s="45">
        <f t="shared" ca="1" si="94"/>
        <v>60.624946651088521</v>
      </c>
      <c r="K168" s="45">
        <f t="shared" ca="1" si="94"/>
        <v>60.695385941229077</v>
      </c>
      <c r="L168" s="45">
        <f t="shared" ca="1" si="94"/>
        <v>60.752484228646431</v>
      </c>
      <c r="M168" s="45">
        <f t="shared" ca="1" si="94"/>
        <v>60.849901635015819</v>
      </c>
      <c r="N168" s="45">
        <f t="shared" ca="1" si="94"/>
        <v>60.93596838320471</v>
      </c>
      <c r="O168" s="45">
        <f t="shared" ca="1" si="94"/>
        <v>61.007120077881758</v>
      </c>
      <c r="P168" s="45">
        <f t="shared" ca="1" si="94"/>
        <v>61.062364284574656</v>
      </c>
      <c r="Q168" s="45">
        <f t="shared" ca="1" si="94"/>
        <v>61.101204867644796</v>
      </c>
      <c r="R168" s="45">
        <f t="shared" ca="1" si="94"/>
        <v>61.141509744865139</v>
      </c>
      <c r="S168" s="45">
        <f t="shared" ca="1" si="94"/>
        <v>61.164976159316033</v>
      </c>
      <c r="T168" s="45">
        <f t="shared" ca="1" si="94"/>
        <v>61.169962598571253</v>
      </c>
      <c r="U168" s="45">
        <f t="shared" ca="1" si="94"/>
        <v>61.155917985248301</v>
      </c>
      <c r="V168" s="45">
        <f t="shared" ca="1" si="94"/>
        <v>61.122568061431906</v>
      </c>
      <c r="W168" s="45">
        <f t="shared" ca="1" si="94"/>
        <v>61.089116069547167</v>
      </c>
      <c r="X168" s="45">
        <f t="shared" ca="1" si="94"/>
        <v>61.035705088756515</v>
      </c>
      <c r="Y168" s="45">
        <f t="shared" ca="1" si="94"/>
        <v>60.960027811731734</v>
      </c>
      <c r="Z168" s="45">
        <f t="shared" ca="1" si="94"/>
        <v>60.86120958527745</v>
      </c>
      <c r="AA168" s="45">
        <f t="shared" ca="1" si="94"/>
        <v>60.738817973327855</v>
      </c>
      <c r="AB168" s="45">
        <f t="shared" ca="1" si="94"/>
        <v>60.602382119710867</v>
      </c>
      <c r="AC168" s="45">
        <f t="shared" ca="1" si="94"/>
        <v>60.441131322018371</v>
      </c>
      <c r="AD168" s="45">
        <f t="shared" ca="1" si="94"/>
        <v>60.252849747684238</v>
      </c>
      <c r="AE168" s="45">
        <f t="shared" ca="1" si="94"/>
        <v>60.036556268956602</v>
      </c>
      <c r="AF168" s="45">
        <f t="shared" ca="1" si="94"/>
        <v>59.471628344894413</v>
      </c>
      <c r="AG168" s="11"/>
      <c r="AH168" s="11"/>
    </row>
    <row r="169" spans="2:34" outlineLevel="1">
      <c r="B169" s="48" t="s">
        <v>151</v>
      </c>
      <c r="C169" s="158"/>
      <c r="D169" s="45">
        <f t="shared" ref="D169:E169" ca="1" si="95">(D117-D120)/D123</f>
        <v>0.13700353832612186</v>
      </c>
      <c r="E169" s="45">
        <f t="shared" ca="1" si="95"/>
        <v>0.13924342240200471</v>
      </c>
      <c r="F169" s="45">
        <f t="shared" ref="F169:AF169" ca="1" si="96">(F117-F120)/F123</f>
        <v>0.14135322266488656</v>
      </c>
      <c r="G169" s="45">
        <f t="shared" ca="1" si="96"/>
        <v>0.14332166762275186</v>
      </c>
      <c r="H169" s="45">
        <f t="shared" ca="1" si="96"/>
        <v>0.14391131352753755</v>
      </c>
      <c r="I169" s="45">
        <f t="shared" ca="1" si="96"/>
        <v>0.14437586148880729</v>
      </c>
      <c r="J169" s="45">
        <f t="shared" ca="1" si="96"/>
        <v>0.14475348646539141</v>
      </c>
      <c r="K169" s="45">
        <f t="shared" ca="1" si="96"/>
        <v>0.14506294574226519</v>
      </c>
      <c r="L169" s="45">
        <f t="shared" ca="1" si="96"/>
        <v>0.14531360702945359</v>
      </c>
      <c r="M169" s="45">
        <f t="shared" ca="1" si="96"/>
        <v>0.14574949272811874</v>
      </c>
      <c r="N169" s="45">
        <f t="shared" ca="1" si="96"/>
        <v>0.14612770181446599</v>
      </c>
      <c r="O169" s="45">
        <f t="shared" ca="1" si="96"/>
        <v>0.14643964728196499</v>
      </c>
      <c r="P169" s="45">
        <f t="shared" ca="1" si="96"/>
        <v>0.14668109324741546</v>
      </c>
      <c r="Q169" s="45">
        <f t="shared" ca="1" si="96"/>
        <v>0.14684991923369953</v>
      </c>
      <c r="R169" s="45">
        <f t="shared" ca="1" si="96"/>
        <v>0.1470261662115975</v>
      </c>
      <c r="S169" s="45">
        <f t="shared" ca="1" si="96"/>
        <v>0.14712534063014018</v>
      </c>
      <c r="T169" s="45">
        <f t="shared" ca="1" si="96"/>
        <v>0.1471427687961189</v>
      </c>
      <c r="U169" s="45">
        <f t="shared" ca="1" si="96"/>
        <v>0.14707613848124604</v>
      </c>
      <c r="V169" s="45">
        <f t="shared" ca="1" si="96"/>
        <v>0.14692429925206438</v>
      </c>
      <c r="W169" s="45">
        <f t="shared" ca="1" si="96"/>
        <v>0.14677373155476589</v>
      </c>
      <c r="X169" s="45">
        <f t="shared" ca="1" si="96"/>
        <v>0.14653230122892788</v>
      </c>
      <c r="Y169" s="45">
        <f t="shared" ca="1" si="96"/>
        <v>0.14619254890666117</v>
      </c>
      <c r="Z169" s="45">
        <f t="shared" ca="1" si="96"/>
        <v>0.14575078609462658</v>
      </c>
      <c r="AA169" s="45">
        <f t="shared" ca="1" si="96"/>
        <v>0.1452051907300641</v>
      </c>
      <c r="AB169" s="45">
        <f t="shared" ca="1" si="96"/>
        <v>0.1445986350574846</v>
      </c>
      <c r="AC169" s="45">
        <f t="shared" ca="1" si="96"/>
        <v>0.14388135937337238</v>
      </c>
      <c r="AD169" s="45">
        <f t="shared" ca="1" si="96"/>
        <v>0.14304499076745517</v>
      </c>
      <c r="AE169" s="45">
        <f t="shared" ca="1" si="96"/>
        <v>0.14208539962134531</v>
      </c>
      <c r="AF169" s="45">
        <f t="shared" ca="1" si="96"/>
        <v>0.13954482644807073</v>
      </c>
      <c r="AG169" s="11"/>
      <c r="AH169" s="11"/>
    </row>
    <row r="170" spans="2:34" outlineLevel="1">
      <c r="B170" s="48" t="s">
        <v>152</v>
      </c>
      <c r="C170" s="158"/>
      <c r="D170" s="45">
        <f t="shared" ref="D170:E170" ca="1" si="97">(D115-D120)/D123</f>
        <v>4.3473288392509545E-2</v>
      </c>
      <c r="E170" s="45">
        <f t="shared" ca="1" si="97"/>
        <v>4.4910134934835762E-2</v>
      </c>
      <c r="F170" s="45">
        <f t="shared" ref="F170:AF170" ca="1" si="98">(F115-F120)/F123</f>
        <v>4.6263918555880981E-2</v>
      </c>
      <c r="G170" s="45">
        <f t="shared" ca="1" si="98"/>
        <v>4.7526994523206974E-2</v>
      </c>
      <c r="H170" s="45">
        <f t="shared" ca="1" si="98"/>
        <v>4.7905282134701091E-2</v>
      </c>
      <c r="I170" s="45">
        <f t="shared" ca="1" si="98"/>
        <v>4.8203085978439045E-2</v>
      </c>
      <c r="J170" s="45">
        <f t="shared" ca="1" si="98"/>
        <v>4.8445125148168733E-2</v>
      </c>
      <c r="K170" s="45">
        <f t="shared" ca="1" si="98"/>
        <v>4.8643442641284167E-2</v>
      </c>
      <c r="L170" s="45">
        <f t="shared" ca="1" si="98"/>
        <v>4.880405282357074E-2</v>
      </c>
      <c r="M170" s="45">
        <f t="shared" ca="1" si="98"/>
        <v>4.908311388735899E-2</v>
      </c>
      <c r="N170" s="45">
        <f t="shared" ca="1" si="98"/>
        <v>4.9325239125834044E-2</v>
      </c>
      <c r="O170" s="45">
        <f t="shared" ca="1" si="98"/>
        <v>4.952489424676592E-2</v>
      </c>
      <c r="P170" s="45">
        <f t="shared" ca="1" si="98"/>
        <v>4.9679369245561371E-2</v>
      </c>
      <c r="Q170" s="45">
        <f t="shared" ca="1" si="98"/>
        <v>4.9787307522248296E-2</v>
      </c>
      <c r="R170" s="45">
        <f t="shared" ca="1" si="98"/>
        <v>4.9899428026882346E-2</v>
      </c>
      <c r="S170" s="45">
        <f t="shared" ca="1" si="98"/>
        <v>4.9962188489711366E-2</v>
      </c>
      <c r="T170" s="45">
        <f t="shared" ca="1" si="98"/>
        <v>4.997261330630965E-2</v>
      </c>
      <c r="U170" s="45">
        <f t="shared" ca="1" si="98"/>
        <v>4.9929237298036201E-2</v>
      </c>
      <c r="V170" s="45">
        <f t="shared" ca="1" si="98"/>
        <v>4.9831331529743533E-2</v>
      </c>
      <c r="W170" s="45">
        <f t="shared" ca="1" si="98"/>
        <v>4.9733877785958371E-2</v>
      </c>
      <c r="X170" s="45">
        <f t="shared" ca="1" si="98"/>
        <v>4.9578309292263457E-2</v>
      </c>
      <c r="Y170" s="45">
        <f t="shared" ca="1" si="98"/>
        <v>4.935987149284967E-2</v>
      </c>
      <c r="Z170" s="45">
        <f t="shared" ca="1" si="98"/>
        <v>4.9076220482509189E-2</v>
      </c>
      <c r="AA170" s="45">
        <f t="shared" ca="1" si="98"/>
        <v>4.8726198520032293E-2</v>
      </c>
      <c r="AB170" s="45">
        <f t="shared" ca="1" si="98"/>
        <v>4.8337036560656771E-2</v>
      </c>
      <c r="AC170" s="45">
        <f t="shared" ca="1" si="98"/>
        <v>4.7877126509987343E-2</v>
      </c>
      <c r="AD170" s="45">
        <f t="shared" ca="1" si="98"/>
        <v>4.7341146525456214E-2</v>
      </c>
      <c r="AE170" s="45">
        <f t="shared" ca="1" si="98"/>
        <v>4.6726475024351725E-2</v>
      </c>
      <c r="AF170" s="45">
        <f t="shared" ca="1" si="98"/>
        <v>4.5100481811282116E-2</v>
      </c>
      <c r="AG170" s="11"/>
      <c r="AH170" s="11"/>
    </row>
    <row r="171" spans="2:34" outlineLevel="1">
      <c r="B171" s="48" t="s">
        <v>153</v>
      </c>
      <c r="C171" s="158"/>
      <c r="D171" s="45">
        <f t="shared" ref="D171:E171" ca="1" si="99">(D123+D127)/D122</f>
        <v>0.78025097221133899</v>
      </c>
      <c r="E171" s="45">
        <f t="shared" ca="1" si="99"/>
        <v>0.77986056841332885</v>
      </c>
      <c r="F171" s="45">
        <f t="shared" ref="F171:AF171" ca="1" si="100">(F123+F127)/F122</f>
        <v>0.77949296889468944</v>
      </c>
      <c r="G171" s="45">
        <f t="shared" ca="1" si="100"/>
        <v>0.77915032772792525</v>
      </c>
      <c r="H171" s="45">
        <f t="shared" ca="1" si="100"/>
        <v>0.77904745937699171</v>
      </c>
      <c r="I171" s="45">
        <f t="shared" ca="1" si="100"/>
        <v>0.77896651372667269</v>
      </c>
      <c r="J171" s="45">
        <f t="shared" ca="1" si="100"/>
        <v>0.77890071018244578</v>
      </c>
      <c r="K171" s="45">
        <f t="shared" ca="1" si="100"/>
        <v>0.77884677952318848</v>
      </c>
      <c r="L171" s="45">
        <f t="shared" ca="1" si="100"/>
        <v>0.77880308813860333</v>
      </c>
      <c r="M171" s="45">
        <f t="shared" ca="1" si="100"/>
        <v>0.77872706837697314</v>
      </c>
      <c r="N171" s="45">
        <f t="shared" ca="1" si="100"/>
        <v>0.77866107263521345</v>
      </c>
      <c r="O171" s="45">
        <f t="shared" ca="1" si="100"/>
        <v>0.77860662125306801</v>
      </c>
      <c r="P171" s="45">
        <f t="shared" ca="1" si="100"/>
        <v>0.77856444951011583</v>
      </c>
      <c r="Q171" s="45">
        <f t="shared" ca="1" si="100"/>
        <v>0.77853492375699784</v>
      </c>
      <c r="R171" s="45">
        <f t="shared" ca="1" si="100"/>
        <v>0.77850384681129592</v>
      </c>
      <c r="S171" s="45">
        <f t="shared" ca="1" si="100"/>
        <v>0.77848618497932787</v>
      </c>
      <c r="T171" s="45">
        <f t="shared" ca="1" si="100"/>
        <v>0.77848277510095931</v>
      </c>
      <c r="U171" s="45">
        <f t="shared" ca="1" si="100"/>
        <v>0.77849402774573928</v>
      </c>
      <c r="V171" s="45">
        <f t="shared" ca="1" si="100"/>
        <v>0.77852014879227149</v>
      </c>
      <c r="W171" s="45">
        <f t="shared" ca="1" si="100"/>
        <v>0.77854589170193733</v>
      </c>
      <c r="X171" s="45">
        <f t="shared" ca="1" si="100"/>
        <v>0.77858749195074251</v>
      </c>
      <c r="Y171" s="45">
        <f t="shared" ca="1" si="100"/>
        <v>0.77864628314047646</v>
      </c>
      <c r="Z171" s="45">
        <f t="shared" ca="1" si="100"/>
        <v>0.77872292642732177</v>
      </c>
      <c r="AA171" s="45">
        <f t="shared" ca="1" si="100"/>
        <v>0.77881775575103351</v>
      </c>
      <c r="AB171" s="45">
        <f t="shared" ca="1" si="100"/>
        <v>0.77892320526157621</v>
      </c>
      <c r="AC171" s="45">
        <f t="shared" ca="1" si="100"/>
        <v>0.77904807565647616</v>
      </c>
      <c r="AD171" s="45">
        <f t="shared" ca="1" si="100"/>
        <v>0.77919387669463669</v>
      </c>
      <c r="AE171" s="45">
        <f t="shared" ca="1" si="100"/>
        <v>0.77936136705774517</v>
      </c>
      <c r="AF171" s="45">
        <f t="shared" ca="1" si="100"/>
        <v>0.77980560818543698</v>
      </c>
      <c r="AG171" s="11"/>
      <c r="AH171" s="11"/>
    </row>
    <row r="172" spans="2:34" outlineLevel="1">
      <c r="B172" s="48" t="s">
        <v>154</v>
      </c>
      <c r="C172" s="158"/>
      <c r="D172" s="45">
        <f ca="1">D123/D128</f>
        <v>14.917847731712403</v>
      </c>
      <c r="E172" s="45">
        <f t="shared" ref="E172" ca="1" si="101">E123/E128</f>
        <v>14.909818124261125</v>
      </c>
      <c r="F172" s="45">
        <f t="shared" ref="F172:AF172" ca="1" si="102">F123/F128</f>
        <v>14.902257542501941</v>
      </c>
      <c r="G172" s="45">
        <f t="shared" ca="1" si="102"/>
        <v>14.895210290196029</v>
      </c>
      <c r="H172" s="45">
        <f t="shared" ca="1" si="102"/>
        <v>14.893094551360067</v>
      </c>
      <c r="I172" s="45">
        <f t="shared" ca="1" si="102"/>
        <v>14.891429706396307</v>
      </c>
      <c r="J172" s="45">
        <f t="shared" ca="1" si="102"/>
        <v>14.890076295820547</v>
      </c>
      <c r="K172" s="45">
        <f t="shared" ca="1" si="102"/>
        <v>14.888967080117135</v>
      </c>
      <c r="L172" s="45">
        <f t="shared" ca="1" si="102"/>
        <v>14.888068460101117</v>
      </c>
      <c r="M172" s="45">
        <f t="shared" ca="1" si="102"/>
        <v>14.886504928067</v>
      </c>
      <c r="N172" s="45">
        <f t="shared" ca="1" si="102"/>
        <v>14.88514756447964</v>
      </c>
      <c r="O172" s="45">
        <f t="shared" ca="1" si="102"/>
        <v>14.884027638838457</v>
      </c>
      <c r="P172" s="45">
        <f t="shared" ca="1" si="102"/>
        <v>14.883160273963503</v>
      </c>
      <c r="Q172" s="45">
        <f t="shared" ca="1" si="102"/>
        <v>14.882553004750319</v>
      </c>
      <c r="R172" s="45">
        <f t="shared" ca="1" si="102"/>
        <v>14.881913831473721</v>
      </c>
      <c r="S172" s="45">
        <f t="shared" ca="1" si="102"/>
        <v>14.881550572770049</v>
      </c>
      <c r="T172" s="45">
        <f t="shared" ca="1" si="102"/>
        <v>14.881480440294656</v>
      </c>
      <c r="U172" s="45">
        <f t="shared" ca="1" si="102"/>
        <v>14.881711878412917</v>
      </c>
      <c r="V172" s="45">
        <f t="shared" ca="1" si="102"/>
        <v>14.882249121521046</v>
      </c>
      <c r="W172" s="45">
        <f t="shared" ca="1" si="102"/>
        <v>14.882778587321138</v>
      </c>
      <c r="X172" s="45">
        <f t="shared" ca="1" si="102"/>
        <v>14.883634198023397</v>
      </c>
      <c r="Y172" s="45">
        <f t="shared" ca="1" si="102"/>
        <v>14.884843382405217</v>
      </c>
      <c r="Z172" s="45">
        <f t="shared" ca="1" si="102"/>
        <v>14.886419738757997</v>
      </c>
      <c r="AA172" s="45">
        <f t="shared" ca="1" si="102"/>
        <v>14.888370135368268</v>
      </c>
      <c r="AB172" s="45">
        <f t="shared" ca="1" si="102"/>
        <v>14.890538962054645</v>
      </c>
      <c r="AC172" s="45">
        <f t="shared" ca="1" si="102"/>
        <v>14.893107226652591</v>
      </c>
      <c r="AD172" s="45">
        <f t="shared" ca="1" si="102"/>
        <v>14.896105981040698</v>
      </c>
      <c r="AE172" s="45">
        <f t="shared" ca="1" si="102"/>
        <v>14.899550829360535</v>
      </c>
      <c r="AF172" s="45">
        <f t="shared" ca="1" si="102"/>
        <v>14.908687732964593</v>
      </c>
      <c r="AG172" s="11"/>
      <c r="AH172" s="11"/>
    </row>
    <row r="173" spans="2:34" outlineLevel="1">
      <c r="B173" s="48" t="s">
        <v>155</v>
      </c>
      <c r="C173" s="158"/>
      <c r="D173" s="45">
        <f t="shared" ref="D173:E173" ca="1" si="103">D111/D128</f>
        <v>3.468312334818064</v>
      </c>
      <c r="E173" s="45">
        <f t="shared" ca="1" si="103"/>
        <v>3.4999974171125192</v>
      </c>
      <c r="F173" s="45">
        <f t="shared" ref="F173:AF173" ca="1" si="104">F111/F128</f>
        <v>3.5297937896110625</v>
      </c>
      <c r="G173" s="45">
        <f t="shared" ca="1" si="104"/>
        <v>3.5575667616748654</v>
      </c>
      <c r="H173" s="45">
        <f t="shared" ca="1" si="104"/>
        <v>3.5658822337377685</v>
      </c>
      <c r="I173" s="45">
        <f t="shared" ca="1" si="104"/>
        <v>3.5724417687694623</v>
      </c>
      <c r="J173" s="45">
        <f t="shared" ca="1" si="104"/>
        <v>3.5777745040664684</v>
      </c>
      <c r="K173" s="45">
        <f t="shared" ca="1" si="104"/>
        <v>3.5821451099725476</v>
      </c>
      <c r="L173" s="45">
        <f t="shared" ca="1" si="104"/>
        <v>3.585685852233977</v>
      </c>
      <c r="M173" s="45">
        <f t="shared" ca="1" si="104"/>
        <v>3.591851357131409</v>
      </c>
      <c r="N173" s="45">
        <f t="shared" ca="1" si="104"/>
        <v>3.5972001699490299</v>
      </c>
      <c r="O173" s="45">
        <f t="shared" ca="1" si="104"/>
        <v>3.6016130187711211</v>
      </c>
      <c r="P173" s="45">
        <f t="shared" ca="1" si="104"/>
        <v>3.6050303762743674</v>
      </c>
      <c r="Q173" s="45">
        <f t="shared" ca="1" si="104"/>
        <v>3.6074225810247214</v>
      </c>
      <c r="R173" s="45">
        <f t="shared" ca="1" si="104"/>
        <v>3.6099419104443276</v>
      </c>
      <c r="S173" s="45">
        <f t="shared" ca="1" si="104"/>
        <v>3.6113723198004211</v>
      </c>
      <c r="T173" s="45">
        <f t="shared" ca="1" si="104"/>
        <v>3.6116473470685988</v>
      </c>
      <c r="U173" s="45">
        <f t="shared" ca="1" si="104"/>
        <v>3.6107337519125084</v>
      </c>
      <c r="V173" s="45">
        <f t="shared" ca="1" si="104"/>
        <v>3.6086148652306012</v>
      </c>
      <c r="W173" s="45">
        <f t="shared" ca="1" si="104"/>
        <v>3.6065281145022321</v>
      </c>
      <c r="X173" s="45">
        <f t="shared" ca="1" si="104"/>
        <v>3.6031543471084593</v>
      </c>
      <c r="Y173" s="45">
        <f t="shared" ca="1" si="104"/>
        <v>3.5983869074984849</v>
      </c>
      <c r="Z173" s="45">
        <f t="shared" ca="1" si="104"/>
        <v>3.592172266106695</v>
      </c>
      <c r="AA173" s="45">
        <f t="shared" ca="1" si="104"/>
        <v>3.5844833848061071</v>
      </c>
      <c r="AB173" s="45">
        <f t="shared" ca="1" si="104"/>
        <v>3.5759343395535002</v>
      </c>
      <c r="AC173" s="45">
        <f t="shared" ca="1" si="104"/>
        <v>3.5658101310180887</v>
      </c>
      <c r="AD173" s="45">
        <f t="shared" ca="1" si="104"/>
        <v>3.5539890834933305</v>
      </c>
      <c r="AE173" s="45">
        <f t="shared" ca="1" si="104"/>
        <v>3.5404097694269985</v>
      </c>
      <c r="AF173" s="45">
        <f t="shared" ca="1" si="104"/>
        <v>3.5043715191844473</v>
      </c>
      <c r="AG173" s="11"/>
      <c r="AH173" s="11"/>
    </row>
    <row r="174" spans="2:34" outlineLevel="1">
      <c r="B174" s="48" t="s">
        <v>156</v>
      </c>
      <c r="C174" s="158"/>
      <c r="D174" s="45">
        <f t="shared" ref="D174:E174" ca="1" si="105">D111/D131</f>
        <v>0.21078899504347989</v>
      </c>
      <c r="E174" s="45">
        <f t="shared" ca="1" si="105"/>
        <v>0.21271467704958696</v>
      </c>
      <c r="F174" s="45">
        <f t="shared" ref="F174:AF174" ca="1" si="106">F111/F131</f>
        <v>0.21452557145833356</v>
      </c>
      <c r="G174" s="45">
        <f t="shared" ca="1" si="106"/>
        <v>0.21621349235632464</v>
      </c>
      <c r="H174" s="45">
        <f t="shared" ca="1" si="106"/>
        <v>0.21671887071624205</v>
      </c>
      <c r="I174" s="45">
        <f t="shared" ca="1" si="106"/>
        <v>0.2171175308321153</v>
      </c>
      <c r="J174" s="45">
        <f t="shared" ca="1" si="106"/>
        <v>0.2174416313760035</v>
      </c>
      <c r="K174" s="45">
        <f t="shared" ca="1" si="106"/>
        <v>0.21770725786454809</v>
      </c>
      <c r="L174" s="45">
        <f t="shared" ca="1" si="106"/>
        <v>0.21792244883668233</v>
      </c>
      <c r="M174" s="45">
        <f t="shared" ca="1" si="106"/>
        <v>0.21829716150838108</v>
      </c>
      <c r="N174" s="45">
        <f t="shared" ca="1" si="106"/>
        <v>0.21862223917430618</v>
      </c>
      <c r="O174" s="45">
        <f t="shared" ca="1" si="106"/>
        <v>0.21889043300424166</v>
      </c>
      <c r="P174" s="45">
        <f t="shared" ca="1" si="106"/>
        <v>0.21909812518541644</v>
      </c>
      <c r="Q174" s="45">
        <f t="shared" ca="1" si="106"/>
        <v>0.21924351302439596</v>
      </c>
      <c r="R174" s="45">
        <f t="shared" ca="1" si="106"/>
        <v>0.21939662694992429</v>
      </c>
      <c r="S174" s="45">
        <f t="shared" ca="1" si="106"/>
        <v>0.2194835610324303</v>
      </c>
      <c r="T174" s="45">
        <f t="shared" ca="1" si="106"/>
        <v>0.21950027599805982</v>
      </c>
      <c r="U174" s="45">
        <f t="shared" ca="1" si="106"/>
        <v>0.21944475164320409</v>
      </c>
      <c r="V174" s="45">
        <f t="shared" ca="1" si="106"/>
        <v>0.21931597489210053</v>
      </c>
      <c r="W174" s="45">
        <f t="shared" ca="1" si="106"/>
        <v>0.21918915122500357</v>
      </c>
      <c r="X174" s="45">
        <f t="shared" ca="1" si="106"/>
        <v>0.21898410826180081</v>
      </c>
      <c r="Y174" s="45">
        <f t="shared" ca="1" si="106"/>
        <v>0.21869436394026764</v>
      </c>
      <c r="Z174" s="45">
        <f t="shared" ca="1" si="106"/>
        <v>0.21831666496535695</v>
      </c>
      <c r="AA174" s="45">
        <f t="shared" ca="1" si="106"/>
        <v>0.2178493680768705</v>
      </c>
      <c r="AB174" s="45">
        <f t="shared" ca="1" si="106"/>
        <v>0.2173297941505872</v>
      </c>
      <c r="AC174" s="45">
        <f t="shared" ca="1" si="106"/>
        <v>0.21671448862537071</v>
      </c>
      <c r="AD174" s="45">
        <f t="shared" ca="1" si="106"/>
        <v>0.21599605657901474</v>
      </c>
      <c r="AE174" s="45">
        <f t="shared" ca="1" si="106"/>
        <v>0.2151707647110688</v>
      </c>
      <c r="AF174" s="45">
        <f t="shared" ca="1" si="106"/>
        <v>0.21298051601994242</v>
      </c>
      <c r="AG174" s="11"/>
      <c r="AH174" s="11"/>
    </row>
    <row r="175" spans="2:34" outlineLevel="1">
      <c r="B175" s="48" t="s">
        <v>157</v>
      </c>
      <c r="C175" s="158"/>
      <c r="D175" s="45">
        <f t="shared" ref="D175:E175" ca="1" si="107">D111/D122</f>
        <v>0.16863119603478394</v>
      </c>
      <c r="E175" s="45">
        <f t="shared" ca="1" si="107"/>
        <v>0.17017174163966958</v>
      </c>
      <c r="F175" s="45">
        <f t="shared" ref="F175:AF175" ca="1" si="108">F111/F122</f>
        <v>0.17162045716666688</v>
      </c>
      <c r="G175" s="45">
        <f t="shared" ca="1" si="108"/>
        <v>0.17297079388505976</v>
      </c>
      <c r="H175" s="45">
        <f t="shared" ca="1" si="108"/>
        <v>0.17337509657299363</v>
      </c>
      <c r="I175" s="45">
        <f t="shared" ca="1" si="108"/>
        <v>0.17369402466569225</v>
      </c>
      <c r="J175" s="45">
        <f t="shared" ca="1" si="108"/>
        <v>0.17395330510080284</v>
      </c>
      <c r="K175" s="45">
        <f t="shared" ca="1" si="108"/>
        <v>0.1741658062916385</v>
      </c>
      <c r="L175" s="45">
        <f t="shared" ca="1" si="108"/>
        <v>0.17433795906934588</v>
      </c>
      <c r="M175" s="45">
        <f t="shared" ca="1" si="108"/>
        <v>0.17463772920670487</v>
      </c>
      <c r="N175" s="45">
        <f t="shared" ca="1" si="108"/>
        <v>0.17489779133944497</v>
      </c>
      <c r="O175" s="45">
        <f t="shared" ca="1" si="108"/>
        <v>0.17511234640339335</v>
      </c>
      <c r="P175" s="45">
        <f t="shared" ca="1" si="108"/>
        <v>0.17527850014833316</v>
      </c>
      <c r="Q175" s="45">
        <f t="shared" ca="1" si="108"/>
        <v>0.17539481041951679</v>
      </c>
      <c r="R175" s="45">
        <f t="shared" ca="1" si="108"/>
        <v>0.17551730155993944</v>
      </c>
      <c r="S175" s="45">
        <f t="shared" ca="1" si="108"/>
        <v>0.17558684882594428</v>
      </c>
      <c r="T175" s="45">
        <f t="shared" ca="1" si="108"/>
        <v>0.17560022079844786</v>
      </c>
      <c r="U175" s="45">
        <f t="shared" ca="1" si="108"/>
        <v>0.17555580131456328</v>
      </c>
      <c r="V175" s="45">
        <f t="shared" ca="1" si="108"/>
        <v>0.17545277991368047</v>
      </c>
      <c r="W175" s="45">
        <f t="shared" ca="1" si="108"/>
        <v>0.17535132098000286</v>
      </c>
      <c r="X175" s="45">
        <f t="shared" ca="1" si="108"/>
        <v>0.17518728660944066</v>
      </c>
      <c r="Y175" s="45">
        <f t="shared" ca="1" si="108"/>
        <v>0.17495549115221412</v>
      </c>
      <c r="Z175" s="45">
        <f t="shared" ca="1" si="108"/>
        <v>0.17465333197228558</v>
      </c>
      <c r="AA175" s="45">
        <f t="shared" ca="1" si="108"/>
        <v>0.17427949446149643</v>
      </c>
      <c r="AB175" s="45">
        <f t="shared" ca="1" si="108"/>
        <v>0.17386383532046978</v>
      </c>
      <c r="AC175" s="45">
        <f t="shared" ca="1" si="108"/>
        <v>0.17337159090029661</v>
      </c>
      <c r="AD175" s="45">
        <f t="shared" ca="1" si="108"/>
        <v>0.17279684526321182</v>
      </c>
      <c r="AE175" s="45">
        <f t="shared" ca="1" si="108"/>
        <v>0.17213661176885506</v>
      </c>
      <c r="AF175" s="45">
        <f t="shared" ca="1" si="108"/>
        <v>0.17038441281595396</v>
      </c>
      <c r="AG175" s="11"/>
      <c r="AH175" s="11"/>
    </row>
    <row r="176" spans="2:34" outlineLevel="1">
      <c r="B176" s="48" t="s">
        <v>158</v>
      </c>
      <c r="C176" s="158"/>
      <c r="D176" s="45">
        <f t="shared" ref="D176:E176" ca="1" si="109">D106/D123</f>
        <v>0.9024801574608653</v>
      </c>
      <c r="E176" s="45">
        <f t="shared" ca="1" si="109"/>
        <v>0.90260756898898442</v>
      </c>
      <c r="F176" s="45">
        <f t="shared" ref="F176:AF176" ca="1" si="110">F106/F123</f>
        <v>0.90272812347917541</v>
      </c>
      <c r="G176" s="45">
        <f t="shared" ca="1" si="110"/>
        <v>0.9028407866518563</v>
      </c>
      <c r="H176" s="45">
        <f t="shared" ca="1" si="110"/>
        <v>0.90288100470456645</v>
      </c>
      <c r="I176" s="45">
        <f t="shared" ca="1" si="110"/>
        <v>0.90291376838228465</v>
      </c>
      <c r="J176" s="45">
        <f t="shared" ca="1" si="110"/>
        <v>0.90294121333357513</v>
      </c>
      <c r="K176" s="45">
        <f t="shared" ca="1" si="110"/>
        <v>0.90296433539302134</v>
      </c>
      <c r="L176" s="45">
        <f t="shared" ca="1" si="110"/>
        <v>0.90298363168977824</v>
      </c>
      <c r="M176" s="45">
        <f t="shared" ca="1" si="110"/>
        <v>0.90302090660035716</v>
      </c>
      <c r="N176" s="45">
        <f t="shared" ca="1" si="110"/>
        <v>0.90305430132631892</v>
      </c>
      <c r="O176" s="45">
        <f t="shared" ca="1" si="110"/>
        <v>0.90308293801462824</v>
      </c>
      <c r="P176" s="45">
        <f t="shared" ca="1" si="110"/>
        <v>0.90310639109446511</v>
      </c>
      <c r="Q176" s="45">
        <f t="shared" ca="1" si="110"/>
        <v>0.9031244475296305</v>
      </c>
      <c r="R176" s="45">
        <f t="shared" ca="1" si="110"/>
        <v>0.90315471550175341</v>
      </c>
      <c r="S176" s="45">
        <f t="shared" ca="1" si="110"/>
        <v>0.90317894978951485</v>
      </c>
      <c r="T176" s="45">
        <f t="shared" ca="1" si="110"/>
        <v>0.90319608654899552</v>
      </c>
      <c r="U176" s="45">
        <f t="shared" ca="1" si="110"/>
        <v>0.90320559860592065</v>
      </c>
      <c r="V176" s="45">
        <f t="shared" ca="1" si="110"/>
        <v>0.90320722267594211</v>
      </c>
      <c r="W176" s="45">
        <f t="shared" ca="1" si="110"/>
        <v>0.9032161816534986</v>
      </c>
      <c r="X176" s="45">
        <f t="shared" ca="1" si="110"/>
        <v>0.90321638963109685</v>
      </c>
      <c r="Y176" s="45">
        <f t="shared" ca="1" si="110"/>
        <v>0.90320642937485762</v>
      </c>
      <c r="Z176" s="45">
        <f t="shared" ca="1" si="110"/>
        <v>0.90318559863843617</v>
      </c>
      <c r="AA176" s="45">
        <f t="shared" ca="1" si="110"/>
        <v>0.90315354821981175</v>
      </c>
      <c r="AB176" s="45">
        <f t="shared" ca="1" si="110"/>
        <v>0.9031183622501272</v>
      </c>
      <c r="AC176" s="45">
        <f t="shared" ca="1" si="110"/>
        <v>0.90307086739872644</v>
      </c>
      <c r="AD176" s="45">
        <f t="shared" ca="1" si="110"/>
        <v>0.90300936713856317</v>
      </c>
      <c r="AE176" s="45">
        <f t="shared" ca="1" si="110"/>
        <v>0.90293302010413601</v>
      </c>
      <c r="AF176" s="45">
        <f t="shared" ca="1" si="110"/>
        <v>0.90270677236187702</v>
      </c>
      <c r="AG176" s="11"/>
      <c r="AH176" s="11"/>
    </row>
    <row r="177" spans="2:34" outlineLevel="1">
      <c r="B177" s="48" t="s">
        <v>159</v>
      </c>
      <c r="C177" s="158"/>
      <c r="D177" s="45">
        <f t="shared" ref="D177:E177" ca="1" si="111">D107/D122</f>
        <v>0.19076719412007151</v>
      </c>
      <c r="E177" s="45">
        <f t="shared" ca="1" si="111"/>
        <v>0.19230153132012801</v>
      </c>
      <c r="F177" s="45">
        <f t="shared" ref="F177:AF177" ca="1" si="112">F107/F122</f>
        <v>0.19374440108784136</v>
      </c>
      <c r="G177" s="45">
        <f t="shared" ca="1" si="112"/>
        <v>0.19508928894767996</v>
      </c>
      <c r="H177" s="45">
        <f t="shared" ca="1" si="112"/>
        <v>0.19549195576944156</v>
      </c>
      <c r="I177" s="45">
        <f t="shared" ca="1" si="112"/>
        <v>0.19580959662218786</v>
      </c>
      <c r="J177" s="45">
        <f t="shared" ca="1" si="112"/>
        <v>0.19606783061501526</v>
      </c>
      <c r="K177" s="45">
        <f t="shared" ca="1" si="112"/>
        <v>0.19627947417237737</v>
      </c>
      <c r="L177" s="45">
        <f t="shared" ca="1" si="112"/>
        <v>0.19645093214689782</v>
      </c>
      <c r="M177" s="45">
        <f t="shared" ca="1" si="112"/>
        <v>0.19674949337835573</v>
      </c>
      <c r="N177" s="45">
        <f t="shared" ca="1" si="112"/>
        <v>0.19700850601238723</v>
      </c>
      <c r="O177" s="45">
        <f t="shared" ca="1" si="112"/>
        <v>0.19722219516205511</v>
      </c>
      <c r="P177" s="45">
        <f t="shared" ca="1" si="112"/>
        <v>0.19738767826994186</v>
      </c>
      <c r="Q177" s="45">
        <f t="shared" ca="1" si="112"/>
        <v>0.1975035190071989</v>
      </c>
      <c r="R177" s="45">
        <f t="shared" ca="1" si="112"/>
        <v>0.1976255159458214</v>
      </c>
      <c r="S177" s="45">
        <f t="shared" ca="1" si="112"/>
        <v>0.19769478234416191</v>
      </c>
      <c r="T177" s="45">
        <f t="shared" ca="1" si="112"/>
        <v>0.19770810009100109</v>
      </c>
      <c r="U177" s="45">
        <f t="shared" ca="1" si="112"/>
        <v>0.19766385955254315</v>
      </c>
      <c r="V177" s="45">
        <f t="shared" ca="1" si="112"/>
        <v>0.19756125354216691</v>
      </c>
      <c r="W177" s="45">
        <f t="shared" ca="1" si="112"/>
        <v>0.19746020398566624</v>
      </c>
      <c r="X177" s="45">
        <f t="shared" ca="1" si="112"/>
        <v>0.19729683116395907</v>
      </c>
      <c r="Y177" s="45">
        <f t="shared" ca="1" si="112"/>
        <v>0.19706597063489695</v>
      </c>
      <c r="Z177" s="45">
        <f t="shared" ca="1" si="112"/>
        <v>0.19676503027649267</v>
      </c>
      <c r="AA177" s="45">
        <f t="shared" ca="1" si="112"/>
        <v>0.19639270079107179</v>
      </c>
      <c r="AB177" s="45">
        <f t="shared" ca="1" si="112"/>
        <v>0.19597871856316387</v>
      </c>
      <c r="AC177" s="45">
        <f t="shared" ca="1" si="112"/>
        <v>0.19548845989714234</v>
      </c>
      <c r="AD177" s="45">
        <f t="shared" ca="1" si="112"/>
        <v>0.19491603286421566</v>
      </c>
      <c r="AE177" s="45">
        <f t="shared" ca="1" si="112"/>
        <v>0.19425846288897544</v>
      </c>
      <c r="AF177" s="45">
        <f t="shared" ca="1" si="112"/>
        <v>0.19251332849020139</v>
      </c>
      <c r="AG177" s="11"/>
      <c r="AH177" s="11"/>
    </row>
    <row r="178" spans="2:34" outlineLevel="1">
      <c r="B178" s="48" t="s">
        <v>160</v>
      </c>
      <c r="C178" s="158"/>
      <c r="D178" s="45">
        <f t="shared" ref="D178:E178" ca="1" si="113">D130/D122</f>
        <v>0.43518822915850425</v>
      </c>
      <c r="E178" s="45">
        <f t="shared" ca="1" si="113"/>
        <v>0.43495398687969816</v>
      </c>
      <c r="F178" s="45">
        <f t="shared" ref="F178:AF178" ca="1" si="114">F130/F122</f>
        <v>0.43473342716851449</v>
      </c>
      <c r="G178" s="45">
        <f t="shared" ca="1" si="114"/>
        <v>0.43452784246845599</v>
      </c>
      <c r="H178" s="45">
        <f t="shared" ca="1" si="114"/>
        <v>0.43446612145789576</v>
      </c>
      <c r="I178" s="45">
        <f t="shared" ca="1" si="114"/>
        <v>0.43441755406770444</v>
      </c>
      <c r="J178" s="45">
        <f t="shared" ca="1" si="114"/>
        <v>0.43437807194116823</v>
      </c>
      <c r="K178" s="45">
        <f t="shared" ca="1" si="114"/>
        <v>0.43434571354561391</v>
      </c>
      <c r="L178" s="45">
        <f t="shared" ca="1" si="114"/>
        <v>0.43431949871486286</v>
      </c>
      <c r="M178" s="45">
        <f t="shared" ca="1" si="114"/>
        <v>0.43427388685788476</v>
      </c>
      <c r="N178" s="45">
        <f t="shared" ca="1" si="114"/>
        <v>0.43423428941282888</v>
      </c>
      <c r="O178" s="45">
        <f t="shared" ca="1" si="114"/>
        <v>0.43420161858354167</v>
      </c>
      <c r="P178" s="45">
        <f t="shared" ca="1" si="114"/>
        <v>0.43417631553777036</v>
      </c>
      <c r="Q178" s="45">
        <f t="shared" ca="1" si="114"/>
        <v>0.43415860008589952</v>
      </c>
      <c r="R178" s="45">
        <f t="shared" ca="1" si="114"/>
        <v>0.43413995391847837</v>
      </c>
      <c r="S178" s="45">
        <f t="shared" ca="1" si="114"/>
        <v>0.4341293568192976</v>
      </c>
      <c r="T178" s="45">
        <f t="shared" ca="1" si="114"/>
        <v>0.43412731089227635</v>
      </c>
      <c r="U178" s="45">
        <f t="shared" ca="1" si="114"/>
        <v>0.43413406247914443</v>
      </c>
      <c r="V178" s="45">
        <f t="shared" ca="1" si="114"/>
        <v>0.43414973510706362</v>
      </c>
      <c r="W178" s="45">
        <f t="shared" ca="1" si="114"/>
        <v>0.43416518085286326</v>
      </c>
      <c r="X178" s="45">
        <f t="shared" ca="1" si="114"/>
        <v>0.43419014100214631</v>
      </c>
      <c r="Y178" s="45">
        <f t="shared" ca="1" si="114"/>
        <v>0.43422541571598666</v>
      </c>
      <c r="Z178" s="45">
        <f t="shared" ca="1" si="114"/>
        <v>0.43427140168809386</v>
      </c>
      <c r="AA178" s="45">
        <f t="shared" ca="1" si="114"/>
        <v>0.43432829928232092</v>
      </c>
      <c r="AB178" s="45">
        <f t="shared" ca="1" si="114"/>
        <v>0.43439156898864656</v>
      </c>
      <c r="AC178" s="45">
        <f t="shared" ca="1" si="114"/>
        <v>0.43446649122558656</v>
      </c>
      <c r="AD178" s="45">
        <f t="shared" ca="1" si="114"/>
        <v>0.43455397184848288</v>
      </c>
      <c r="AE178" s="45">
        <f t="shared" ca="1" si="114"/>
        <v>0.434654466066348</v>
      </c>
      <c r="AF178" s="45">
        <f t="shared" ca="1" si="114"/>
        <v>0.43492101074296308</v>
      </c>
      <c r="AG178" s="11"/>
      <c r="AH178" s="11"/>
    </row>
    <row r="179" spans="2:34" outlineLevel="1">
      <c r="B179" s="48" t="s">
        <v>161</v>
      </c>
      <c r="C179" s="158"/>
      <c r="D179" s="45">
        <f t="shared" ref="D179:E179" ca="1" si="115">D107/(D112+D129+D119)</f>
        <v>2.5668774551463942</v>
      </c>
      <c r="E179" s="45">
        <f t="shared" ca="1" si="115"/>
        <v>2.5686956244952968</v>
      </c>
      <c r="F179" s="45">
        <f t="shared" ref="F179:AF179" ca="1" si="116">F107/(F112+F129+F119)</f>
        <v>2.5704099429261054</v>
      </c>
      <c r="G179" s="45">
        <f t="shared" ca="1" si="116"/>
        <v>2.5719873009437424</v>
      </c>
      <c r="H179" s="45">
        <f t="shared" ca="1" si="116"/>
        <v>2.572472596533653</v>
      </c>
      <c r="I179" s="45">
        <f t="shared" ca="1" si="116"/>
        <v>2.5728420089700199</v>
      </c>
      <c r="J179" s="45">
        <f t="shared" ca="1" si="116"/>
        <v>2.5731413335932607</v>
      </c>
      <c r="K179" s="45">
        <f t="shared" ca="1" si="116"/>
        <v>2.5733860798891484</v>
      </c>
      <c r="L179" s="45">
        <f t="shared" ca="1" si="116"/>
        <v>2.5735840476313698</v>
      </c>
      <c r="M179" s="45">
        <f t="shared" ca="1" si="116"/>
        <v>2.5739243934181313</v>
      </c>
      <c r="N179" s="45">
        <f t="shared" ca="1" si="116"/>
        <v>2.5742216417919312</v>
      </c>
      <c r="O179" s="45">
        <f t="shared" ca="1" si="116"/>
        <v>2.5744665760432852</v>
      </c>
      <c r="P179" s="45">
        <f t="shared" ca="1" si="116"/>
        <v>2.5746561641310453</v>
      </c>
      <c r="Q179" s="45">
        <f t="shared" ca="1" si="116"/>
        <v>2.5747889982364014</v>
      </c>
      <c r="R179" s="45">
        <f t="shared" ca="1" si="116"/>
        <v>2.5749276668752241</v>
      </c>
      <c r="S179" s="45">
        <f t="shared" ca="1" si="116"/>
        <v>2.5750073591122775</v>
      </c>
      <c r="T179" s="45">
        <f t="shared" ca="1" si="116"/>
        <v>2.5750235162841841</v>
      </c>
      <c r="U179" s="45">
        <f t="shared" ca="1" si="116"/>
        <v>2.5749743024624991</v>
      </c>
      <c r="V179" s="45">
        <f t="shared" ca="1" si="116"/>
        <v>2.5748587051935035</v>
      </c>
      <c r="W179" s="45">
        <f t="shared" ca="1" si="116"/>
        <v>2.574743671180133</v>
      </c>
      <c r="X179" s="45">
        <f t="shared" ca="1" si="116"/>
        <v>2.5745586495331585</v>
      </c>
      <c r="Y179" s="45">
        <f t="shared" ca="1" si="116"/>
        <v>2.5742963428858241</v>
      </c>
      <c r="Z179" s="45">
        <f t="shared" ca="1" si="116"/>
        <v>2.573953237458587</v>
      </c>
      <c r="AA179" s="45">
        <f t="shared" ca="1" si="116"/>
        <v>2.5735271298408815</v>
      </c>
      <c r="AB179" s="45">
        <f t="shared" ca="1" si="116"/>
        <v>2.5730509224636058</v>
      </c>
      <c r="AC179" s="45">
        <f t="shared" ca="1" si="116"/>
        <v>2.5724850918603432</v>
      </c>
      <c r="AD179" s="45">
        <f t="shared" ca="1" si="116"/>
        <v>2.5718210149897542</v>
      </c>
      <c r="AE179" s="45">
        <f t="shared" ca="1" si="116"/>
        <v>2.5710535877699714</v>
      </c>
      <c r="AF179" s="45">
        <f t="shared" ca="1" si="116"/>
        <v>2.5690098771154979</v>
      </c>
      <c r="AG179" s="11"/>
      <c r="AH179" s="11"/>
    </row>
    <row r="180" spans="2:34" outlineLevel="1">
      <c r="B180" s="48" t="s">
        <v>162</v>
      </c>
      <c r="C180" s="158"/>
      <c r="D180" s="45">
        <f t="shared" ref="D180:E180" ca="1" si="117">D117/D126</f>
        <v>0.26048440628159092</v>
      </c>
      <c r="E180" s="45">
        <f t="shared" ca="1" si="117"/>
        <v>0.26275942943683017</v>
      </c>
      <c r="F180" s="45">
        <f t="shared" ref="F180:AF180" ca="1" si="118">F117/F126</f>
        <v>0.26490241914518836</v>
      </c>
      <c r="G180" s="45">
        <f t="shared" ca="1" si="118"/>
        <v>0.2669018698062432</v>
      </c>
      <c r="H180" s="45">
        <f t="shared" ca="1" si="118"/>
        <v>0.26750168490466869</v>
      </c>
      <c r="I180" s="45">
        <f t="shared" ca="1" si="118"/>
        <v>0.26797439156927844</v>
      </c>
      <c r="J180" s="45">
        <f t="shared" ca="1" si="118"/>
        <v>0.26835875943144022</v>
      </c>
      <c r="K180" s="45">
        <f t="shared" ca="1" si="118"/>
        <v>0.2686738305075641</v>
      </c>
      <c r="L180" s="45">
        <f t="shared" ca="1" si="118"/>
        <v>0.26892911463588159</v>
      </c>
      <c r="M180" s="45">
        <f t="shared" ca="1" si="118"/>
        <v>0.26937354462400814</v>
      </c>
      <c r="N180" s="45">
        <f t="shared" ca="1" si="118"/>
        <v>0.26975931086823901</v>
      </c>
      <c r="O180" s="45">
        <f t="shared" ca="1" si="118"/>
        <v>0.27007763821204939</v>
      </c>
      <c r="P180" s="45">
        <f t="shared" ca="1" si="118"/>
        <v>0.2703241988929288</v>
      </c>
      <c r="Q180" s="45">
        <f t="shared" ca="1" si="118"/>
        <v>0.27049682636433242</v>
      </c>
      <c r="R180" s="45">
        <f t="shared" ca="1" si="118"/>
        <v>0.270678592027989</v>
      </c>
      <c r="S180" s="45">
        <f t="shared" ca="1" si="118"/>
        <v>0.27078184965529967</v>
      </c>
      <c r="T180" s="45">
        <f t="shared" ca="1" si="118"/>
        <v>0.2708017436355466</v>
      </c>
      <c r="U180" s="45">
        <f t="shared" ca="1" si="118"/>
        <v>0.27073587166069257</v>
      </c>
      <c r="V180" s="45">
        <f t="shared" ca="1" si="118"/>
        <v>0.27058303841362169</v>
      </c>
      <c r="W180" s="45">
        <f t="shared" ca="1" si="118"/>
        <v>0.27043248266412084</v>
      </c>
      <c r="X180" s="45">
        <f t="shared" ca="1" si="118"/>
        <v>0.27018914977092906</v>
      </c>
      <c r="Y180" s="45">
        <f t="shared" ca="1" si="118"/>
        <v>0.26984532854307014</v>
      </c>
      <c r="Z180" s="45">
        <f t="shared" ca="1" si="118"/>
        <v>0.2693972060354729</v>
      </c>
      <c r="AA180" s="45">
        <f t="shared" ca="1" si="118"/>
        <v>0.26884289871526301</v>
      </c>
      <c r="AB180" s="45">
        <f t="shared" ca="1" si="118"/>
        <v>0.26822671942675957</v>
      </c>
      <c r="AC180" s="45">
        <f t="shared" ca="1" si="118"/>
        <v>0.26749726614699632</v>
      </c>
      <c r="AD180" s="45">
        <f t="shared" ca="1" si="118"/>
        <v>0.26664586967464032</v>
      </c>
      <c r="AE180" s="45">
        <f t="shared" ca="1" si="118"/>
        <v>0.26566825432175051</v>
      </c>
      <c r="AF180" s="45">
        <f t="shared" ca="1" si="118"/>
        <v>0.26307670422215296</v>
      </c>
      <c r="AG180" s="11"/>
      <c r="AH180" s="11"/>
    </row>
    <row r="181" spans="2:34" outlineLevel="1">
      <c r="B181" s="48" t="s">
        <v>163</v>
      </c>
      <c r="C181" s="158"/>
      <c r="D181" s="45">
        <f t="shared" ref="D181:E181" ca="1" si="119">D114/D122</f>
        <v>0.16863119603478394</v>
      </c>
      <c r="E181" s="45">
        <f t="shared" ca="1" si="119"/>
        <v>0.17017174163966958</v>
      </c>
      <c r="F181" s="45">
        <f t="shared" ref="F181:AF181" ca="1" si="120">F114/F122</f>
        <v>0.17162045716666688</v>
      </c>
      <c r="G181" s="45">
        <f t="shared" ca="1" si="120"/>
        <v>0.17297079388505976</v>
      </c>
      <c r="H181" s="45">
        <f t="shared" ca="1" si="120"/>
        <v>0.17337509657299363</v>
      </c>
      <c r="I181" s="45">
        <f t="shared" ca="1" si="120"/>
        <v>0.17369402466569225</v>
      </c>
      <c r="J181" s="45">
        <f t="shared" ca="1" si="120"/>
        <v>0.17395330510080284</v>
      </c>
      <c r="K181" s="45">
        <f t="shared" ca="1" si="120"/>
        <v>0.1741658062916385</v>
      </c>
      <c r="L181" s="45">
        <f t="shared" ca="1" si="120"/>
        <v>0.17433795906934588</v>
      </c>
      <c r="M181" s="45">
        <f t="shared" ca="1" si="120"/>
        <v>0.17463772920670487</v>
      </c>
      <c r="N181" s="45">
        <f t="shared" ca="1" si="120"/>
        <v>0.17489779133944497</v>
      </c>
      <c r="O181" s="45">
        <f t="shared" ca="1" si="120"/>
        <v>0.17511234640339335</v>
      </c>
      <c r="P181" s="45">
        <f t="shared" ca="1" si="120"/>
        <v>0.17527850014833316</v>
      </c>
      <c r="Q181" s="45">
        <f t="shared" ca="1" si="120"/>
        <v>0.17539481041951679</v>
      </c>
      <c r="R181" s="45">
        <f t="shared" ca="1" si="120"/>
        <v>0.17551730155993944</v>
      </c>
      <c r="S181" s="45">
        <f t="shared" ca="1" si="120"/>
        <v>0.17558684882594428</v>
      </c>
      <c r="T181" s="45">
        <f t="shared" ca="1" si="120"/>
        <v>0.17560022079844786</v>
      </c>
      <c r="U181" s="45">
        <f t="shared" ca="1" si="120"/>
        <v>0.17555580131456328</v>
      </c>
      <c r="V181" s="45">
        <f t="shared" ca="1" si="120"/>
        <v>0.17545277991368047</v>
      </c>
      <c r="W181" s="45">
        <f t="shared" ca="1" si="120"/>
        <v>0.17535132098000286</v>
      </c>
      <c r="X181" s="45">
        <f t="shared" ca="1" si="120"/>
        <v>0.17518728660944066</v>
      </c>
      <c r="Y181" s="45">
        <f t="shared" ca="1" si="120"/>
        <v>0.17495549115221412</v>
      </c>
      <c r="Z181" s="45">
        <f t="shared" ca="1" si="120"/>
        <v>0.17465333197228558</v>
      </c>
      <c r="AA181" s="45">
        <f t="shared" ca="1" si="120"/>
        <v>0.17427949446149643</v>
      </c>
      <c r="AB181" s="45">
        <f t="shared" ca="1" si="120"/>
        <v>0.17386383532046978</v>
      </c>
      <c r="AC181" s="45">
        <f t="shared" ca="1" si="120"/>
        <v>0.17337159090029661</v>
      </c>
      <c r="AD181" s="45">
        <f t="shared" ca="1" si="120"/>
        <v>0.17279684526321182</v>
      </c>
      <c r="AE181" s="45">
        <f t="shared" ca="1" si="120"/>
        <v>0.17213661176885506</v>
      </c>
      <c r="AF181" s="45">
        <f t="shared" ca="1" si="120"/>
        <v>0.17038441281595396</v>
      </c>
      <c r="AG181" s="11"/>
      <c r="AH181" s="11"/>
    </row>
    <row r="182" spans="2:34" outlineLevel="1">
      <c r="B182" s="48" t="s">
        <v>164</v>
      </c>
      <c r="C182" s="158"/>
      <c r="D182" s="45">
        <f ca="1">D114/D128</f>
        <v>3.468312334818064</v>
      </c>
      <c r="E182" s="45">
        <f t="shared" ref="E182" ca="1" si="121">E114/E128</f>
        <v>3.4999974171125192</v>
      </c>
      <c r="F182" s="45">
        <f t="shared" ref="F182:AF182" ca="1" si="122">F114/F128</f>
        <v>3.5297937896110625</v>
      </c>
      <c r="G182" s="45">
        <f t="shared" ca="1" si="122"/>
        <v>3.5575667616748654</v>
      </c>
      <c r="H182" s="45">
        <f t="shared" ca="1" si="122"/>
        <v>3.5658822337377685</v>
      </c>
      <c r="I182" s="45">
        <f t="shared" ca="1" si="122"/>
        <v>3.5724417687694623</v>
      </c>
      <c r="J182" s="45">
        <f t="shared" ca="1" si="122"/>
        <v>3.5777745040664684</v>
      </c>
      <c r="K182" s="45">
        <f t="shared" ca="1" si="122"/>
        <v>3.5821451099725476</v>
      </c>
      <c r="L182" s="45">
        <f t="shared" ca="1" si="122"/>
        <v>3.585685852233977</v>
      </c>
      <c r="M182" s="45">
        <f t="shared" ca="1" si="122"/>
        <v>3.591851357131409</v>
      </c>
      <c r="N182" s="45">
        <f t="shared" ca="1" si="122"/>
        <v>3.5972001699490299</v>
      </c>
      <c r="O182" s="45">
        <f t="shared" ca="1" si="122"/>
        <v>3.6016130187711211</v>
      </c>
      <c r="P182" s="45">
        <f t="shared" ca="1" si="122"/>
        <v>3.6050303762743674</v>
      </c>
      <c r="Q182" s="45">
        <f t="shared" ca="1" si="122"/>
        <v>3.6074225810247214</v>
      </c>
      <c r="R182" s="45">
        <f t="shared" ca="1" si="122"/>
        <v>3.6099419104443276</v>
      </c>
      <c r="S182" s="45">
        <f t="shared" ca="1" si="122"/>
        <v>3.6113723198004211</v>
      </c>
      <c r="T182" s="45">
        <f t="shared" ca="1" si="122"/>
        <v>3.6116473470685988</v>
      </c>
      <c r="U182" s="45">
        <f t="shared" ca="1" si="122"/>
        <v>3.6107337519125084</v>
      </c>
      <c r="V182" s="45">
        <f t="shared" ca="1" si="122"/>
        <v>3.6086148652306012</v>
      </c>
      <c r="W182" s="45">
        <f t="shared" ca="1" si="122"/>
        <v>3.6065281145022321</v>
      </c>
      <c r="X182" s="45">
        <f t="shared" ca="1" si="122"/>
        <v>3.6031543471084593</v>
      </c>
      <c r="Y182" s="45">
        <f t="shared" ca="1" si="122"/>
        <v>3.5983869074984849</v>
      </c>
      <c r="Z182" s="45">
        <f t="shared" ca="1" si="122"/>
        <v>3.592172266106695</v>
      </c>
      <c r="AA182" s="45">
        <f t="shared" ca="1" si="122"/>
        <v>3.5844833848061071</v>
      </c>
      <c r="AB182" s="45">
        <f t="shared" ca="1" si="122"/>
        <v>3.5759343395535002</v>
      </c>
      <c r="AC182" s="45">
        <f t="shared" ca="1" si="122"/>
        <v>3.5658101310180887</v>
      </c>
      <c r="AD182" s="45">
        <f t="shared" ca="1" si="122"/>
        <v>3.5539890834933305</v>
      </c>
      <c r="AE182" s="45">
        <f t="shared" ca="1" si="122"/>
        <v>3.5404097694269985</v>
      </c>
      <c r="AF182" s="45">
        <f t="shared" ca="1" si="122"/>
        <v>3.5043715191844473</v>
      </c>
      <c r="AG182" s="11"/>
      <c r="AH182" s="11"/>
    </row>
    <row r="183" spans="2:34" outlineLevel="1">
      <c r="B183" s="48" t="s">
        <v>165</v>
      </c>
      <c r="C183" s="158"/>
      <c r="D183" s="45">
        <f t="shared" ref="D183:E183" ca="1" si="123">D114/D106</f>
        <v>0.2576169110430373</v>
      </c>
      <c r="E183" s="45">
        <f t="shared" ca="1" si="123"/>
        <v>0.2600736824506531</v>
      </c>
      <c r="F183" s="45">
        <f t="shared" ref="F183:AF183" ca="1" si="124">F114/F106</f>
        <v>0.26238578159413084</v>
      </c>
      <c r="G183" s="45">
        <f t="shared" ca="1" si="124"/>
        <v>0.26454237571736727</v>
      </c>
      <c r="H183" s="45">
        <f t="shared" ca="1" si="124"/>
        <v>0.26518657437883858</v>
      </c>
      <c r="I183" s="45">
        <f t="shared" ca="1" si="124"/>
        <v>0.26569445271795811</v>
      </c>
      <c r="J183" s="45">
        <f t="shared" ca="1" si="124"/>
        <v>0.26610716344208851</v>
      </c>
      <c r="K183" s="45">
        <f t="shared" ca="1" si="124"/>
        <v>0.26644526568406451</v>
      </c>
      <c r="L183" s="45">
        <f t="shared" ca="1" si="124"/>
        <v>0.26671902968059563</v>
      </c>
      <c r="M183" s="45">
        <f t="shared" ca="1" si="124"/>
        <v>0.26719467894860982</v>
      </c>
      <c r="N183" s="45">
        <f t="shared" ca="1" si="124"/>
        <v>0.26760707757570823</v>
      </c>
      <c r="O183" s="45">
        <f t="shared" ca="1" si="124"/>
        <v>0.26794702686529881</v>
      </c>
      <c r="P183" s="45">
        <f t="shared" ca="1" si="124"/>
        <v>0.2682099308358557</v>
      </c>
      <c r="Q183" s="45">
        <f t="shared" ca="1" si="124"/>
        <v>0.26839349314611355</v>
      </c>
      <c r="R183" s="45">
        <f t="shared" ca="1" si="124"/>
        <v>0.26858346608989347</v>
      </c>
      <c r="S183" s="45">
        <f t="shared" ca="1" si="124"/>
        <v>0.26868923904843373</v>
      </c>
      <c r="T183" s="45">
        <f t="shared" ca="1" si="124"/>
        <v>0.26870586929565915</v>
      </c>
      <c r="U183" s="45">
        <f t="shared" ca="1" si="124"/>
        <v>0.26863089107541416</v>
      </c>
      <c r="V183" s="45">
        <f t="shared" ca="1" si="124"/>
        <v>0.2684630759221221</v>
      </c>
      <c r="W183" s="45">
        <f t="shared" ca="1" si="124"/>
        <v>0.26829562550941521</v>
      </c>
      <c r="X183" s="45">
        <f t="shared" ca="1" si="124"/>
        <v>0.2680291746272952</v>
      </c>
      <c r="Y183" s="45">
        <f t="shared" ca="1" si="124"/>
        <v>0.26765574412404064</v>
      </c>
      <c r="Z183" s="45">
        <f t="shared" ca="1" si="124"/>
        <v>0.26717135383556029</v>
      </c>
      <c r="AA183" s="45">
        <f t="shared" ca="1" si="124"/>
        <v>0.2665740204535173</v>
      </c>
      <c r="AB183" s="45">
        <f t="shared" ca="1" si="124"/>
        <v>0.26590986284888507</v>
      </c>
      <c r="AC183" s="45">
        <f t="shared" ca="1" si="124"/>
        <v>0.26512523460520432</v>
      </c>
      <c r="AD183" s="45">
        <f t="shared" ca="1" si="124"/>
        <v>0.26421111302322281</v>
      </c>
      <c r="AE183" s="45">
        <f t="shared" ca="1" si="124"/>
        <v>0.26316299415761052</v>
      </c>
      <c r="AF183" s="45">
        <f t="shared" ca="1" si="124"/>
        <v>0.26038983295171392</v>
      </c>
      <c r="AG183" s="11"/>
      <c r="AH183" s="11"/>
    </row>
    <row r="184" spans="2:34" outlineLevel="1">
      <c r="B184" s="48" t="s">
        <v>166</v>
      </c>
      <c r="C184" s="158"/>
      <c r="D184" s="45">
        <f t="shared" ref="D184:E184" ca="1" si="125">D114/1000</f>
        <v>356.16030000000001</v>
      </c>
      <c r="E184" s="45">
        <f t="shared" ca="1" si="125"/>
        <v>359.51486662263522</v>
      </c>
      <c r="F184" s="45">
        <f t="shared" ref="F184:AF184" ca="1" si="126">F114/1000</f>
        <v>362.67131106297251</v>
      </c>
      <c r="G184" s="45">
        <f t="shared" ca="1" si="126"/>
        <v>365.61491242397585</v>
      </c>
      <c r="H184" s="45">
        <f t="shared" ca="1" si="126"/>
        <v>366.49660811016167</v>
      </c>
      <c r="I184" s="45">
        <f t="shared" ca="1" si="126"/>
        <v>367.19215957707013</v>
      </c>
      <c r="J184" s="45">
        <f t="shared" ca="1" si="126"/>
        <v>367.75768406876193</v>
      </c>
      <c r="K184" s="45">
        <f t="shared" ca="1" si="126"/>
        <v>368.22121665775046</v>
      </c>
      <c r="L184" s="45">
        <f t="shared" ca="1" si="126"/>
        <v>368.59676310354172</v>
      </c>
      <c r="M184" s="45">
        <f t="shared" ca="1" si="126"/>
        <v>369.25074358156593</v>
      </c>
      <c r="N184" s="45">
        <f t="shared" ca="1" si="126"/>
        <v>369.81816689815594</v>
      </c>
      <c r="O184" s="45">
        <f t="shared" ca="1" si="126"/>
        <v>370.28634103553509</v>
      </c>
      <c r="P184" s="45">
        <f t="shared" ca="1" si="126"/>
        <v>370.64892637848595</v>
      </c>
      <c r="Q184" s="45">
        <f t="shared" ca="1" si="126"/>
        <v>370.90275628623954</v>
      </c>
      <c r="R184" s="45">
        <f t="shared" ca="1" si="126"/>
        <v>371.17008191677343</v>
      </c>
      <c r="S184" s="45">
        <f t="shared" ca="1" si="126"/>
        <v>371.32187231973194</v>
      </c>
      <c r="T184" s="45">
        <f t="shared" ca="1" si="126"/>
        <v>371.3510615054318</v>
      </c>
      <c r="U184" s="45">
        <f t="shared" ca="1" si="126"/>
        <v>371.25412027453439</v>
      </c>
      <c r="V184" s="45">
        <f t="shared" ca="1" si="126"/>
        <v>371.02928593410547</v>
      </c>
      <c r="W184" s="45">
        <f t="shared" ca="1" si="126"/>
        <v>370.80786497815205</v>
      </c>
      <c r="X184" s="45">
        <f t="shared" ca="1" si="126"/>
        <v>370.44990386250885</v>
      </c>
      <c r="Y184" s="45">
        <f t="shared" ca="1" si="126"/>
        <v>369.94410716413961</v>
      </c>
      <c r="Z184" s="45">
        <f t="shared" ca="1" si="126"/>
        <v>369.28483381790096</v>
      </c>
      <c r="AA184" s="45">
        <f t="shared" ca="1" si="126"/>
        <v>368.46926670296506</v>
      </c>
      <c r="AB184" s="45">
        <f t="shared" ca="1" si="126"/>
        <v>367.56258870472237</v>
      </c>
      <c r="AC184" s="45">
        <f t="shared" ca="1" si="126"/>
        <v>366.48903509083044</v>
      </c>
      <c r="AD184" s="45">
        <f t="shared" ca="1" si="126"/>
        <v>365.23579496973576</v>
      </c>
      <c r="AE184" s="45">
        <f t="shared" ca="1" si="126"/>
        <v>363.79647098004551</v>
      </c>
      <c r="AF184" s="45">
        <f t="shared" ca="1" si="126"/>
        <v>359.97838549002279</v>
      </c>
      <c r="AG184" s="11"/>
      <c r="AH184" s="11"/>
    </row>
    <row r="185" spans="2:34" s="27" customFormat="1" outlineLevel="1">
      <c r="B185" s="152" t="s">
        <v>167</v>
      </c>
      <c r="C185" s="159"/>
      <c r="D185" s="45">
        <f t="shared" ref="D185:E185" ca="1" si="127">D109/1000</f>
        <v>402.48359999999997</v>
      </c>
      <c r="E185" s="45">
        <f t="shared" ca="1" si="127"/>
        <v>405.83816662263519</v>
      </c>
      <c r="F185" s="45">
        <f t="shared" ref="F185:AF185" ca="1" si="128">F109/1000</f>
        <v>408.99461106297252</v>
      </c>
      <c r="G185" s="45">
        <f t="shared" ca="1" si="128"/>
        <v>411.93821242397581</v>
      </c>
      <c r="H185" s="45">
        <f t="shared" ca="1" si="128"/>
        <v>412.81990811016163</v>
      </c>
      <c r="I185" s="45">
        <f t="shared" ca="1" si="128"/>
        <v>413.51545957707015</v>
      </c>
      <c r="J185" s="45">
        <f t="shared" ca="1" si="128"/>
        <v>414.08098406876195</v>
      </c>
      <c r="K185" s="45">
        <f t="shared" ca="1" si="128"/>
        <v>414.54451665775048</v>
      </c>
      <c r="L185" s="45">
        <f t="shared" ca="1" si="128"/>
        <v>414.92006310354174</v>
      </c>
      <c r="M185" s="45">
        <f t="shared" ca="1" si="128"/>
        <v>415.57404358156589</v>
      </c>
      <c r="N185" s="45">
        <f t="shared" ca="1" si="128"/>
        <v>416.1414668981559</v>
      </c>
      <c r="O185" s="45">
        <f t="shared" ca="1" si="128"/>
        <v>416.60964103553511</v>
      </c>
      <c r="P185" s="45">
        <f t="shared" ca="1" si="128"/>
        <v>416.97222637848597</v>
      </c>
      <c r="Q185" s="45">
        <f t="shared" ca="1" si="128"/>
        <v>417.22605628623955</v>
      </c>
      <c r="R185" s="45">
        <f t="shared" ca="1" si="128"/>
        <v>417.49338191677339</v>
      </c>
      <c r="S185" s="45">
        <f t="shared" ca="1" si="128"/>
        <v>417.6451723197319</v>
      </c>
      <c r="T185" s="45">
        <f t="shared" ca="1" si="128"/>
        <v>417.67436150543176</v>
      </c>
      <c r="U185" s="45">
        <f t="shared" ca="1" si="128"/>
        <v>417.5774202745344</v>
      </c>
      <c r="V185" s="45">
        <f t="shared" ca="1" si="128"/>
        <v>417.35258593410543</v>
      </c>
      <c r="W185" s="45">
        <f t="shared" ca="1" si="128"/>
        <v>417.13116497815201</v>
      </c>
      <c r="X185" s="45">
        <f t="shared" ca="1" si="128"/>
        <v>416.77320386250881</v>
      </c>
      <c r="Y185" s="45">
        <f t="shared" ca="1" si="128"/>
        <v>416.26740716413963</v>
      </c>
      <c r="Z185" s="45">
        <f t="shared" ca="1" si="128"/>
        <v>415.60813381790098</v>
      </c>
      <c r="AA185" s="45">
        <f t="shared" ca="1" si="128"/>
        <v>414.79256670296508</v>
      </c>
      <c r="AB185" s="45">
        <f t="shared" ca="1" si="128"/>
        <v>413.88588870472233</v>
      </c>
      <c r="AC185" s="45">
        <f t="shared" ca="1" si="128"/>
        <v>412.81233509083046</v>
      </c>
      <c r="AD185" s="45">
        <f t="shared" ca="1" si="128"/>
        <v>411.55909496973578</v>
      </c>
      <c r="AE185" s="45">
        <f t="shared" ca="1" si="128"/>
        <v>410.11977098004547</v>
      </c>
      <c r="AF185" s="45">
        <f t="shared" ca="1" si="128"/>
        <v>406.30168549002275</v>
      </c>
      <c r="AG185" s="26"/>
      <c r="AH185" s="26"/>
    </row>
    <row r="186" spans="2:34" s="27" customFormat="1" outlineLevel="1">
      <c r="B186" s="152" t="s">
        <v>168</v>
      </c>
      <c r="C186" s="159"/>
      <c r="D186" s="45">
        <f t="shared" ref="D186:E186" ca="1" si="129">D107/1000</f>
        <v>402.91300000000001</v>
      </c>
      <c r="E186" s="45">
        <f t="shared" ca="1" si="129"/>
        <v>406.26756662263523</v>
      </c>
      <c r="F186" s="45">
        <f t="shared" ref="F186:AF186" ca="1" si="130">F107/1000</f>
        <v>409.42401106297251</v>
      </c>
      <c r="G186" s="45">
        <f t="shared" ca="1" si="130"/>
        <v>412.36761242397586</v>
      </c>
      <c r="H186" s="45">
        <f t="shared" ca="1" si="130"/>
        <v>413.24930811016168</v>
      </c>
      <c r="I186" s="45">
        <f t="shared" ca="1" si="130"/>
        <v>413.94485957707019</v>
      </c>
      <c r="J186" s="45">
        <f t="shared" ca="1" si="130"/>
        <v>414.51038406876194</v>
      </c>
      <c r="K186" s="45">
        <f t="shared" ca="1" si="130"/>
        <v>414.97391665775052</v>
      </c>
      <c r="L186" s="45">
        <f t="shared" ca="1" si="130"/>
        <v>415.34946310354178</v>
      </c>
      <c r="M186" s="45">
        <f t="shared" ca="1" si="130"/>
        <v>416.00344358156593</v>
      </c>
      <c r="N186" s="45">
        <f t="shared" ca="1" si="130"/>
        <v>416.57086689815594</v>
      </c>
      <c r="O186" s="45">
        <f t="shared" ca="1" si="130"/>
        <v>417.03904103553509</v>
      </c>
      <c r="P186" s="45">
        <f t="shared" ca="1" si="130"/>
        <v>417.40162637848601</v>
      </c>
      <c r="Q186" s="45">
        <f t="shared" ca="1" si="130"/>
        <v>417.65545628623954</v>
      </c>
      <c r="R186" s="45">
        <f t="shared" ca="1" si="130"/>
        <v>417.92278191677343</v>
      </c>
      <c r="S186" s="45">
        <f t="shared" ca="1" si="130"/>
        <v>418.07457231973194</v>
      </c>
      <c r="T186" s="45">
        <f t="shared" ca="1" si="130"/>
        <v>418.10376150543181</v>
      </c>
      <c r="U186" s="45">
        <f t="shared" ca="1" si="130"/>
        <v>418.00682027453439</v>
      </c>
      <c r="V186" s="45">
        <f t="shared" ca="1" si="130"/>
        <v>417.78198593410548</v>
      </c>
      <c r="W186" s="45">
        <f t="shared" ca="1" si="130"/>
        <v>417.56056497815206</v>
      </c>
      <c r="X186" s="45">
        <f t="shared" ca="1" si="130"/>
        <v>417.20260386250885</v>
      </c>
      <c r="Y186" s="45">
        <f t="shared" ca="1" si="130"/>
        <v>416.69680716413961</v>
      </c>
      <c r="Z186" s="45">
        <f t="shared" ca="1" si="130"/>
        <v>416.03753381790096</v>
      </c>
      <c r="AA186" s="45">
        <f t="shared" ca="1" si="130"/>
        <v>415.22196670296506</v>
      </c>
      <c r="AB186" s="45">
        <f t="shared" ca="1" si="130"/>
        <v>414.31528870472238</v>
      </c>
      <c r="AC186" s="45">
        <f t="shared" ca="1" si="130"/>
        <v>413.2417350908305</v>
      </c>
      <c r="AD186" s="45">
        <f t="shared" ca="1" si="130"/>
        <v>411.98849496973577</v>
      </c>
      <c r="AE186" s="45">
        <f t="shared" ca="1" si="130"/>
        <v>410.54917098004552</v>
      </c>
      <c r="AF186" s="45">
        <f t="shared" ca="1" si="130"/>
        <v>406.73108549002279</v>
      </c>
      <c r="AG186" s="26"/>
      <c r="AH186" s="26"/>
    </row>
    <row r="187" spans="2:34" s="27" customFormat="1" outlineLevel="1">
      <c r="B187" s="152" t="s">
        <v>40</v>
      </c>
      <c r="C187" s="159"/>
      <c r="D187" s="45">
        <f t="shared" ref="D187:E187" ca="1" si="131">D111/1000</f>
        <v>356.16030000000001</v>
      </c>
      <c r="E187" s="45">
        <f t="shared" ca="1" si="131"/>
        <v>359.51486662263522</v>
      </c>
      <c r="F187" s="45">
        <f t="shared" ref="F187:AF187" ca="1" si="132">F111/1000</f>
        <v>362.67131106297251</v>
      </c>
      <c r="G187" s="45">
        <f t="shared" ca="1" si="132"/>
        <v>365.61491242397585</v>
      </c>
      <c r="H187" s="45">
        <f t="shared" ca="1" si="132"/>
        <v>366.49660811016167</v>
      </c>
      <c r="I187" s="45">
        <f t="shared" ca="1" si="132"/>
        <v>367.19215957707013</v>
      </c>
      <c r="J187" s="45">
        <f t="shared" ca="1" si="132"/>
        <v>367.75768406876193</v>
      </c>
      <c r="K187" s="45">
        <f t="shared" ca="1" si="132"/>
        <v>368.22121665775046</v>
      </c>
      <c r="L187" s="45">
        <f t="shared" ca="1" si="132"/>
        <v>368.59676310354172</v>
      </c>
      <c r="M187" s="45">
        <f t="shared" ca="1" si="132"/>
        <v>369.25074358156593</v>
      </c>
      <c r="N187" s="45">
        <f t="shared" ca="1" si="132"/>
        <v>369.81816689815594</v>
      </c>
      <c r="O187" s="45">
        <f t="shared" ca="1" si="132"/>
        <v>370.28634103553509</v>
      </c>
      <c r="P187" s="45">
        <f t="shared" ca="1" si="132"/>
        <v>370.64892637848595</v>
      </c>
      <c r="Q187" s="45">
        <f t="shared" ca="1" si="132"/>
        <v>370.90275628623954</v>
      </c>
      <c r="R187" s="45">
        <f t="shared" ca="1" si="132"/>
        <v>371.17008191677343</v>
      </c>
      <c r="S187" s="45">
        <f t="shared" ca="1" si="132"/>
        <v>371.32187231973194</v>
      </c>
      <c r="T187" s="45">
        <f t="shared" ca="1" si="132"/>
        <v>371.3510615054318</v>
      </c>
      <c r="U187" s="45">
        <f t="shared" ca="1" si="132"/>
        <v>371.25412027453439</v>
      </c>
      <c r="V187" s="45">
        <f t="shared" ca="1" si="132"/>
        <v>371.02928593410547</v>
      </c>
      <c r="W187" s="45">
        <f t="shared" ca="1" si="132"/>
        <v>370.80786497815205</v>
      </c>
      <c r="X187" s="45">
        <f t="shared" ca="1" si="132"/>
        <v>370.44990386250885</v>
      </c>
      <c r="Y187" s="45">
        <f t="shared" ca="1" si="132"/>
        <v>369.94410716413961</v>
      </c>
      <c r="Z187" s="45">
        <f t="shared" ca="1" si="132"/>
        <v>369.28483381790096</v>
      </c>
      <c r="AA187" s="45">
        <f t="shared" ca="1" si="132"/>
        <v>368.46926670296506</v>
      </c>
      <c r="AB187" s="45">
        <f t="shared" ca="1" si="132"/>
        <v>367.56258870472237</v>
      </c>
      <c r="AC187" s="45">
        <f t="shared" ca="1" si="132"/>
        <v>366.48903509083044</v>
      </c>
      <c r="AD187" s="45">
        <f t="shared" ca="1" si="132"/>
        <v>365.23579496973576</v>
      </c>
      <c r="AE187" s="45">
        <f t="shared" ca="1" si="132"/>
        <v>363.79647098004551</v>
      </c>
      <c r="AF187" s="45">
        <f t="shared" ca="1" si="132"/>
        <v>359.97838549002279</v>
      </c>
      <c r="AG187" s="26"/>
      <c r="AH187" s="26"/>
    </row>
    <row r="188" spans="2:34" outlineLevel="1">
      <c r="B188" s="48" t="s">
        <v>169</v>
      </c>
      <c r="C188" s="158"/>
      <c r="D188" s="50">
        <f ca="1">85%*D122</f>
        <v>1795256.5249999999</v>
      </c>
      <c r="E188" s="50">
        <f t="shared" ref="E188" ca="1" si="133">85%*E122</f>
        <v>1795760.1754838177</v>
      </c>
      <c r="F188" s="50">
        <f t="shared" ref="F188:AF188" ca="1" si="134">85%*F122</f>
        <v>1796234.6651026213</v>
      </c>
      <c r="G188" s="50">
        <f t="shared" ca="1" si="134"/>
        <v>1796677.1648564553</v>
      </c>
      <c r="H188" s="50">
        <f t="shared" ca="1" si="134"/>
        <v>1796810.0554884577</v>
      </c>
      <c r="I188" s="50">
        <f t="shared" ca="1" si="134"/>
        <v>1796914.6390685122</v>
      </c>
      <c r="J188" s="50">
        <f t="shared" ca="1" si="134"/>
        <v>1796999.6676826864</v>
      </c>
      <c r="K188" s="50">
        <f t="shared" ca="1" si="134"/>
        <v>1797069.3606470223</v>
      </c>
      <c r="L188" s="50">
        <f t="shared" ca="1" si="134"/>
        <v>1797125.8256693666</v>
      </c>
      <c r="M188" s="50">
        <f t="shared" ca="1" si="134"/>
        <v>1797224.0790696268</v>
      </c>
      <c r="N188" s="50">
        <f t="shared" ca="1" si="134"/>
        <v>1797309.3854189669</v>
      </c>
      <c r="O188" s="50">
        <f t="shared" ca="1" si="134"/>
        <v>1797379.7755822069</v>
      </c>
      <c r="P188" s="50">
        <f t="shared" ca="1" si="134"/>
        <v>1797434.2954503489</v>
      </c>
      <c r="Q188" s="50">
        <f t="shared" ca="1" si="134"/>
        <v>1797472.4684797327</v>
      </c>
      <c r="R188" s="50">
        <f t="shared" ca="1" si="134"/>
        <v>1797512.6487545471</v>
      </c>
      <c r="S188" s="50">
        <f t="shared" ca="1" si="134"/>
        <v>1797535.4850444605</v>
      </c>
      <c r="T188" s="50">
        <f t="shared" ca="1" si="134"/>
        <v>1797539.8939954352</v>
      </c>
      <c r="U188" s="50">
        <f t="shared" ca="1" si="134"/>
        <v>1797525.3444796093</v>
      </c>
      <c r="V188" s="50">
        <f t="shared" ca="1" si="134"/>
        <v>1797491.5712315773</v>
      </c>
      <c r="W188" s="50">
        <f t="shared" ca="1" si="134"/>
        <v>1797458.2881378648</v>
      </c>
      <c r="X188" s="50">
        <f t="shared" ca="1" si="134"/>
        <v>1797404.5056427273</v>
      </c>
      <c r="Y188" s="50">
        <f t="shared" ca="1" si="134"/>
        <v>1797328.5034874377</v>
      </c>
      <c r="Z188" s="50">
        <f t="shared" ca="1" si="134"/>
        <v>1797229.4327314924</v>
      </c>
      <c r="AA188" s="50">
        <f t="shared" ca="1" si="134"/>
        <v>1797106.8694298705</v>
      </c>
      <c r="AB188" s="50">
        <f t="shared" ca="1" si="134"/>
        <v>1796970.5995679852</v>
      </c>
      <c r="AC188" s="50">
        <f t="shared" ca="1" si="134"/>
        <v>1796809.2592883564</v>
      </c>
      <c r="AD188" s="50">
        <f t="shared" ca="1" si="134"/>
        <v>1796620.911981255</v>
      </c>
      <c r="AE188" s="50">
        <f t="shared" ca="1" si="134"/>
        <v>1796404.5949055189</v>
      </c>
      <c r="AF188" s="50">
        <f t="shared" ca="1" si="134"/>
        <v>1795831.101035251</v>
      </c>
      <c r="AG188" s="9"/>
      <c r="AH188" s="9"/>
    </row>
    <row r="189" spans="2:34" s="28" customFormat="1" outlineLevel="1">
      <c r="B189" s="153" t="s">
        <v>170</v>
      </c>
      <c r="C189" s="160"/>
      <c r="D189" s="45">
        <f ca="1">D123/D122</f>
        <v>0.72531371526417376</v>
      </c>
      <c r="E189" s="45">
        <f ca="1">E123/E122</f>
        <v>0.72492331146616362</v>
      </c>
      <c r="F189" s="45">
        <f t="shared" ref="F189:AF189" ca="1" si="135">F123/F122</f>
        <v>0.72455571194752422</v>
      </c>
      <c r="G189" s="45">
        <f t="shared" ca="1" si="135"/>
        <v>0.72421307078076003</v>
      </c>
      <c r="H189" s="45">
        <f t="shared" ca="1" si="135"/>
        <v>0.72411020242982638</v>
      </c>
      <c r="I189" s="45">
        <f t="shared" ca="1" si="135"/>
        <v>0.72402925677950747</v>
      </c>
      <c r="J189" s="45">
        <f t="shared" ca="1" si="135"/>
        <v>0.72396345323528055</v>
      </c>
      <c r="K189" s="45">
        <f t="shared" ca="1" si="135"/>
        <v>0.72390952257602326</v>
      </c>
      <c r="L189" s="45">
        <f t="shared" ca="1" si="135"/>
        <v>0.7238658311914381</v>
      </c>
      <c r="M189" s="45">
        <f t="shared" ca="1" si="135"/>
        <v>0.72378981142980792</v>
      </c>
      <c r="N189" s="45">
        <f t="shared" ca="1" si="135"/>
        <v>0.72372381568804822</v>
      </c>
      <c r="O189" s="45">
        <f t="shared" ca="1" si="135"/>
        <v>0.72366936430590278</v>
      </c>
      <c r="P189" s="45">
        <f t="shared" ca="1" si="135"/>
        <v>0.72362719256295061</v>
      </c>
      <c r="Q189" s="45">
        <f t="shared" ca="1" si="135"/>
        <v>0.72359766680983251</v>
      </c>
      <c r="R189" s="45">
        <f t="shared" ca="1" si="135"/>
        <v>0.72356658986413058</v>
      </c>
      <c r="S189" s="45">
        <f t="shared" ca="1" si="135"/>
        <v>0.72354892803216275</v>
      </c>
      <c r="T189" s="45">
        <f t="shared" ca="1" si="135"/>
        <v>0.72354551815379398</v>
      </c>
      <c r="U189" s="45">
        <f t="shared" ca="1" si="135"/>
        <v>0.72355677079857406</v>
      </c>
      <c r="V189" s="45">
        <f t="shared" ca="1" si="135"/>
        <v>0.72358289184510616</v>
      </c>
      <c r="W189" s="45">
        <f t="shared" ca="1" si="135"/>
        <v>0.72360863475477211</v>
      </c>
      <c r="X189" s="45">
        <f t="shared" ca="1" si="135"/>
        <v>0.72365023500357728</v>
      </c>
      <c r="Y189" s="45">
        <f t="shared" ca="1" si="135"/>
        <v>0.72370902619331123</v>
      </c>
      <c r="Z189" s="45">
        <f t="shared" ca="1" si="135"/>
        <v>0.72378566948015644</v>
      </c>
      <c r="AA189" s="45">
        <f t="shared" ca="1" si="135"/>
        <v>0.72388049880386829</v>
      </c>
      <c r="AB189" s="45">
        <f t="shared" ca="1" si="135"/>
        <v>0.72398594831441099</v>
      </c>
      <c r="AC189" s="45">
        <f t="shared" ca="1" si="135"/>
        <v>0.72411081870931093</v>
      </c>
      <c r="AD189" s="45">
        <f t="shared" ca="1" si="135"/>
        <v>0.72425661974747146</v>
      </c>
      <c r="AE189" s="45">
        <f t="shared" ca="1" si="135"/>
        <v>0.72442411011057994</v>
      </c>
      <c r="AF189" s="45">
        <f t="shared" ca="1" si="135"/>
        <v>0.72486835123827176</v>
      </c>
      <c r="AG189" s="11"/>
      <c r="AH189" s="11"/>
    </row>
    <row r="190" spans="2:34" s="28" customFormat="1" outlineLevel="1">
      <c r="B190" s="153" t="s">
        <v>171</v>
      </c>
      <c r="C190" s="160"/>
      <c r="D190" s="45">
        <f ca="1">D107/D122</f>
        <v>0.19076719412007151</v>
      </c>
      <c r="E190" s="45">
        <f t="shared" ref="E190" ca="1" si="136">E107/E122</f>
        <v>0.19230153132012801</v>
      </c>
      <c r="F190" s="45">
        <f t="shared" ref="F190:AF190" ca="1" si="137">F107/F122</f>
        <v>0.19374440108784136</v>
      </c>
      <c r="G190" s="45">
        <f t="shared" ca="1" si="137"/>
        <v>0.19508928894767996</v>
      </c>
      <c r="H190" s="45">
        <f t="shared" ca="1" si="137"/>
        <v>0.19549195576944156</v>
      </c>
      <c r="I190" s="45">
        <f t="shared" ca="1" si="137"/>
        <v>0.19580959662218786</v>
      </c>
      <c r="J190" s="45">
        <f t="shared" ca="1" si="137"/>
        <v>0.19606783061501526</v>
      </c>
      <c r="K190" s="45">
        <f t="shared" ca="1" si="137"/>
        <v>0.19627947417237737</v>
      </c>
      <c r="L190" s="45">
        <f t="shared" ca="1" si="137"/>
        <v>0.19645093214689782</v>
      </c>
      <c r="M190" s="45">
        <f t="shared" ca="1" si="137"/>
        <v>0.19674949337835573</v>
      </c>
      <c r="N190" s="45">
        <f t="shared" ca="1" si="137"/>
        <v>0.19700850601238723</v>
      </c>
      <c r="O190" s="45">
        <f t="shared" ca="1" si="137"/>
        <v>0.19722219516205511</v>
      </c>
      <c r="P190" s="45">
        <f t="shared" ca="1" si="137"/>
        <v>0.19738767826994186</v>
      </c>
      <c r="Q190" s="45">
        <f t="shared" ca="1" si="137"/>
        <v>0.1975035190071989</v>
      </c>
      <c r="R190" s="45">
        <f t="shared" ca="1" si="137"/>
        <v>0.1976255159458214</v>
      </c>
      <c r="S190" s="45">
        <f t="shared" ca="1" si="137"/>
        <v>0.19769478234416191</v>
      </c>
      <c r="T190" s="45">
        <f t="shared" ca="1" si="137"/>
        <v>0.19770810009100109</v>
      </c>
      <c r="U190" s="45">
        <f t="shared" ca="1" si="137"/>
        <v>0.19766385955254315</v>
      </c>
      <c r="V190" s="45">
        <f t="shared" ca="1" si="137"/>
        <v>0.19756125354216691</v>
      </c>
      <c r="W190" s="45">
        <f t="shared" ca="1" si="137"/>
        <v>0.19746020398566624</v>
      </c>
      <c r="X190" s="45">
        <f t="shared" ca="1" si="137"/>
        <v>0.19729683116395907</v>
      </c>
      <c r="Y190" s="45">
        <f t="shared" ca="1" si="137"/>
        <v>0.19706597063489695</v>
      </c>
      <c r="Z190" s="45">
        <f t="shared" ca="1" si="137"/>
        <v>0.19676503027649267</v>
      </c>
      <c r="AA190" s="45">
        <f t="shared" ca="1" si="137"/>
        <v>0.19639270079107179</v>
      </c>
      <c r="AB190" s="45">
        <f t="shared" ca="1" si="137"/>
        <v>0.19597871856316387</v>
      </c>
      <c r="AC190" s="45">
        <f t="shared" ca="1" si="137"/>
        <v>0.19548845989714234</v>
      </c>
      <c r="AD190" s="45">
        <f t="shared" ca="1" si="137"/>
        <v>0.19491603286421566</v>
      </c>
      <c r="AE190" s="45">
        <f t="shared" ca="1" si="137"/>
        <v>0.19425846288897544</v>
      </c>
      <c r="AF190" s="45">
        <f t="shared" ca="1" si="137"/>
        <v>0.19251332849020139</v>
      </c>
      <c r="AG190" s="11"/>
      <c r="AH190" s="11"/>
    </row>
    <row r="191" spans="2:34">
      <c r="B191" s="25"/>
      <c r="C191" s="155"/>
    </row>
    <row r="192" spans="2:34">
      <c r="B192" s="154" t="s">
        <v>172</v>
      </c>
      <c r="C192" s="155"/>
      <c r="D192" s="1">
        <f>D$22</f>
        <v>2023</v>
      </c>
      <c r="E192" s="1">
        <f t="shared" ref="E192:AF192" si="138">E$22</f>
        <v>2024</v>
      </c>
      <c r="F192" s="1">
        <f t="shared" si="138"/>
        <v>2025</v>
      </c>
      <c r="G192" s="1">
        <f t="shared" si="138"/>
        <v>2026</v>
      </c>
      <c r="H192" s="1">
        <f t="shared" si="138"/>
        <v>2027</v>
      </c>
      <c r="I192" s="1">
        <f t="shared" si="138"/>
        <v>2028</v>
      </c>
      <c r="J192" s="1">
        <f t="shared" si="138"/>
        <v>2029</v>
      </c>
      <c r="K192" s="1">
        <f t="shared" si="138"/>
        <v>2030</v>
      </c>
      <c r="L192" s="1">
        <f t="shared" si="138"/>
        <v>2031</v>
      </c>
      <c r="M192" s="1">
        <f t="shared" si="138"/>
        <v>2032</v>
      </c>
      <c r="N192" s="1">
        <f t="shared" si="138"/>
        <v>2033</v>
      </c>
      <c r="O192" s="1">
        <f t="shared" si="138"/>
        <v>2034</v>
      </c>
      <c r="P192" s="1">
        <f t="shared" si="138"/>
        <v>2035</v>
      </c>
      <c r="Q192" s="1">
        <f t="shared" si="138"/>
        <v>2036</v>
      </c>
      <c r="R192" s="1">
        <f t="shared" si="138"/>
        <v>2037</v>
      </c>
      <c r="S192" s="1">
        <f t="shared" si="138"/>
        <v>2038</v>
      </c>
      <c r="T192" s="1">
        <f t="shared" si="138"/>
        <v>2039</v>
      </c>
      <c r="U192" s="1">
        <f t="shared" si="138"/>
        <v>2040</v>
      </c>
      <c r="V192" s="1">
        <f t="shared" si="138"/>
        <v>2041</v>
      </c>
      <c r="W192" s="1">
        <f t="shared" si="138"/>
        <v>2042</v>
      </c>
      <c r="X192" s="1">
        <f t="shared" si="138"/>
        <v>2043</v>
      </c>
      <c r="Y192" s="1">
        <f t="shared" si="138"/>
        <v>2044</v>
      </c>
      <c r="Z192" s="1">
        <f t="shared" si="138"/>
        <v>2045</v>
      </c>
      <c r="AA192" s="1">
        <f t="shared" si="138"/>
        <v>2046</v>
      </c>
      <c r="AB192" s="1">
        <f t="shared" si="138"/>
        <v>2047</v>
      </c>
      <c r="AC192" s="1">
        <f t="shared" si="138"/>
        <v>2048</v>
      </c>
      <c r="AD192" s="1">
        <f t="shared" si="138"/>
        <v>2049</v>
      </c>
      <c r="AE192" s="1">
        <f t="shared" si="138"/>
        <v>2050</v>
      </c>
      <c r="AF192" s="1">
        <f t="shared" si="138"/>
        <v>2050</v>
      </c>
    </row>
    <row r="193" spans="2:34" outlineLevel="1">
      <c r="B193" s="48" t="str">
        <f>B149</f>
        <v>EBITA / Revenues</v>
      </c>
      <c r="C193" s="158"/>
      <c r="D193" s="11">
        <f ca="1">D149/$D149</f>
        <v>1</v>
      </c>
      <c r="E193" s="11">
        <f ca="1">E149/$D149</f>
        <v>1.0084523712066376</v>
      </c>
      <c r="F193" s="11">
        <f t="shared" ref="F193:AF193" ca="1" si="139">F149/$D149</f>
        <v>1.0164069638770634</v>
      </c>
      <c r="G193" s="11">
        <f t="shared" ca="1" si="139"/>
        <v>1.0238265309578292</v>
      </c>
      <c r="H193" s="11">
        <f t="shared" ca="1" si="139"/>
        <v>1.0260420448004823</v>
      </c>
      <c r="I193" s="11">
        <f t="shared" ca="1" si="139"/>
        <v>1.0277885837265335</v>
      </c>
      <c r="J193" s="11">
        <f t="shared" ca="1" si="139"/>
        <v>1.0292077497002281</v>
      </c>
      <c r="K193" s="11">
        <f t="shared" ca="1" si="139"/>
        <v>1.0303702844702418</v>
      </c>
      <c r="L193" s="11">
        <f t="shared" ca="1" si="139"/>
        <v>1.0313115268203004</v>
      </c>
      <c r="M193" s="11">
        <f t="shared" ca="1" si="139"/>
        <v>1.0329464126652297</v>
      </c>
      <c r="N193" s="11">
        <f t="shared" ca="1" si="139"/>
        <v>1.0343637656415898</v>
      </c>
      <c r="O193" s="11">
        <f t="shared" ca="1" si="139"/>
        <v>1.0355319840584036</v>
      </c>
      <c r="P193" s="11">
        <f t="shared" ca="1" si="139"/>
        <v>1.036435278650363</v>
      </c>
      <c r="Q193" s="11">
        <f t="shared" ca="1" si="139"/>
        <v>1.0370657604584661</v>
      </c>
      <c r="R193" s="11">
        <f t="shared" ca="1" si="139"/>
        <v>1.0377168243206842</v>
      </c>
      <c r="S193" s="11">
        <f t="shared" ca="1" si="139"/>
        <v>1.0380784095232798</v>
      </c>
      <c r="T193" s="11">
        <f t="shared" ca="1" si="139"/>
        <v>1.0381336095432514</v>
      </c>
      <c r="U193" s="11">
        <f t="shared" ca="1" si="139"/>
        <v>1.0378739903882879</v>
      </c>
      <c r="V193" s="11">
        <f t="shared" ca="1" si="139"/>
        <v>1.0372953502250475</v>
      </c>
      <c r="W193" s="11">
        <f t="shared" ca="1" si="139"/>
        <v>1.0367170569753126</v>
      </c>
      <c r="X193" s="11">
        <f t="shared" ca="1" si="139"/>
        <v>1.0357986060001934</v>
      </c>
      <c r="Y193" s="11">
        <f t="shared" ca="1" si="139"/>
        <v>1.0345126683992227</v>
      </c>
      <c r="Z193" s="11">
        <f t="shared" ca="1" si="139"/>
        <v>1.0328456120468337</v>
      </c>
      <c r="AA193" s="11">
        <f t="shared" ca="1" si="139"/>
        <v>1.030790644138917</v>
      </c>
      <c r="AB193" s="11">
        <f t="shared" ca="1" si="139"/>
        <v>1.0285057288525639</v>
      </c>
      <c r="AC193" s="11">
        <f t="shared" ca="1" si="139"/>
        <v>1.0258070916233004</v>
      </c>
      <c r="AD193" s="11">
        <f t="shared" ca="1" si="139"/>
        <v>1.0226638424021461</v>
      </c>
      <c r="AE193" s="11">
        <f t="shared" ca="1" si="139"/>
        <v>1.0190605615673056</v>
      </c>
      <c r="AF193" s="11">
        <f t="shared" ca="1" si="139"/>
        <v>1.009529869579989</v>
      </c>
      <c r="AG193" s="11"/>
      <c r="AH193" s="11"/>
    </row>
    <row r="194" spans="2:34" outlineLevel="1">
      <c r="B194" s="48" t="str">
        <f t="shared" ref="B194:B232" si="140">B150</f>
        <v>Total Debt / EBITDA</v>
      </c>
      <c r="C194" s="158"/>
      <c r="D194" s="11">
        <f ca="1">D150/$D150</f>
        <v>1</v>
      </c>
      <c r="E194" s="11">
        <f t="shared" ref="E194" ca="1" si="141">E150/$D150</f>
        <v>0.99148723048758236</v>
      </c>
      <c r="F194" s="11">
        <f t="shared" ref="F194:AF194" ca="1" si="142">F150/$D150</f>
        <v>0.98360431606896559</v>
      </c>
      <c r="G194" s="11">
        <f t="shared" ca="1" si="142"/>
        <v>0.97636170057619498</v>
      </c>
      <c r="H194" s="11">
        <f t="shared" ca="1" si="142"/>
        <v>0.97421222996820112</v>
      </c>
      <c r="I194" s="11">
        <f t="shared" ca="1" si="142"/>
        <v>0.97252314324160227</v>
      </c>
      <c r="J194" s="11">
        <f t="shared" ca="1" si="142"/>
        <v>0.97115399591879925</v>
      </c>
      <c r="K194" s="11">
        <f t="shared" ca="1" si="142"/>
        <v>0.9700345565529126</v>
      </c>
      <c r="L194" s="11">
        <f t="shared" ca="1" si="142"/>
        <v>0.96912943700978238</v>
      </c>
      <c r="M194" s="11">
        <f t="shared" ca="1" si="142"/>
        <v>0.96755719056867073</v>
      </c>
      <c r="N194" s="11">
        <f t="shared" ca="1" si="142"/>
        <v>0.96619700920683393</v>
      </c>
      <c r="O194" s="11">
        <f t="shared" ca="1" si="142"/>
        <v>0.96507752436455663</v>
      </c>
      <c r="P194" s="11">
        <f t="shared" ca="1" si="142"/>
        <v>0.96421224360738778</v>
      </c>
      <c r="Q194" s="11">
        <f t="shared" ca="1" si="142"/>
        <v>0.96360738995629003</v>
      </c>
      <c r="R194" s="11">
        <f t="shared" ca="1" si="142"/>
        <v>0.96297118261849746</v>
      </c>
      <c r="S194" s="11">
        <f t="shared" ca="1" si="142"/>
        <v>0.96261028870732912</v>
      </c>
      <c r="T194" s="11">
        <f t="shared" ca="1" si="142"/>
        <v>0.9625409104487983</v>
      </c>
      <c r="U194" s="11">
        <f t="shared" ca="1" si="142"/>
        <v>0.96277131637192548</v>
      </c>
      <c r="V194" s="11">
        <f t="shared" ca="1" si="142"/>
        <v>0.96330611915275233</v>
      </c>
      <c r="W194" s="11">
        <f t="shared" ca="1" si="142"/>
        <v>0.96383337671183333</v>
      </c>
      <c r="X194" s="11">
        <f t="shared" ca="1" si="142"/>
        <v>0.96468694135576516</v>
      </c>
      <c r="Y194" s="11">
        <f t="shared" ca="1" si="142"/>
        <v>0.9658955265061363</v>
      </c>
      <c r="Z194" s="11">
        <f t="shared" ca="1" si="142"/>
        <v>0.9674752541312589</v>
      </c>
      <c r="AA194" s="11">
        <f t="shared" ca="1" si="142"/>
        <v>0.96943643161197046</v>
      </c>
      <c r="AB194" s="11">
        <f t="shared" ca="1" si="142"/>
        <v>0.97162577179408105</v>
      </c>
      <c r="AC194" s="11">
        <f t="shared" ca="1" si="142"/>
        <v>0.97423048071960316</v>
      </c>
      <c r="AD194" s="11">
        <f t="shared" ca="1" si="142"/>
        <v>0.97728832811678457</v>
      </c>
      <c r="AE194" s="11">
        <f t="shared" ca="1" si="142"/>
        <v>0.98082324574118651</v>
      </c>
      <c r="AF194" s="11">
        <f t="shared" ca="1" si="142"/>
        <v>0.99032133997338134</v>
      </c>
      <c r="AG194" s="11"/>
      <c r="AH194" s="11"/>
    </row>
    <row r="195" spans="2:34" outlineLevel="1">
      <c r="B195" s="48" t="str">
        <f t="shared" si="140"/>
        <v>Retained Cash Flow / Net Debt</v>
      </c>
      <c r="C195" s="158"/>
      <c r="D195" s="11">
        <f t="shared" ref="D195:D235" ca="1" si="143">D151/$D151</f>
        <v>1</v>
      </c>
      <c r="E195" s="11">
        <f t="shared" ref="E195" ca="1" si="144">E151/$D151</f>
        <v>1.0088153711745231</v>
      </c>
      <c r="F195" s="11">
        <f t="shared" ref="F195:AF195" ca="1" si="145">F151/$D151</f>
        <v>1.0171216146823741</v>
      </c>
      <c r="G195" s="11">
        <f t="shared" ca="1" si="145"/>
        <v>1.0248715234623325</v>
      </c>
      <c r="H195" s="11">
        <f t="shared" ca="1" si="145"/>
        <v>1.0271978980261924</v>
      </c>
      <c r="I195" s="11">
        <f t="shared" ca="1" si="145"/>
        <v>1.0290302204690922</v>
      </c>
      <c r="J195" s="11">
        <f t="shared" ca="1" si="145"/>
        <v>1.0305201038259537</v>
      </c>
      <c r="K195" s="11">
        <f t="shared" ca="1" si="145"/>
        <v>1.0317413761685454</v>
      </c>
      <c r="L195" s="11">
        <f t="shared" ca="1" si="145"/>
        <v>1.0327309074757076</v>
      </c>
      <c r="M195" s="11">
        <f t="shared" ca="1" si="145"/>
        <v>1.0344532854275725</v>
      </c>
      <c r="N195" s="11">
        <f t="shared" ca="1" si="145"/>
        <v>1.0359485562445334</v>
      </c>
      <c r="O195" s="11">
        <f t="shared" ca="1" si="145"/>
        <v>1.0371824476288947</v>
      </c>
      <c r="P195" s="11">
        <f t="shared" ca="1" si="145"/>
        <v>1.0381381804224254</v>
      </c>
      <c r="Q195" s="11">
        <f t="shared" ca="1" si="145"/>
        <v>1.0388073548619894</v>
      </c>
      <c r="R195" s="11">
        <f t="shared" ca="1" si="145"/>
        <v>1.0395118578275617</v>
      </c>
      <c r="S195" s="11">
        <f t="shared" ca="1" si="145"/>
        <v>1.0399121638137845</v>
      </c>
      <c r="T195" s="11">
        <f t="shared" ca="1" si="145"/>
        <v>1.0399893626228347</v>
      </c>
      <c r="U195" s="11">
        <f t="shared" ca="1" si="145"/>
        <v>1.0397341403245128</v>
      </c>
      <c r="V195" s="11">
        <f t="shared" ca="1" si="145"/>
        <v>1.0391418626262576</v>
      </c>
      <c r="W195" s="11">
        <f t="shared" ca="1" si="145"/>
        <v>1.0385583150971702</v>
      </c>
      <c r="X195" s="11">
        <f t="shared" ca="1" si="145"/>
        <v>1.0376152724534937</v>
      </c>
      <c r="Y195" s="11">
        <f t="shared" ca="1" si="145"/>
        <v>1.0362827514942299</v>
      </c>
      <c r="Z195" s="11">
        <f t="shared" ca="1" si="145"/>
        <v>1.0345459691678653</v>
      </c>
      <c r="AA195" s="11">
        <f t="shared" ca="1" si="145"/>
        <v>1.0323976229117808</v>
      </c>
      <c r="AB195" s="11">
        <f t="shared" ca="1" si="145"/>
        <v>1.0300094163021962</v>
      </c>
      <c r="AC195" s="11">
        <f t="shared" ca="1" si="145"/>
        <v>1.0271822224902447</v>
      </c>
      <c r="AD195" s="11">
        <f t="shared" ca="1" si="145"/>
        <v>1.0238823936528603</v>
      </c>
      <c r="AE195" s="11">
        <f t="shared" ca="1" si="145"/>
        <v>1.0200933526669562</v>
      </c>
      <c r="AF195" s="11">
        <f t="shared" ca="1" si="145"/>
        <v>1.0100504195840645</v>
      </c>
      <c r="AG195" s="11"/>
      <c r="AH195" s="11"/>
    </row>
    <row r="196" spans="2:34" outlineLevel="1">
      <c r="B196" s="48" t="str">
        <f t="shared" si="140"/>
        <v>Retained Cash Flow / Total Debt</v>
      </c>
      <c r="C196" s="158"/>
      <c r="D196" s="11">
        <f t="shared" ca="1" si="143"/>
        <v>1</v>
      </c>
      <c r="E196" s="11">
        <f t="shared" ref="E196" ca="1" si="146">E152/$D152</f>
        <v>1.0088112986060722</v>
      </c>
      <c r="F196" s="11">
        <f t="shared" ref="F196:AF196" ca="1" si="147">F152/$D152</f>
        <v>1.0171136382821278</v>
      </c>
      <c r="G196" s="11">
        <f t="shared" ca="1" si="147"/>
        <v>1.0248598477103279</v>
      </c>
      <c r="H196" s="11">
        <f t="shared" ca="1" si="147"/>
        <v>1.0271851002381007</v>
      </c>
      <c r="I196" s="11">
        <f t="shared" ca="1" si="147"/>
        <v>1.0290165360357384</v>
      </c>
      <c r="J196" s="11">
        <f t="shared" ca="1" si="147"/>
        <v>1.0305056961937311</v>
      </c>
      <c r="K196" s="11">
        <f t="shared" ca="1" si="147"/>
        <v>1.0317263742087048</v>
      </c>
      <c r="L196" s="11">
        <f t="shared" ca="1" si="147"/>
        <v>1.0327154229601845</v>
      </c>
      <c r="M196" s="11">
        <f t="shared" ca="1" si="147"/>
        <v>1.0344369590170313</v>
      </c>
      <c r="N196" s="11">
        <f t="shared" ca="1" si="147"/>
        <v>1.0359314966088604</v>
      </c>
      <c r="O196" s="11">
        <f t="shared" ca="1" si="147"/>
        <v>1.0371647813850795</v>
      </c>
      <c r="P196" s="11">
        <f t="shared" ca="1" si="147"/>
        <v>1.0381200433490541</v>
      </c>
      <c r="Q196" s="11">
        <f t="shared" ca="1" si="147"/>
        <v>1.0387888876158489</v>
      </c>
      <c r="R196" s="11">
        <f t="shared" ca="1" si="147"/>
        <v>1.039493042587958</v>
      </c>
      <c r="S196" s="11">
        <f t="shared" ca="1" si="147"/>
        <v>1.0398931505864872</v>
      </c>
      <c r="T196" s="11">
        <f t="shared" ca="1" si="147"/>
        <v>1.0399703111546734</v>
      </c>
      <c r="U196" s="11">
        <f t="shared" ca="1" si="147"/>
        <v>1.039715215038121</v>
      </c>
      <c r="V196" s="11">
        <f t="shared" ca="1" si="147"/>
        <v>1.0391232300010966</v>
      </c>
      <c r="W196" s="11">
        <f t="shared" ca="1" si="147"/>
        <v>1.0385399705595393</v>
      </c>
      <c r="X196" s="11">
        <f t="shared" ca="1" si="147"/>
        <v>1.0375973927615043</v>
      </c>
      <c r="Y196" s="11">
        <f t="shared" ca="1" si="147"/>
        <v>1.0362655272605703</v>
      </c>
      <c r="Z196" s="11">
        <f t="shared" ca="1" si="147"/>
        <v>1.0345295968219022</v>
      </c>
      <c r="AA196" s="11">
        <f t="shared" ca="1" si="147"/>
        <v>1.0323823005172874</v>
      </c>
      <c r="AB196" s="11">
        <f t="shared" ca="1" si="147"/>
        <v>1.0299952561589962</v>
      </c>
      <c r="AC196" s="11">
        <f t="shared" ca="1" si="147"/>
        <v>1.0271694314615678</v>
      </c>
      <c r="AD196" s="11">
        <f t="shared" ca="1" si="147"/>
        <v>1.0238711913691896</v>
      </c>
      <c r="AE196" s="11">
        <f t="shared" ca="1" si="147"/>
        <v>1.0200839623760856</v>
      </c>
      <c r="AF196" s="11">
        <f t="shared" ca="1" si="147"/>
        <v>1.0100457676475141</v>
      </c>
      <c r="AG196" s="11"/>
      <c r="AH196" s="11"/>
    </row>
    <row r="197" spans="2:34" outlineLevel="1">
      <c r="B197" s="48" t="str">
        <f t="shared" si="140"/>
        <v>Free Cash Flow / Total Debt</v>
      </c>
      <c r="C197" s="158"/>
      <c r="D197" s="11">
        <f t="shared" ca="1" si="143"/>
        <v>1</v>
      </c>
      <c r="E197" s="11">
        <f t="shared" ref="E197" ca="1" si="148">E153/$D153</f>
        <v>1.0299955985962519</v>
      </c>
      <c r="F197" s="11">
        <f t="shared" ref="F197:AF197" ca="1" si="149">F153/$D153</f>
        <v>1.0582331461142345</v>
      </c>
      <c r="G197" s="11">
        <f t="shared" ca="1" si="149"/>
        <v>1.0845784624153421</v>
      </c>
      <c r="H197" s="11">
        <f t="shared" ca="1" si="149"/>
        <v>1.0924544839788981</v>
      </c>
      <c r="I197" s="11">
        <f t="shared" ca="1" si="149"/>
        <v>1.0986651025334553</v>
      </c>
      <c r="J197" s="11">
        <f t="shared" ca="1" si="149"/>
        <v>1.1037129286040028</v>
      </c>
      <c r="K197" s="11">
        <f t="shared" ca="1" si="149"/>
        <v>1.1078489539325878</v>
      </c>
      <c r="L197" s="11">
        <f t="shared" ca="1" si="149"/>
        <v>1.1111985329873757</v>
      </c>
      <c r="M197" s="11">
        <f t="shared" ca="1" si="149"/>
        <v>1.117021537836999</v>
      </c>
      <c r="N197" s="11">
        <f t="shared" ca="1" si="149"/>
        <v>1.1220714746479574</v>
      </c>
      <c r="O197" s="11">
        <f t="shared" ca="1" si="149"/>
        <v>1.1262354218300976</v>
      </c>
      <c r="P197" s="11">
        <f t="shared" ca="1" si="149"/>
        <v>1.129456899156996</v>
      </c>
      <c r="Q197" s="11">
        <f t="shared" ca="1" si="149"/>
        <v>1.1317076317710384</v>
      </c>
      <c r="R197" s="11">
        <f t="shared" ca="1" si="149"/>
        <v>1.1340464791796119</v>
      </c>
      <c r="S197" s="11">
        <f t="shared" ca="1" si="149"/>
        <v>1.1353547880487491</v>
      </c>
      <c r="T197" s="11">
        <f t="shared" ca="1" si="149"/>
        <v>1.1355713619531951</v>
      </c>
      <c r="U197" s="11">
        <f t="shared" ca="1" si="149"/>
        <v>1.1346656647410311</v>
      </c>
      <c r="V197" s="11">
        <f t="shared" ca="1" si="149"/>
        <v>1.1326225040846545</v>
      </c>
      <c r="W197" s="11">
        <f t="shared" ca="1" si="149"/>
        <v>1.1305897138950403</v>
      </c>
      <c r="X197" s="11">
        <f t="shared" ca="1" si="149"/>
        <v>1.1273436902226039</v>
      </c>
      <c r="Y197" s="11">
        <f t="shared" ca="1" si="149"/>
        <v>1.1227861768787755</v>
      </c>
      <c r="Z197" s="11">
        <f t="shared" ca="1" si="149"/>
        <v>1.1168683233770595</v>
      </c>
      <c r="AA197" s="11">
        <f t="shared" ca="1" si="149"/>
        <v>1.1095660004254992</v>
      </c>
      <c r="AB197" s="11">
        <f t="shared" ca="1" si="149"/>
        <v>1.1014477132942926</v>
      </c>
      <c r="AC197" s="11">
        <f t="shared" ca="1" si="149"/>
        <v>1.0918531304879424</v>
      </c>
      <c r="AD197" s="11">
        <f t="shared" ca="1" si="149"/>
        <v>1.0806716925157716</v>
      </c>
      <c r="AE197" s="11">
        <f t="shared" ca="1" si="149"/>
        <v>1.0678487616571302</v>
      </c>
      <c r="AF197" s="11">
        <f t="shared" ca="1" si="149"/>
        <v>1.0339146941396935</v>
      </c>
      <c r="AG197" s="11"/>
      <c r="AH197" s="11"/>
    </row>
    <row r="198" spans="2:34" outlineLevel="1">
      <c r="B198" s="48" t="str">
        <f t="shared" si="140"/>
        <v>EBITA / Interest Expenses</v>
      </c>
      <c r="C198" s="158"/>
      <c r="D198" s="11">
        <f t="shared" ca="1" si="143"/>
        <v>1</v>
      </c>
      <c r="E198" s="11">
        <f t="shared" ref="E198" ca="1" si="150">E154/$D154</f>
        <v>1.0083346666115967</v>
      </c>
      <c r="F198" s="11">
        <f t="shared" ref="F198:AF198" ca="1" si="151">F154/$D154</f>
        <v>1.0164391841243243</v>
      </c>
      <c r="G198" s="11">
        <f t="shared" ca="1" si="151"/>
        <v>1.0240034902226856</v>
      </c>
      <c r="H198" s="11">
        <f t="shared" ca="1" si="151"/>
        <v>1.0264278819623953</v>
      </c>
      <c r="I198" s="11">
        <f t="shared" ca="1" si="151"/>
        <v>1.0282272977451621</v>
      </c>
      <c r="J198" s="11">
        <f t="shared" ca="1" si="151"/>
        <v>1.0296886819456899</v>
      </c>
      <c r="K198" s="11">
        <f t="shared" ca="1" si="151"/>
        <v>1.030886257152664</v>
      </c>
      <c r="L198" s="11">
        <f t="shared" ca="1" si="151"/>
        <v>1.0318570145722958</v>
      </c>
      <c r="M198" s="11">
        <f t="shared" ca="1" si="151"/>
        <v>1.0335132922851944</v>
      </c>
      <c r="N198" s="11">
        <f t="shared" ca="1" si="151"/>
        <v>1.0349765611523705</v>
      </c>
      <c r="O198" s="11">
        <f t="shared" ca="1" si="151"/>
        <v>1.0361862486251765</v>
      </c>
      <c r="P198" s="11">
        <f t="shared" ca="1" si="151"/>
        <v>1.0371254822304485</v>
      </c>
      <c r="Q198" s="11">
        <f t="shared" ca="1" si="151"/>
        <v>1.0377858271031346</v>
      </c>
      <c r="R198" s="11">
        <f t="shared" ca="1" si="151"/>
        <v>1.0384710771213024</v>
      </c>
      <c r="S198" s="11">
        <f t="shared" ca="1" si="151"/>
        <v>1.0388700354068074</v>
      </c>
      <c r="T198" s="11">
        <f t="shared" ca="1" si="151"/>
        <v>1.0389548032590266</v>
      </c>
      <c r="U198" s="11">
        <f t="shared" ca="1" si="151"/>
        <v>1.0387160117530165</v>
      </c>
      <c r="V198" s="11">
        <f t="shared" ca="1" si="151"/>
        <v>1.038148998196319</v>
      </c>
      <c r="W198" s="11">
        <f t="shared" ca="1" si="151"/>
        <v>1.0375802597841068</v>
      </c>
      <c r="X198" s="11">
        <f t="shared" ca="1" si="151"/>
        <v>1.036672174712201</v>
      </c>
      <c r="Y198" s="11">
        <f t="shared" ca="1" si="151"/>
        <v>1.0353855252085411</v>
      </c>
      <c r="Z198" s="11">
        <f t="shared" ca="1" si="151"/>
        <v>1.0337054411988371</v>
      </c>
      <c r="AA198" s="11">
        <f t="shared" ca="1" si="151"/>
        <v>1.0316245707875777</v>
      </c>
      <c r="AB198" s="11">
        <f t="shared" ca="1" si="151"/>
        <v>1.0293049304543427</v>
      </c>
      <c r="AC198" s="11">
        <f t="shared" ca="1" si="151"/>
        <v>1.0265633893814348</v>
      </c>
      <c r="AD198" s="11">
        <f t="shared" ca="1" si="151"/>
        <v>1.0233622797910655</v>
      </c>
      <c r="AE198" s="11">
        <f t="shared" ca="1" si="151"/>
        <v>1.0196849214217181</v>
      </c>
      <c r="AF198" s="11">
        <f t="shared" ca="1" si="151"/>
        <v>1.0100800315342937</v>
      </c>
      <c r="AG198" s="11"/>
      <c r="AH198" s="11"/>
    </row>
    <row r="199" spans="2:34" outlineLevel="1">
      <c r="B199" s="48" t="str">
        <f t="shared" si="140"/>
        <v>(Cash + Marketable Securities) / Total Debt</v>
      </c>
      <c r="C199" s="158"/>
      <c r="D199" s="11">
        <f t="shared" ca="1" si="143"/>
        <v>1</v>
      </c>
      <c r="E199" s="11">
        <f t="shared" ref="E199" ca="1" si="152">E155/$D155</f>
        <v>1.000538544963081</v>
      </c>
      <c r="F199" s="11">
        <f t="shared" ref="F199:AF199" ca="1" si="153">F155/$D155</f>
        <v>1.001046162916323</v>
      </c>
      <c r="G199" s="11">
        <f t="shared" ca="1" si="153"/>
        <v>1.001519779920883</v>
      </c>
      <c r="H199" s="11">
        <f t="shared" ca="1" si="153"/>
        <v>1.0016620575574118</v>
      </c>
      <c r="I199" s="11">
        <f t="shared" ca="1" si="153"/>
        <v>1.0017740422401984</v>
      </c>
      <c r="J199" s="11">
        <f t="shared" ca="1" si="153"/>
        <v>1.001865096950487</v>
      </c>
      <c r="K199" s="11">
        <f t="shared" ca="1" si="153"/>
        <v>1.0019397350695896</v>
      </c>
      <c r="L199" s="11">
        <f t="shared" ca="1" si="153"/>
        <v>1.0020002105505554</v>
      </c>
      <c r="M199" s="11">
        <f t="shared" ca="1" si="153"/>
        <v>1.0021054507956606</v>
      </c>
      <c r="N199" s="11">
        <f t="shared" ca="1" si="153"/>
        <v>1.0021968319152439</v>
      </c>
      <c r="O199" s="11">
        <f t="shared" ca="1" si="153"/>
        <v>1.0022722406659401</v>
      </c>
      <c r="P199" s="11">
        <f t="shared" ca="1" si="153"/>
        <v>1.0023306513610273</v>
      </c>
      <c r="Q199" s="11">
        <f t="shared" ca="1" si="153"/>
        <v>1.0023715505633217</v>
      </c>
      <c r="R199" s="11">
        <f t="shared" ca="1" si="153"/>
        <v>1.0024146020898659</v>
      </c>
      <c r="S199" s="11">
        <f t="shared" ca="1" si="153"/>
        <v>1.002439071033953</v>
      </c>
      <c r="T199" s="11">
        <f t="shared" ca="1" si="153"/>
        <v>1.002443795263761</v>
      </c>
      <c r="U199" s="11">
        <f t="shared" ca="1" si="153"/>
        <v>1.0024282054104208</v>
      </c>
      <c r="V199" s="11">
        <f t="shared" ca="1" si="153"/>
        <v>1.0023920181620851</v>
      </c>
      <c r="W199" s="11">
        <f t="shared" ca="1" si="153"/>
        <v>1.0023563573284051</v>
      </c>
      <c r="X199" s="11">
        <f t="shared" ca="1" si="153"/>
        <v>1.0022987351901962</v>
      </c>
      <c r="Y199" s="11">
        <f t="shared" ca="1" si="153"/>
        <v>1.0022173125009968</v>
      </c>
      <c r="Z199" s="11">
        <f t="shared" ca="1" si="153"/>
        <v>1.0021111854633911</v>
      </c>
      <c r="AA199" s="11">
        <f t="shared" ca="1" si="153"/>
        <v>1.001979907543681</v>
      </c>
      <c r="AB199" s="11">
        <f t="shared" ca="1" si="153"/>
        <v>1.0018339678454451</v>
      </c>
      <c r="AC199" s="11">
        <f t="shared" ca="1" si="153"/>
        <v>1.0016612050583735</v>
      </c>
      <c r="AD199" s="11">
        <f t="shared" ca="1" si="153"/>
        <v>1.0014595593438564</v>
      </c>
      <c r="AE199" s="11">
        <f t="shared" ca="1" si="153"/>
        <v>1.0012280170430248</v>
      </c>
      <c r="AF199" s="11">
        <f t="shared" ca="1" si="153"/>
        <v>1.000614406774887</v>
      </c>
      <c r="AG199" s="11"/>
      <c r="AH199" s="11"/>
    </row>
    <row r="200" spans="2:34" outlineLevel="1">
      <c r="B200" s="48" t="str">
        <f t="shared" si="140"/>
        <v>EBIT / Revenues</v>
      </c>
      <c r="C200" s="158"/>
      <c r="D200" s="11">
        <f t="shared" ca="1" si="143"/>
        <v>1</v>
      </c>
      <c r="E200" s="11">
        <f t="shared" ref="E200" ca="1" si="154">E156/$D156</f>
        <v>1.0095365300269645</v>
      </c>
      <c r="F200" s="11">
        <f t="shared" ref="F200:AF200" ca="1" si="155">F156/$D156</f>
        <v>1.0185114809885165</v>
      </c>
      <c r="G200" s="11">
        <f t="shared" ca="1" si="155"/>
        <v>1.0268828030205401</v>
      </c>
      <c r="H200" s="11">
        <f t="shared" ca="1" si="155"/>
        <v>1.0293834100609052</v>
      </c>
      <c r="I200" s="11">
        <f t="shared" ca="1" si="155"/>
        <v>1.0313548580417975</v>
      </c>
      <c r="J200" s="11">
        <f t="shared" ca="1" si="155"/>
        <v>1.0329568907750502</v>
      </c>
      <c r="K200" s="11">
        <f t="shared" ca="1" si="155"/>
        <v>1.0342693133198555</v>
      </c>
      <c r="L200" s="11">
        <f t="shared" ca="1" si="155"/>
        <v>1.0353319919903772</v>
      </c>
      <c r="M200" s="11">
        <f t="shared" ca="1" si="155"/>
        <v>1.0371783353305268</v>
      </c>
      <c r="N200" s="11">
        <f t="shared" ca="1" si="155"/>
        <v>1.0387791565865099</v>
      </c>
      <c r="O200" s="11">
        <f t="shared" ca="1" si="155"/>
        <v>1.0400987488765276</v>
      </c>
      <c r="P200" s="11">
        <f t="shared" ca="1" si="155"/>
        <v>1.0411192718285824</v>
      </c>
      <c r="Q200" s="11">
        <f t="shared" ca="1" si="155"/>
        <v>1.0418318116595844</v>
      </c>
      <c r="R200" s="11">
        <f t="shared" ca="1" si="155"/>
        <v>1.0425692358566636</v>
      </c>
      <c r="S200" s="11">
        <f t="shared" ca="1" si="155"/>
        <v>1.042979818213668</v>
      </c>
      <c r="T200" s="11">
        <f t="shared" ca="1" si="155"/>
        <v>1.043044372388928</v>
      </c>
      <c r="U200" s="11">
        <f t="shared" ca="1" si="155"/>
        <v>1.0427533269760263</v>
      </c>
      <c r="V200" s="11">
        <f t="shared" ca="1" si="155"/>
        <v>1.0421019133999043</v>
      </c>
      <c r="W200" s="11">
        <f t="shared" ca="1" si="155"/>
        <v>1.0414519156492561</v>
      </c>
      <c r="X200" s="11">
        <f t="shared" ca="1" si="155"/>
        <v>1.040417624534433</v>
      </c>
      <c r="Y200" s="11">
        <f t="shared" ca="1" si="155"/>
        <v>1.0389680671208974</v>
      </c>
      <c r="Z200" s="11">
        <f t="shared" ca="1" si="155"/>
        <v>1.0370877934753546</v>
      </c>
      <c r="AA200" s="11">
        <f t="shared" ca="1" si="155"/>
        <v>1.0347691049248846</v>
      </c>
      <c r="AB200" s="11">
        <f t="shared" ca="1" si="155"/>
        <v>1.032191022601239</v>
      </c>
      <c r="AC200" s="11">
        <f t="shared" ca="1" si="155"/>
        <v>1.0291453054528423</v>
      </c>
      <c r="AD200" s="11">
        <f t="shared" ca="1" si="155"/>
        <v>1.0255969297725329</v>
      </c>
      <c r="AE200" s="11">
        <f t="shared" ca="1" si="155"/>
        <v>1.0215284124482289</v>
      </c>
      <c r="AF200" s="11">
        <f t="shared" ca="1" si="155"/>
        <v>1.0107637417801869</v>
      </c>
      <c r="AG200" s="11"/>
      <c r="AH200" s="11"/>
    </row>
    <row r="201" spans="2:34" outlineLevel="1">
      <c r="B201" s="48" t="str">
        <f t="shared" si="140"/>
        <v>(Funds from Operations + Interest Expenses) / Interest Expenses</v>
      </c>
      <c r="C201" s="158"/>
      <c r="D201" s="11">
        <f t="shared" ca="1" si="143"/>
        <v>1</v>
      </c>
      <c r="E201" s="11">
        <f t="shared" ref="E201" ca="1" si="156">E157/$D157</f>
        <v>1.0083257840343578</v>
      </c>
      <c r="F201" s="11">
        <f t="shared" ref="F201:AF201" ca="1" si="157">F157/$D157</f>
        <v>1.0164219391319607</v>
      </c>
      <c r="G201" s="11">
        <f t="shared" ca="1" si="157"/>
        <v>1.0239784427537211</v>
      </c>
      <c r="H201" s="11">
        <f t="shared" ca="1" si="157"/>
        <v>1.0264004924680603</v>
      </c>
      <c r="I201" s="11">
        <f t="shared" ca="1" si="157"/>
        <v>1.0281980631648209</v>
      </c>
      <c r="J201" s="11">
        <f t="shared" ca="1" si="157"/>
        <v>1.0296579470706178</v>
      </c>
      <c r="K201" s="11">
        <f t="shared" ca="1" si="157"/>
        <v>1.0308542924512851</v>
      </c>
      <c r="L201" s="11">
        <f t="shared" ca="1" si="157"/>
        <v>1.0318240533937857</v>
      </c>
      <c r="M201" s="11">
        <f t="shared" ca="1" si="157"/>
        <v>1.0334785968151354</v>
      </c>
      <c r="N201" s="11">
        <f t="shared" ca="1" si="157"/>
        <v>1.0349403599365326</v>
      </c>
      <c r="O201" s="11">
        <f t="shared" ca="1" si="157"/>
        <v>1.036148804841126</v>
      </c>
      <c r="P201" s="11">
        <f t="shared" ca="1" si="157"/>
        <v>1.0370870759587623</v>
      </c>
      <c r="Q201" s="11">
        <f t="shared" ca="1" si="157"/>
        <v>1.0377467468902222</v>
      </c>
      <c r="R201" s="11">
        <f t="shared" ca="1" si="157"/>
        <v>1.0384312874865953</v>
      </c>
      <c r="S201" s="11">
        <f t="shared" ca="1" si="157"/>
        <v>1.0388298425610876</v>
      </c>
      <c r="T201" s="11">
        <f t="shared" ca="1" si="157"/>
        <v>1.0389145325623221</v>
      </c>
      <c r="U201" s="11">
        <f t="shared" ca="1" si="157"/>
        <v>1.0386759979570095</v>
      </c>
      <c r="V201" s="11">
        <f t="shared" ca="1" si="157"/>
        <v>1.0381095807312859</v>
      </c>
      <c r="W201" s="11">
        <f t="shared" ca="1" si="157"/>
        <v>1.0375414299750025</v>
      </c>
      <c r="X201" s="11">
        <f t="shared" ca="1" si="157"/>
        <v>1.0366342944826046</v>
      </c>
      <c r="Y201" s="11">
        <f t="shared" ca="1" si="157"/>
        <v>1.035348986799784</v>
      </c>
      <c r="Z201" s="11">
        <f t="shared" ca="1" si="157"/>
        <v>1.0336706517610801</v>
      </c>
      <c r="AA201" s="11">
        <f t="shared" ca="1" si="157"/>
        <v>1.0315919448448667</v>
      </c>
      <c r="AB201" s="11">
        <f t="shared" ca="1" si="157"/>
        <v>1.0292747096355626</v>
      </c>
      <c r="AC201" s="11">
        <f t="shared" ca="1" si="157"/>
        <v>1.0265360158389127</v>
      </c>
      <c r="AD201" s="11">
        <f t="shared" ca="1" si="157"/>
        <v>1.0233382296137825</v>
      </c>
      <c r="AE201" s="11">
        <f t="shared" ca="1" si="157"/>
        <v>1.0196646874240765</v>
      </c>
      <c r="AF201" s="11">
        <f t="shared" ca="1" si="157"/>
        <v>1.0100699156565982</v>
      </c>
      <c r="AG201" s="11"/>
      <c r="AH201" s="11"/>
    </row>
    <row r="202" spans="2:34" outlineLevel="1">
      <c r="B202" s="48" t="str">
        <f t="shared" si="140"/>
        <v>Equity / Total Assets</v>
      </c>
      <c r="C202" s="158"/>
      <c r="D202" s="11">
        <f t="shared" ca="1" si="143"/>
        <v>1</v>
      </c>
      <c r="E202" s="11">
        <f t="shared" ref="E202" ca="1" si="158">E158/$D158</f>
        <v>1.0014212715366755</v>
      </c>
      <c r="F202" s="11">
        <f t="shared" ref="F202:AF202" ca="1" si="159">F158/$D158</f>
        <v>1.0027595237140383</v>
      </c>
      <c r="G202" s="11">
        <f t="shared" ca="1" si="159"/>
        <v>1.0040069145952162</v>
      </c>
      <c r="H202" s="11">
        <f t="shared" ca="1" si="159"/>
        <v>1.0043814085421299</v>
      </c>
      <c r="I202" s="11">
        <f t="shared" ca="1" si="159"/>
        <v>1.0046760925318923</v>
      </c>
      <c r="J202" s="11">
        <f t="shared" ca="1" si="159"/>
        <v>1.00491565143193</v>
      </c>
      <c r="K202" s="11">
        <f t="shared" ca="1" si="159"/>
        <v>1.0051119868962548</v>
      </c>
      <c r="L202" s="11">
        <f t="shared" ca="1" si="159"/>
        <v>1.0052710461103955</v>
      </c>
      <c r="M202" s="11">
        <f t="shared" ca="1" si="159"/>
        <v>1.0055477973202465</v>
      </c>
      <c r="N202" s="11">
        <f t="shared" ca="1" si="159"/>
        <v>1.0057880559186076</v>
      </c>
      <c r="O202" s="11">
        <f t="shared" ca="1" si="159"/>
        <v>1.0059862870832901</v>
      </c>
      <c r="P202" s="11">
        <f t="shared" ca="1" si="159"/>
        <v>1.0061398140167248</v>
      </c>
      <c r="Q202" s="11">
        <f t="shared" ca="1" si="159"/>
        <v>1.0062473030132963</v>
      </c>
      <c r="R202" s="11">
        <f t="shared" ca="1" si="159"/>
        <v>1.0063604391523351</v>
      </c>
      <c r="S202" s="11">
        <f t="shared" ca="1" si="159"/>
        <v>1.0064247373461264</v>
      </c>
      <c r="T202" s="11">
        <f t="shared" ca="1" si="159"/>
        <v>1.0064371510651879</v>
      </c>
      <c r="U202" s="11">
        <f t="shared" ca="1" si="159"/>
        <v>1.0063961856242269</v>
      </c>
      <c r="V202" s="11">
        <f t="shared" ca="1" si="159"/>
        <v>1.0063010915187567</v>
      </c>
      <c r="W202" s="11">
        <f t="shared" ca="1" si="159"/>
        <v>1.0062073740268518</v>
      </c>
      <c r="X202" s="11">
        <f t="shared" ca="1" si="159"/>
        <v>1.0060559276273893</v>
      </c>
      <c r="Y202" s="11">
        <f t="shared" ca="1" si="159"/>
        <v>1.0058418973208139</v>
      </c>
      <c r="Z202" s="11">
        <f t="shared" ca="1" si="159"/>
        <v>1.0055628761570201</v>
      </c>
      <c r="AA202" s="11">
        <f t="shared" ca="1" si="159"/>
        <v>1.0052176484227595</v>
      </c>
      <c r="AB202" s="11">
        <f t="shared" ca="1" si="159"/>
        <v>1.0048337577212483</v>
      </c>
      <c r="AC202" s="11">
        <f t="shared" ca="1" si="159"/>
        <v>1.0043791649663896</v>
      </c>
      <c r="AD202" s="11">
        <f t="shared" ca="1" si="159"/>
        <v>1.0038483738557209</v>
      </c>
      <c r="AE202" s="11">
        <f t="shared" ca="1" si="159"/>
        <v>1.0032386223959062</v>
      </c>
      <c r="AF202" s="11">
        <f t="shared" ca="1" si="159"/>
        <v>1.0016213551627824</v>
      </c>
      <c r="AG202" s="11"/>
      <c r="AH202" s="11"/>
    </row>
    <row r="203" spans="2:34" outlineLevel="1">
      <c r="B203" s="48" t="str">
        <f t="shared" si="140"/>
        <v>EBIT / Interest Expenses</v>
      </c>
      <c r="C203" s="158"/>
      <c r="D203" s="11">
        <f t="shared" ca="1" si="143"/>
        <v>1</v>
      </c>
      <c r="E203" s="11">
        <f t="shared" ref="E203" ca="1" si="160">E159/$D159</f>
        <v>1.0094186988910194</v>
      </c>
      <c r="F203" s="11">
        <f t="shared" ref="F203:AF203" ca="1" si="161">F159/$D159</f>
        <v>1.0185437679492733</v>
      </c>
      <c r="G203" s="11">
        <f t="shared" ca="1" si="161"/>
        <v>1.0270602905347053</v>
      </c>
      <c r="H203" s="11">
        <f t="shared" ca="1" si="161"/>
        <v>1.0297705037238509</v>
      </c>
      <c r="I203" s="11">
        <f t="shared" ca="1" si="161"/>
        <v>1.0317950943331591</v>
      </c>
      <c r="J203" s="11">
        <f t="shared" ca="1" si="161"/>
        <v>1.0334395749339</v>
      </c>
      <c r="K203" s="11">
        <f t="shared" ca="1" si="161"/>
        <v>1.0347872384968371</v>
      </c>
      <c r="L203" s="11">
        <f t="shared" ca="1" si="161"/>
        <v>1.035879606271991</v>
      </c>
      <c r="M203" s="11">
        <f t="shared" ca="1" si="161"/>
        <v>1.0377475374240321</v>
      </c>
      <c r="N203" s="11">
        <f t="shared" ca="1" si="161"/>
        <v>1.039394567938873</v>
      </c>
      <c r="O203" s="11">
        <f t="shared" ca="1" si="161"/>
        <v>1.0407558987934886</v>
      </c>
      <c r="P203" s="11">
        <f t="shared" ca="1" si="161"/>
        <v>1.0418125946665007</v>
      </c>
      <c r="Q203" s="11">
        <f t="shared" ca="1" si="161"/>
        <v>1.0425551875201462</v>
      </c>
      <c r="R203" s="11">
        <f t="shared" ca="1" si="161"/>
        <v>1.0433270155780225</v>
      </c>
      <c r="S203" s="11">
        <f t="shared" ca="1" si="161"/>
        <v>1.0437751818514436</v>
      </c>
      <c r="T203" s="11">
        <f t="shared" ca="1" si="161"/>
        <v>1.0438694506601705</v>
      </c>
      <c r="U203" s="11">
        <f t="shared" ca="1" si="161"/>
        <v>1.043599306919244</v>
      </c>
      <c r="V203" s="11">
        <f t="shared" ca="1" si="161"/>
        <v>1.0429595169590438</v>
      </c>
      <c r="W203" s="11">
        <f t="shared" ca="1" si="161"/>
        <v>1.0423190608483863</v>
      </c>
      <c r="X203" s="11">
        <f t="shared" ca="1" si="161"/>
        <v>1.0412950888203951</v>
      </c>
      <c r="Y203" s="11">
        <f t="shared" ca="1" si="161"/>
        <v>1.0398446831158026</v>
      </c>
      <c r="Z203" s="11">
        <f t="shared" ca="1" si="161"/>
        <v>1.0379511541825275</v>
      </c>
      <c r="AA203" s="11">
        <f t="shared" ca="1" si="161"/>
        <v>1.0356062502140027</v>
      </c>
      <c r="AB203" s="11">
        <f t="shared" ca="1" si="161"/>
        <v>1.0329930878649154</v>
      </c>
      <c r="AC203" s="11">
        <f t="shared" ca="1" si="161"/>
        <v>1.0299040643790227</v>
      </c>
      <c r="AD203" s="11">
        <f t="shared" ca="1" si="161"/>
        <v>1.0262973703396223</v>
      </c>
      <c r="AE203" s="11">
        <f t="shared" ca="1" si="161"/>
        <v>1.0221542843099498</v>
      </c>
      <c r="AF203" s="11">
        <f t="shared" ca="1" si="161"/>
        <v>1.0113145761559439</v>
      </c>
      <c r="AG203" s="11"/>
      <c r="AH203" s="11"/>
    </row>
    <row r="204" spans="2:34" outlineLevel="1">
      <c r="B204" s="48" t="str">
        <f t="shared" si="140"/>
        <v>EBITDA / Revenues</v>
      </c>
      <c r="C204" s="158"/>
      <c r="D204" s="11">
        <f t="shared" ca="1" si="143"/>
        <v>1</v>
      </c>
      <c r="E204" s="11">
        <f t="shared" ref="E204" ca="1" si="162">E160/$D160</f>
        <v>1.0084434875925206</v>
      </c>
      <c r="F204" s="11">
        <f t="shared" ref="F204:AF204" ca="1" si="163">F160/$D160</f>
        <v>1.0163897194313514</v>
      </c>
      <c r="G204" s="11">
        <f t="shared" ca="1" si="163"/>
        <v>1.0238014878173483</v>
      </c>
      <c r="H204" s="11">
        <f t="shared" ca="1" si="163"/>
        <v>1.0260146656019364</v>
      </c>
      <c r="I204" s="11">
        <f t="shared" ca="1" si="163"/>
        <v>1.0277593616197187</v>
      </c>
      <c r="J204" s="11">
        <f t="shared" ca="1" si="163"/>
        <v>1.0291770291803615</v>
      </c>
      <c r="K204" s="11">
        <f t="shared" ca="1" si="163"/>
        <v>1.0303383357676337</v>
      </c>
      <c r="L204" s="11">
        <f t="shared" ca="1" si="163"/>
        <v>1.0312785830666069</v>
      </c>
      <c r="M204" s="11">
        <f t="shared" ca="1" si="163"/>
        <v>1.0329117362255549</v>
      </c>
      <c r="N204" s="11">
        <f t="shared" ca="1" si="163"/>
        <v>1.0343275858599981</v>
      </c>
      <c r="O204" s="11">
        <f t="shared" ca="1" si="163"/>
        <v>1.0354945639169577</v>
      </c>
      <c r="P204" s="11">
        <f t="shared" ca="1" si="163"/>
        <v>1.0363968979379237</v>
      </c>
      <c r="Q204" s="11">
        <f t="shared" ca="1" si="163"/>
        <v>1.03702670736132</v>
      </c>
      <c r="R204" s="11">
        <f t="shared" ca="1" si="163"/>
        <v>1.0376770635856205</v>
      </c>
      <c r="S204" s="11">
        <f t="shared" ca="1" si="163"/>
        <v>1.0380382473047762</v>
      </c>
      <c r="T204" s="11">
        <f t="shared" ca="1" si="163"/>
        <v>1.0380933706766549</v>
      </c>
      <c r="U204" s="11">
        <f t="shared" ca="1" si="163"/>
        <v>1.0378340090289344</v>
      </c>
      <c r="V204" s="11">
        <f t="shared" ca="1" si="163"/>
        <v>1.0372559651721627</v>
      </c>
      <c r="W204" s="11">
        <f t="shared" ca="1" si="163"/>
        <v>1.036678259470216</v>
      </c>
      <c r="X204" s="11">
        <f t="shared" ca="1" si="163"/>
        <v>1.0357607576909904</v>
      </c>
      <c r="Y204" s="11">
        <f t="shared" ca="1" si="163"/>
        <v>1.0344761607932906</v>
      </c>
      <c r="Z204" s="11">
        <f t="shared" ca="1" si="163"/>
        <v>1.0328108515466945</v>
      </c>
      <c r="AA204" s="11">
        <f t="shared" ca="1" si="163"/>
        <v>1.0307580445697955</v>
      </c>
      <c r="AB204" s="11">
        <f t="shared" ca="1" si="163"/>
        <v>1.0284755314986738</v>
      </c>
      <c r="AC204" s="11">
        <f t="shared" ca="1" si="163"/>
        <v>1.0257797382476277</v>
      </c>
      <c r="AD204" s="11">
        <f t="shared" ca="1" si="163"/>
        <v>1.0226398086389363</v>
      </c>
      <c r="AE204" s="11">
        <f t="shared" ca="1" si="163"/>
        <v>1.0190403399590753</v>
      </c>
      <c r="AF204" s="11">
        <f t="shared" ca="1" si="163"/>
        <v>1.0095197592121254</v>
      </c>
      <c r="AG204" s="11"/>
      <c r="AH204" s="11"/>
    </row>
    <row r="205" spans="2:34" outlineLevel="1">
      <c r="B205" s="48" t="str">
        <f t="shared" si="140"/>
        <v>Net Debt / EBITDA</v>
      </c>
      <c r="C205" s="158"/>
      <c r="D205" s="11">
        <f t="shared" ca="1" si="143"/>
        <v>1</v>
      </c>
      <c r="E205" s="11">
        <f t="shared" ref="E205" ca="1" si="164">E161/$D161</f>
        <v>0.99148322787250542</v>
      </c>
      <c r="F205" s="11">
        <f t="shared" ref="F205:AF205" ca="1" si="165">F161/$D161</f>
        <v>0.98359660251574277</v>
      </c>
      <c r="G205" s="11">
        <f t="shared" ca="1" si="165"/>
        <v>0.97635057746776444</v>
      </c>
      <c r="H205" s="11">
        <f t="shared" ca="1" si="165"/>
        <v>0.97420009232491023</v>
      </c>
      <c r="I205" s="11">
        <f t="shared" ca="1" si="165"/>
        <v>0.97251021026074891</v>
      </c>
      <c r="J205" s="11">
        <f t="shared" ca="1" si="165"/>
        <v>0.97114041828013609</v>
      </c>
      <c r="K205" s="11">
        <f t="shared" ca="1" si="165"/>
        <v>0.97002045183655872</v>
      </c>
      <c r="L205" s="11">
        <f t="shared" ca="1" si="165"/>
        <v>0.96911490611920592</v>
      </c>
      <c r="M205" s="11">
        <f t="shared" ca="1" si="165"/>
        <v>0.96754191995554784</v>
      </c>
      <c r="N205" s="11">
        <f t="shared" ca="1" si="165"/>
        <v>0.9661810982150516</v>
      </c>
      <c r="O205" s="11">
        <f t="shared" ca="1" si="165"/>
        <v>0.96506108627800291</v>
      </c>
      <c r="P205" s="11">
        <f t="shared" ca="1" si="165"/>
        <v>0.96419539807705512</v>
      </c>
      <c r="Q205" s="11">
        <f t="shared" ca="1" si="165"/>
        <v>0.96359025956655042</v>
      </c>
      <c r="R205" s="11">
        <f t="shared" ca="1" si="165"/>
        <v>0.96295375277063577</v>
      </c>
      <c r="S205" s="11">
        <f t="shared" ca="1" si="165"/>
        <v>0.96259268882836346</v>
      </c>
      <c r="T205" s="11">
        <f t="shared" ca="1" si="165"/>
        <v>0.96252327775161062</v>
      </c>
      <c r="U205" s="11">
        <f t="shared" ca="1" si="165"/>
        <v>0.96275379196622823</v>
      </c>
      <c r="V205" s="11">
        <f t="shared" ca="1" si="165"/>
        <v>0.96328884632169898</v>
      </c>
      <c r="W205" s="11">
        <f t="shared" ca="1" si="165"/>
        <v>0.96381635207547722</v>
      </c>
      <c r="X205" s="11">
        <f t="shared" ca="1" si="165"/>
        <v>0.96467031833002959</v>
      </c>
      <c r="Y205" s="11">
        <f t="shared" ca="1" si="165"/>
        <v>0.96587947219063675</v>
      </c>
      <c r="Z205" s="11">
        <f t="shared" ca="1" si="165"/>
        <v>0.96745994322189044</v>
      </c>
      <c r="AA205" s="11">
        <f t="shared" ca="1" si="165"/>
        <v>0.96942204365997209</v>
      </c>
      <c r="AB205" s="11">
        <f t="shared" ca="1" si="165"/>
        <v>0.97161241428506462</v>
      </c>
      <c r="AC205" s="11">
        <f t="shared" ca="1" si="165"/>
        <v>0.97421834907465843</v>
      </c>
      <c r="AD205" s="11">
        <f t="shared" ca="1" si="165"/>
        <v>0.97727763561816572</v>
      </c>
      <c r="AE205" s="11">
        <f t="shared" ca="1" si="165"/>
        <v>0.98081421694441384</v>
      </c>
      <c r="AF205" s="11">
        <f t="shared" ca="1" si="165"/>
        <v>0.99031677890202396</v>
      </c>
      <c r="AG205" s="11"/>
      <c r="AH205" s="11"/>
    </row>
    <row r="206" spans="2:34" outlineLevel="1">
      <c r="B206" s="48" t="str">
        <f t="shared" si="140"/>
        <v>Funds from Operations / Total Debt</v>
      </c>
      <c r="C206" s="158"/>
      <c r="D206" s="11">
        <f t="shared" ca="1" si="143"/>
        <v>1</v>
      </c>
      <c r="E206" s="11">
        <f t="shared" ref="E206" ca="1" si="166">E162/$D162</f>
        <v>1.0087297448353432</v>
      </c>
      <c r="F206" s="11">
        <f t="shared" ref="F206:AF206" ca="1" si="167">F162/$D162</f>
        <v>1.0169527824231162</v>
      </c>
      <c r="G206" s="11">
        <f t="shared" ca="1" si="167"/>
        <v>1.0246249783696546</v>
      </c>
      <c r="H206" s="11">
        <f t="shared" ca="1" si="167"/>
        <v>1.0269265478808278</v>
      </c>
      <c r="I206" s="11">
        <f t="shared" ca="1" si="167"/>
        <v>1.0287403832331852</v>
      </c>
      <c r="J206" s="11">
        <f t="shared" ca="1" si="167"/>
        <v>1.0302152491830339</v>
      </c>
      <c r="K206" s="11">
        <f t="shared" ca="1" si="167"/>
        <v>1.0314242134901124</v>
      </c>
      <c r="L206" s="11">
        <f t="shared" ca="1" si="167"/>
        <v>1.0324037673394018</v>
      </c>
      <c r="M206" s="11">
        <f t="shared" ca="1" si="167"/>
        <v>1.0341090932920447</v>
      </c>
      <c r="N206" s="11">
        <f t="shared" ca="1" si="167"/>
        <v>1.03558931767831</v>
      </c>
      <c r="O206" s="11">
        <f t="shared" ca="1" si="167"/>
        <v>1.0368107705831986</v>
      </c>
      <c r="P206" s="11">
        <f t="shared" ca="1" si="167"/>
        <v>1.0377568468678446</v>
      </c>
      <c r="Q206" s="11">
        <f t="shared" ca="1" si="167"/>
        <v>1.0384192340253584</v>
      </c>
      <c r="R206" s="11">
        <f t="shared" ca="1" si="167"/>
        <v>1.0391166849095155</v>
      </c>
      <c r="S206" s="11">
        <f t="shared" ca="1" si="167"/>
        <v>1.0395128932378075</v>
      </c>
      <c r="T206" s="11">
        <f t="shared" ca="1" si="167"/>
        <v>1.039589228043527</v>
      </c>
      <c r="U206" s="11">
        <f t="shared" ca="1" si="167"/>
        <v>1.0393364715345879</v>
      </c>
      <c r="V206" s="11">
        <f t="shared" ca="1" si="167"/>
        <v>1.0387500369443095</v>
      </c>
      <c r="W206" s="11">
        <f t="shared" ca="1" si="167"/>
        <v>1.0381723411009165</v>
      </c>
      <c r="X206" s="11">
        <f t="shared" ca="1" si="167"/>
        <v>1.0372386503173572</v>
      </c>
      <c r="Y206" s="11">
        <f t="shared" ca="1" si="167"/>
        <v>1.0359193751728693</v>
      </c>
      <c r="Z206" s="11">
        <f t="shared" ca="1" si="167"/>
        <v>1.0341998835916597</v>
      </c>
      <c r="AA206" s="11">
        <f t="shared" ca="1" si="167"/>
        <v>1.0320729463390139</v>
      </c>
      <c r="AB206" s="11">
        <f t="shared" ca="1" si="167"/>
        <v>1.0297085947896101</v>
      </c>
      <c r="AC206" s="11">
        <f t="shared" ca="1" si="167"/>
        <v>1.0269095910377462</v>
      </c>
      <c r="AD206" s="11">
        <f t="shared" ca="1" si="167"/>
        <v>1.0236426667993055</v>
      </c>
      <c r="AE206" s="11">
        <f t="shared" ca="1" si="167"/>
        <v>1.0198914113573754</v>
      </c>
      <c r="AF206" s="11">
        <f t="shared" ca="1" si="167"/>
        <v>1.0099471839366154</v>
      </c>
      <c r="AG206" s="11"/>
      <c r="AH206" s="11"/>
    </row>
    <row r="207" spans="2:34" outlineLevel="1">
      <c r="B207" s="48" t="str">
        <f t="shared" si="140"/>
        <v>Cash Flow from Operations / Total Debt</v>
      </c>
      <c r="C207" s="158"/>
      <c r="D207" s="11">
        <f t="shared" ca="1" si="143"/>
        <v>1</v>
      </c>
      <c r="E207" s="11">
        <f t="shared" ref="E207" ca="1" si="168">E163/$D163</f>
        <v>1.0087297448353432</v>
      </c>
      <c r="F207" s="11">
        <f t="shared" ref="F207:AF207" ca="1" si="169">F163/$D163</f>
        <v>1.0169527824231162</v>
      </c>
      <c r="G207" s="11">
        <f t="shared" ca="1" si="169"/>
        <v>1.0246249783696546</v>
      </c>
      <c r="H207" s="11">
        <f t="shared" ca="1" si="169"/>
        <v>1.0269265478808278</v>
      </c>
      <c r="I207" s="11">
        <f t="shared" ca="1" si="169"/>
        <v>1.0287403832331852</v>
      </c>
      <c r="J207" s="11">
        <f t="shared" ca="1" si="169"/>
        <v>1.0302152491830339</v>
      </c>
      <c r="K207" s="11">
        <f t="shared" ca="1" si="169"/>
        <v>1.0314242134901124</v>
      </c>
      <c r="L207" s="11">
        <f t="shared" ca="1" si="169"/>
        <v>1.0324037673394018</v>
      </c>
      <c r="M207" s="11">
        <f t="shared" ca="1" si="169"/>
        <v>1.0341090932920447</v>
      </c>
      <c r="N207" s="11">
        <f t="shared" ca="1" si="169"/>
        <v>1.03558931767831</v>
      </c>
      <c r="O207" s="11">
        <f t="shared" ca="1" si="169"/>
        <v>1.0368107705831986</v>
      </c>
      <c r="P207" s="11">
        <f t="shared" ca="1" si="169"/>
        <v>1.0377568468678446</v>
      </c>
      <c r="Q207" s="11">
        <f t="shared" ca="1" si="169"/>
        <v>1.0384192340253584</v>
      </c>
      <c r="R207" s="11">
        <f t="shared" ca="1" si="169"/>
        <v>1.0391166849095155</v>
      </c>
      <c r="S207" s="11">
        <f t="shared" ca="1" si="169"/>
        <v>1.0395128932378075</v>
      </c>
      <c r="T207" s="11">
        <f t="shared" ca="1" si="169"/>
        <v>1.039589228043527</v>
      </c>
      <c r="U207" s="11">
        <f t="shared" ca="1" si="169"/>
        <v>1.0393364715345879</v>
      </c>
      <c r="V207" s="11">
        <f t="shared" ca="1" si="169"/>
        <v>1.0387500369443095</v>
      </c>
      <c r="W207" s="11">
        <f t="shared" ca="1" si="169"/>
        <v>1.0381723411009165</v>
      </c>
      <c r="X207" s="11">
        <f t="shared" ca="1" si="169"/>
        <v>1.0372386503173572</v>
      </c>
      <c r="Y207" s="11">
        <f t="shared" ca="1" si="169"/>
        <v>1.0359193751728693</v>
      </c>
      <c r="Z207" s="11">
        <f t="shared" ca="1" si="169"/>
        <v>1.0341998835916597</v>
      </c>
      <c r="AA207" s="11">
        <f t="shared" ca="1" si="169"/>
        <v>1.0320729463390139</v>
      </c>
      <c r="AB207" s="11">
        <f t="shared" ca="1" si="169"/>
        <v>1.0297085947896101</v>
      </c>
      <c r="AC207" s="11">
        <f t="shared" ca="1" si="169"/>
        <v>1.0269095910377462</v>
      </c>
      <c r="AD207" s="11">
        <f t="shared" ca="1" si="169"/>
        <v>1.0236426667993055</v>
      </c>
      <c r="AE207" s="11">
        <f t="shared" ca="1" si="169"/>
        <v>1.0198914113573754</v>
      </c>
      <c r="AF207" s="11">
        <f t="shared" ca="1" si="169"/>
        <v>1.0099471839366154</v>
      </c>
      <c r="AG207" s="11"/>
      <c r="AH207" s="11"/>
    </row>
    <row r="208" spans="2:34" outlineLevel="1">
      <c r="B208" s="48" t="str">
        <f t="shared" si="140"/>
        <v>EBITDA / Interest Expenses</v>
      </c>
      <c r="C208" s="158"/>
      <c r="D208" s="11">
        <f t="shared" ca="1" si="143"/>
        <v>1</v>
      </c>
      <c r="E208" s="11">
        <f t="shared" ref="E208" ca="1" si="170">E164/$D164</f>
        <v>1.0083257840343578</v>
      </c>
      <c r="F208" s="11">
        <f t="shared" ref="F208:AF208" ca="1" si="171">F164/$D164</f>
        <v>1.0164219391319607</v>
      </c>
      <c r="G208" s="11">
        <f t="shared" ca="1" si="171"/>
        <v>1.0239784427537211</v>
      </c>
      <c r="H208" s="11">
        <f t="shared" ca="1" si="171"/>
        <v>1.0264004924680603</v>
      </c>
      <c r="I208" s="11">
        <f t="shared" ca="1" si="171"/>
        <v>1.0281980631648209</v>
      </c>
      <c r="J208" s="11">
        <f t="shared" ca="1" si="171"/>
        <v>1.0296579470706178</v>
      </c>
      <c r="K208" s="11">
        <f t="shared" ca="1" si="171"/>
        <v>1.0308542924512851</v>
      </c>
      <c r="L208" s="11">
        <f t="shared" ca="1" si="171"/>
        <v>1.0318240533937857</v>
      </c>
      <c r="M208" s="11">
        <f t="shared" ca="1" si="171"/>
        <v>1.0334785968151354</v>
      </c>
      <c r="N208" s="11">
        <f t="shared" ca="1" si="171"/>
        <v>1.0349403599365326</v>
      </c>
      <c r="O208" s="11">
        <f t="shared" ca="1" si="171"/>
        <v>1.036148804841126</v>
      </c>
      <c r="P208" s="11">
        <f t="shared" ca="1" si="171"/>
        <v>1.0370870759587623</v>
      </c>
      <c r="Q208" s="11">
        <f t="shared" ca="1" si="171"/>
        <v>1.0377467468902222</v>
      </c>
      <c r="R208" s="11">
        <f t="shared" ca="1" si="171"/>
        <v>1.0384312874865953</v>
      </c>
      <c r="S208" s="11">
        <f t="shared" ca="1" si="171"/>
        <v>1.0388298425610876</v>
      </c>
      <c r="T208" s="11">
        <f t="shared" ca="1" si="171"/>
        <v>1.0389145325623221</v>
      </c>
      <c r="U208" s="11">
        <f t="shared" ca="1" si="171"/>
        <v>1.0386759979570095</v>
      </c>
      <c r="V208" s="11">
        <f t="shared" ca="1" si="171"/>
        <v>1.0381095807312859</v>
      </c>
      <c r="W208" s="11">
        <f t="shared" ca="1" si="171"/>
        <v>1.0375414299750025</v>
      </c>
      <c r="X208" s="11">
        <f t="shared" ca="1" si="171"/>
        <v>1.0366342944826046</v>
      </c>
      <c r="Y208" s="11">
        <f t="shared" ca="1" si="171"/>
        <v>1.035348986799784</v>
      </c>
      <c r="Z208" s="11">
        <f t="shared" ca="1" si="171"/>
        <v>1.0336706517610801</v>
      </c>
      <c r="AA208" s="11">
        <f t="shared" ca="1" si="171"/>
        <v>1.0315919448448667</v>
      </c>
      <c r="AB208" s="11">
        <f t="shared" ca="1" si="171"/>
        <v>1.0292747096355626</v>
      </c>
      <c r="AC208" s="11">
        <f t="shared" ca="1" si="171"/>
        <v>1.0265360158389127</v>
      </c>
      <c r="AD208" s="11">
        <f t="shared" ca="1" si="171"/>
        <v>1.0233382296137825</v>
      </c>
      <c r="AE208" s="11">
        <f t="shared" ca="1" si="171"/>
        <v>1.0196646874240765</v>
      </c>
      <c r="AF208" s="11">
        <f t="shared" ca="1" si="171"/>
        <v>1.0100699156565982</v>
      </c>
      <c r="AG208" s="11"/>
      <c r="AH208" s="11"/>
    </row>
    <row r="209" spans="2:34" outlineLevel="1">
      <c r="B209" s="48" t="str">
        <f t="shared" si="140"/>
        <v>Total Assets</v>
      </c>
      <c r="C209" s="158"/>
      <c r="D209" s="11">
        <f t="shared" ca="1" si="143"/>
        <v>1</v>
      </c>
      <c r="E209" s="11">
        <f t="shared" ref="E209" ca="1" si="172">E165/$D165</f>
        <v>1.0002805451348062</v>
      </c>
      <c r="F209" s="11">
        <f t="shared" ref="F209:AF209" ca="1" si="173">F165/$D165</f>
        <v>1.0005448469837042</v>
      </c>
      <c r="G209" s="11">
        <f t="shared" ca="1" si="173"/>
        <v>1.0007913297273521</v>
      </c>
      <c r="H209" s="11">
        <f t="shared" ca="1" si="173"/>
        <v>1.0008653529269071</v>
      </c>
      <c r="I209" s="11">
        <f t="shared" ca="1" si="173"/>
        <v>1.0009236084344617</v>
      </c>
      <c r="J209" s="11">
        <f t="shared" ca="1" si="173"/>
        <v>1.0009709713672739</v>
      </c>
      <c r="K209" s="11">
        <f t="shared" ca="1" si="173"/>
        <v>1.0010097919833616</v>
      </c>
      <c r="L209" s="11">
        <f t="shared" ca="1" si="173"/>
        <v>1.0010412443254408</v>
      </c>
      <c r="M209" s="11">
        <f t="shared" ca="1" si="173"/>
        <v>1.0010959737743479</v>
      </c>
      <c r="N209" s="11">
        <f t="shared" ca="1" si="173"/>
        <v>1.0011434914121629</v>
      </c>
      <c r="O209" s="11">
        <f t="shared" ca="1" si="173"/>
        <v>1.0011827003843963</v>
      </c>
      <c r="P209" s="11">
        <f t="shared" ca="1" si="173"/>
        <v>1.0012130692299526</v>
      </c>
      <c r="Q209" s="11">
        <f t="shared" ca="1" si="173"/>
        <v>1.0012343325028343</v>
      </c>
      <c r="R209" s="11">
        <f t="shared" ca="1" si="173"/>
        <v>1.0012567138585096</v>
      </c>
      <c r="S209" s="11">
        <f t="shared" ca="1" si="173"/>
        <v>1.0012694342077162</v>
      </c>
      <c r="T209" s="11">
        <f t="shared" ca="1" si="173"/>
        <v>1.0012718900968403</v>
      </c>
      <c r="U209" s="11">
        <f t="shared" ca="1" si="173"/>
        <v>1.0012637856752029</v>
      </c>
      <c r="V209" s="11">
        <f t="shared" ca="1" si="173"/>
        <v>1.0012449731837503</v>
      </c>
      <c r="W209" s="11">
        <f t="shared" ca="1" si="173"/>
        <v>1.0012264337197521</v>
      </c>
      <c r="X209" s="11">
        <f t="shared" ca="1" si="173"/>
        <v>1.0011964756082574</v>
      </c>
      <c r="Y209" s="11">
        <f t="shared" ca="1" si="173"/>
        <v>1.001154140624799</v>
      </c>
      <c r="Z209" s="11">
        <f t="shared" ca="1" si="173"/>
        <v>1.0010989558896006</v>
      </c>
      <c r="AA209" s="11">
        <f t="shared" ca="1" si="173"/>
        <v>1.0010306852553401</v>
      </c>
      <c r="AB209" s="11">
        <f t="shared" ca="1" si="173"/>
        <v>1.0009547797454657</v>
      </c>
      <c r="AC209" s="11">
        <f t="shared" ca="1" si="173"/>
        <v>1.0008649094247724</v>
      </c>
      <c r="AD209" s="11">
        <f t="shared" ca="1" si="173"/>
        <v>1.000759995556209</v>
      </c>
      <c r="AE209" s="11">
        <f t="shared" ca="1" si="173"/>
        <v>1.0006395018703631</v>
      </c>
      <c r="AF209" s="11">
        <f t="shared" ca="1" si="173"/>
        <v>1.0003200523308229</v>
      </c>
      <c r="AG209" s="11"/>
      <c r="AH209" s="11"/>
    </row>
    <row r="210" spans="2:34" outlineLevel="1">
      <c r="B210" s="48" t="str">
        <f t="shared" si="140"/>
        <v>Revenues</v>
      </c>
      <c r="C210" s="158"/>
      <c r="D210" s="11">
        <f t="shared" ca="1" si="143"/>
        <v>1</v>
      </c>
      <c r="E210" s="11">
        <f t="shared" ref="E210" ca="1" si="174">E166/$D166</f>
        <v>0.99988328194925058</v>
      </c>
      <c r="F210" s="11">
        <f t="shared" ref="F210:AF210" ca="1" si="175">F166/$D166</f>
        <v>0.99977383101135697</v>
      </c>
      <c r="G210" s="11">
        <f t="shared" ca="1" si="175"/>
        <v>0.99967196248194179</v>
      </c>
      <c r="H210" s="11">
        <f t="shared" ca="1" si="175"/>
        <v>0.99964842589864333</v>
      </c>
      <c r="I210" s="11">
        <f t="shared" ca="1" si="175"/>
        <v>0.99963113022536976</v>
      </c>
      <c r="J210" s="11">
        <f t="shared" ca="1" si="175"/>
        <v>0.99961795947098031</v>
      </c>
      <c r="K210" s="11">
        <f t="shared" ca="1" si="175"/>
        <v>0.99960785635786964</v>
      </c>
      <c r="L210" s="11">
        <f t="shared" ca="1" si="175"/>
        <v>0.99960029260883809</v>
      </c>
      <c r="M210" s="11">
        <f t="shared" ca="1" si="175"/>
        <v>0.9995912215238425</v>
      </c>
      <c r="N210" s="11">
        <f t="shared" ca="1" si="175"/>
        <v>0.99958448426194979</v>
      </c>
      <c r="O210" s="11">
        <f t="shared" ca="1" si="175"/>
        <v>0.99958011930796409</v>
      </c>
      <c r="P210" s="11">
        <f t="shared" ca="1" si="175"/>
        <v>0.99957814575534154</v>
      </c>
      <c r="Q210" s="11">
        <f t="shared" ca="1" si="175"/>
        <v>0.99957857308690179</v>
      </c>
      <c r="R210" s="11">
        <f t="shared" ca="1" si="175"/>
        <v>0.99959148666137776</v>
      </c>
      <c r="S210" s="11">
        <f t="shared" ca="1" si="175"/>
        <v>0.99960660776366561</v>
      </c>
      <c r="T210" s="11">
        <f t="shared" ca="1" si="175"/>
        <v>0.99962331502187773</v>
      </c>
      <c r="U210" s="11">
        <f t="shared" ca="1" si="175"/>
        <v>0.99964129771346533</v>
      </c>
      <c r="V210" s="11">
        <f t="shared" ca="1" si="175"/>
        <v>0.99966040047722859</v>
      </c>
      <c r="W210" s="11">
        <f t="shared" ca="1" si="175"/>
        <v>0.9996873704876571</v>
      </c>
      <c r="X210" s="11">
        <f t="shared" ca="1" si="175"/>
        <v>0.99971515891608675</v>
      </c>
      <c r="Y210" s="11">
        <f t="shared" ca="1" si="175"/>
        <v>0.99974307771287674</v>
      </c>
      <c r="Z210" s="11">
        <f t="shared" ca="1" si="175"/>
        <v>0.99977078282668319</v>
      </c>
      <c r="AA210" s="11">
        <f t="shared" ca="1" si="175"/>
        <v>0.99979810225247956</v>
      </c>
      <c r="AB210" s="11">
        <f t="shared" ca="1" si="175"/>
        <v>0.99982896842478775</v>
      </c>
      <c r="AC210" s="11">
        <f t="shared" ca="1" si="175"/>
        <v>0.99985904527725833</v>
      </c>
      <c r="AD210" s="11">
        <f t="shared" ca="1" si="175"/>
        <v>0.99988744096332982</v>
      </c>
      <c r="AE210" s="11">
        <f t="shared" ca="1" si="175"/>
        <v>0.99991370958910131</v>
      </c>
      <c r="AF210" s="11">
        <f t="shared" ca="1" si="175"/>
        <v>0.99995685479455076</v>
      </c>
      <c r="AG210" s="11"/>
      <c r="AH210" s="11"/>
    </row>
    <row r="211" spans="2:34" outlineLevel="1">
      <c r="B211" s="48" t="str">
        <f t="shared" si="140"/>
        <v>(Cash Flow from Operations - Dividends) / Total Debt</v>
      </c>
      <c r="C211" s="158"/>
      <c r="D211" s="11">
        <f t="shared" ca="1" si="143"/>
        <v>1</v>
      </c>
      <c r="E211" s="11">
        <f t="shared" ref="E211" ca="1" si="176">E167/$D167</f>
        <v>1.0088112986060722</v>
      </c>
      <c r="F211" s="11">
        <f t="shared" ref="F211:AF211" ca="1" si="177">F167/$D167</f>
        <v>1.0171136382821278</v>
      </c>
      <c r="G211" s="11">
        <f t="shared" ca="1" si="177"/>
        <v>1.0248598477103279</v>
      </c>
      <c r="H211" s="11">
        <f t="shared" ca="1" si="177"/>
        <v>1.0271851002381007</v>
      </c>
      <c r="I211" s="11">
        <f t="shared" ca="1" si="177"/>
        <v>1.0290165360357384</v>
      </c>
      <c r="J211" s="11">
        <f t="shared" ca="1" si="177"/>
        <v>1.0305056961937311</v>
      </c>
      <c r="K211" s="11">
        <f t="shared" ca="1" si="177"/>
        <v>1.0317263742087048</v>
      </c>
      <c r="L211" s="11">
        <f t="shared" ca="1" si="177"/>
        <v>1.0327154229601845</v>
      </c>
      <c r="M211" s="11">
        <f t="shared" ca="1" si="177"/>
        <v>1.0344369590170313</v>
      </c>
      <c r="N211" s="11">
        <f t="shared" ca="1" si="177"/>
        <v>1.0359314966088604</v>
      </c>
      <c r="O211" s="11">
        <f t="shared" ca="1" si="177"/>
        <v>1.0371647813850795</v>
      </c>
      <c r="P211" s="11">
        <f t="shared" ca="1" si="177"/>
        <v>1.0381200433490541</v>
      </c>
      <c r="Q211" s="11">
        <f t="shared" ca="1" si="177"/>
        <v>1.0387888876158489</v>
      </c>
      <c r="R211" s="11">
        <f t="shared" ca="1" si="177"/>
        <v>1.039493042587958</v>
      </c>
      <c r="S211" s="11">
        <f t="shared" ca="1" si="177"/>
        <v>1.0398931505864872</v>
      </c>
      <c r="T211" s="11">
        <f t="shared" ca="1" si="177"/>
        <v>1.0399703111546734</v>
      </c>
      <c r="U211" s="11">
        <f t="shared" ca="1" si="177"/>
        <v>1.039715215038121</v>
      </c>
      <c r="V211" s="11">
        <f t="shared" ca="1" si="177"/>
        <v>1.0391232300010966</v>
      </c>
      <c r="W211" s="11">
        <f t="shared" ca="1" si="177"/>
        <v>1.0385399705595393</v>
      </c>
      <c r="X211" s="11">
        <f t="shared" ca="1" si="177"/>
        <v>1.0375973927615043</v>
      </c>
      <c r="Y211" s="11">
        <f t="shared" ca="1" si="177"/>
        <v>1.0362655272605703</v>
      </c>
      <c r="Z211" s="11">
        <f t="shared" ca="1" si="177"/>
        <v>1.0345295968219022</v>
      </c>
      <c r="AA211" s="11">
        <f t="shared" ca="1" si="177"/>
        <v>1.0323823005172874</v>
      </c>
      <c r="AB211" s="11">
        <f t="shared" ca="1" si="177"/>
        <v>1.0299952561589962</v>
      </c>
      <c r="AC211" s="11">
        <f t="shared" ca="1" si="177"/>
        <v>1.0271694314615678</v>
      </c>
      <c r="AD211" s="11">
        <f t="shared" ca="1" si="177"/>
        <v>1.0238711913691896</v>
      </c>
      <c r="AE211" s="11">
        <f t="shared" ca="1" si="177"/>
        <v>1.0200839623760856</v>
      </c>
      <c r="AF211" s="11">
        <f t="shared" ca="1" si="177"/>
        <v>1.0100457676475141</v>
      </c>
      <c r="AG211" s="11"/>
      <c r="AH211" s="11"/>
    </row>
    <row r="212" spans="2:34" outlineLevel="1">
      <c r="B212" s="48" t="str">
        <f t="shared" si="140"/>
        <v>(Cash Flow from Operations + Interest Expenses) / Interest Expenses</v>
      </c>
      <c r="C212" s="158"/>
      <c r="D212" s="11">
        <f t="shared" ca="1" si="143"/>
        <v>1</v>
      </c>
      <c r="E212" s="11">
        <f t="shared" ref="E212" ca="1" si="178">E168/$D168</f>
        <v>1.0083257840343578</v>
      </c>
      <c r="F212" s="11">
        <f t="shared" ref="F212:AF212" ca="1" si="179">F168/$D168</f>
        <v>1.0164219391319607</v>
      </c>
      <c r="G212" s="11">
        <f t="shared" ca="1" si="179"/>
        <v>1.0239784427537211</v>
      </c>
      <c r="H212" s="11">
        <f t="shared" ca="1" si="179"/>
        <v>1.0264004924680603</v>
      </c>
      <c r="I212" s="11">
        <f t="shared" ca="1" si="179"/>
        <v>1.0281980631648209</v>
      </c>
      <c r="J212" s="11">
        <f t="shared" ca="1" si="179"/>
        <v>1.0296579470706178</v>
      </c>
      <c r="K212" s="11">
        <f t="shared" ca="1" si="179"/>
        <v>1.0308542924512851</v>
      </c>
      <c r="L212" s="11">
        <f t="shared" ca="1" si="179"/>
        <v>1.0318240533937857</v>
      </c>
      <c r="M212" s="11">
        <f t="shared" ca="1" si="179"/>
        <v>1.0334785968151354</v>
      </c>
      <c r="N212" s="11">
        <f t="shared" ca="1" si="179"/>
        <v>1.0349403599365326</v>
      </c>
      <c r="O212" s="11">
        <f t="shared" ca="1" si="179"/>
        <v>1.036148804841126</v>
      </c>
      <c r="P212" s="11">
        <f t="shared" ca="1" si="179"/>
        <v>1.0370870759587623</v>
      </c>
      <c r="Q212" s="11">
        <f t="shared" ca="1" si="179"/>
        <v>1.0377467468902222</v>
      </c>
      <c r="R212" s="11">
        <f t="shared" ca="1" si="179"/>
        <v>1.0384312874865953</v>
      </c>
      <c r="S212" s="11">
        <f t="shared" ca="1" si="179"/>
        <v>1.0388298425610876</v>
      </c>
      <c r="T212" s="11">
        <f t="shared" ca="1" si="179"/>
        <v>1.0389145325623221</v>
      </c>
      <c r="U212" s="11">
        <f t="shared" ca="1" si="179"/>
        <v>1.0386759979570095</v>
      </c>
      <c r="V212" s="11">
        <f t="shared" ca="1" si="179"/>
        <v>1.0381095807312859</v>
      </c>
      <c r="W212" s="11">
        <f t="shared" ca="1" si="179"/>
        <v>1.0375414299750025</v>
      </c>
      <c r="X212" s="11">
        <f t="shared" ca="1" si="179"/>
        <v>1.0366342944826046</v>
      </c>
      <c r="Y212" s="11">
        <f t="shared" ca="1" si="179"/>
        <v>1.035348986799784</v>
      </c>
      <c r="Z212" s="11">
        <f t="shared" ca="1" si="179"/>
        <v>1.0336706517610801</v>
      </c>
      <c r="AA212" s="11">
        <f t="shared" ca="1" si="179"/>
        <v>1.0315919448448667</v>
      </c>
      <c r="AB212" s="11">
        <f t="shared" ca="1" si="179"/>
        <v>1.0292747096355626</v>
      </c>
      <c r="AC212" s="11">
        <f t="shared" ca="1" si="179"/>
        <v>1.0265360158389127</v>
      </c>
      <c r="AD212" s="11">
        <f t="shared" ca="1" si="179"/>
        <v>1.0233382296137825</v>
      </c>
      <c r="AE212" s="11">
        <f t="shared" ca="1" si="179"/>
        <v>1.0196646874240765</v>
      </c>
      <c r="AF212" s="11">
        <f t="shared" ca="1" si="179"/>
        <v>1.0100699156565982</v>
      </c>
      <c r="AG212" s="11"/>
      <c r="AH212" s="11"/>
    </row>
    <row r="213" spans="2:34" outlineLevel="1">
      <c r="B213" s="48" t="str">
        <f t="shared" si="140"/>
        <v>(Funds from Operations - Capital Expenditures) / Dividends</v>
      </c>
      <c r="C213" s="158"/>
      <c r="D213" s="11">
        <f t="shared" ca="1" si="143"/>
        <v>1</v>
      </c>
      <c r="E213" s="11">
        <f t="shared" ref="E213" ca="1" si="180">E169/$D169</f>
        <v>1.0163490965507114</v>
      </c>
      <c r="F213" s="11">
        <f t="shared" ref="F213:AF213" ca="1" si="181">F169/$D169</f>
        <v>1.0317487007409309</v>
      </c>
      <c r="G213" s="11">
        <f t="shared" ca="1" si="181"/>
        <v>1.0461165410311548</v>
      </c>
      <c r="H213" s="11">
        <f t="shared" ca="1" si="181"/>
        <v>1.0504204145806255</v>
      </c>
      <c r="I213" s="11">
        <f t="shared" ca="1" si="181"/>
        <v>1.0538111880376142</v>
      </c>
      <c r="J213" s="11">
        <f t="shared" ca="1" si="181"/>
        <v>1.056567503540103</v>
      </c>
      <c r="K213" s="11">
        <f t="shared" ca="1" si="181"/>
        <v>1.0588262720409367</v>
      </c>
      <c r="L213" s="11">
        <f t="shared" ca="1" si="181"/>
        <v>1.0606558692196002</v>
      </c>
      <c r="M213" s="11">
        <f t="shared" ca="1" si="181"/>
        <v>1.0638374344841963</v>
      </c>
      <c r="N213" s="11">
        <f t="shared" ca="1" si="181"/>
        <v>1.0665980134514852</v>
      </c>
      <c r="O213" s="11">
        <f t="shared" ca="1" si="181"/>
        <v>1.0688749288604613</v>
      </c>
      <c r="P213" s="11">
        <f t="shared" ca="1" si="181"/>
        <v>1.0706372626541749</v>
      </c>
      <c r="Q213" s="11">
        <f t="shared" ca="1" si="181"/>
        <v>1.0718695372972007</v>
      </c>
      <c r="R213" s="11">
        <f t="shared" ca="1" si="181"/>
        <v>1.0731559783632587</v>
      </c>
      <c r="S213" s="11">
        <f t="shared" ca="1" si="181"/>
        <v>1.0738798605326856</v>
      </c>
      <c r="T213" s="11">
        <f t="shared" ca="1" si="181"/>
        <v>1.0740070701375735</v>
      </c>
      <c r="U213" s="11">
        <f t="shared" ca="1" si="181"/>
        <v>1.07352073003507</v>
      </c>
      <c r="V213" s="11">
        <f t="shared" ca="1" si="181"/>
        <v>1.0724124431175437</v>
      </c>
      <c r="W213" s="11">
        <f t="shared" ca="1" si="181"/>
        <v>1.0713134372149364</v>
      </c>
      <c r="X213" s="11">
        <f t="shared" ca="1" si="181"/>
        <v>1.0695512175760296</v>
      </c>
      <c r="Y213" s="11">
        <f t="shared" ca="1" si="181"/>
        <v>1.0670713376662277</v>
      </c>
      <c r="Z213" s="11">
        <f t="shared" ca="1" si="181"/>
        <v>1.0638468748718215</v>
      </c>
      <c r="AA213" s="11">
        <f t="shared" ca="1" si="181"/>
        <v>1.0598645298081215</v>
      </c>
      <c r="AB213" s="11">
        <f t="shared" ca="1" si="181"/>
        <v>1.0554372304843942</v>
      </c>
      <c r="AC213" s="11">
        <f t="shared" ca="1" si="181"/>
        <v>1.0502017767663681</v>
      </c>
      <c r="AD213" s="11">
        <f t="shared" ca="1" si="181"/>
        <v>1.0440970540990868</v>
      </c>
      <c r="AE213" s="11">
        <f t="shared" ca="1" si="181"/>
        <v>1.0370929200611347</v>
      </c>
      <c r="AF213" s="11">
        <f t="shared" ca="1" si="181"/>
        <v>1.0185490692649091</v>
      </c>
      <c r="AG213" s="11"/>
      <c r="AH213" s="11"/>
    </row>
    <row r="214" spans="2:34" outlineLevel="1">
      <c r="B214" s="48" t="str">
        <f t="shared" si="140"/>
        <v>(Retained Cash Flow - Capital Expenditures) / Total Debt</v>
      </c>
      <c r="C214" s="158"/>
      <c r="D214" s="11">
        <f t="shared" ca="1" si="143"/>
        <v>1</v>
      </c>
      <c r="E214" s="11">
        <f t="shared" ref="E214" ca="1" si="182">E170/$D170</f>
        <v>1.0330512504449465</v>
      </c>
      <c r="F214" s="11">
        <f t="shared" ref="F214:AF214" ca="1" si="183">F170/$D170</f>
        <v>1.0641918351833781</v>
      </c>
      <c r="G214" s="11">
        <f t="shared" ca="1" si="183"/>
        <v>1.0932459052579027</v>
      </c>
      <c r="H214" s="11">
        <f t="shared" ca="1" si="183"/>
        <v>1.1019475154990848</v>
      </c>
      <c r="I214" s="11">
        <f t="shared" ca="1" si="183"/>
        <v>1.1087977873499086</v>
      </c>
      <c r="J214" s="11">
        <f t="shared" ca="1" si="183"/>
        <v>1.114365324996115</v>
      </c>
      <c r="K214" s="11">
        <f t="shared" ca="1" si="183"/>
        <v>1.1189271490597763</v>
      </c>
      <c r="L214" s="11">
        <f t="shared" ca="1" si="183"/>
        <v>1.1226216057761962</v>
      </c>
      <c r="M214" s="11">
        <f t="shared" ca="1" si="183"/>
        <v>1.1290407443807728</v>
      </c>
      <c r="N214" s="11">
        <f t="shared" ca="1" si="183"/>
        <v>1.1346102618345475</v>
      </c>
      <c r="O214" s="11">
        <f t="shared" ca="1" si="183"/>
        <v>1.1392028548569395</v>
      </c>
      <c r="P214" s="11">
        <f t="shared" ca="1" si="183"/>
        <v>1.1427561862129836</v>
      </c>
      <c r="Q214" s="11">
        <f t="shared" ca="1" si="183"/>
        <v>1.1452390505344578</v>
      </c>
      <c r="R214" s="11">
        <f t="shared" ca="1" si="183"/>
        <v>1.1478181171010755</v>
      </c>
      <c r="S214" s="11">
        <f t="shared" ca="1" si="183"/>
        <v>1.1492617728526804</v>
      </c>
      <c r="T214" s="11">
        <f t="shared" ca="1" si="183"/>
        <v>1.1495015710594356</v>
      </c>
      <c r="U214" s="11">
        <f t="shared" ca="1" si="183"/>
        <v>1.148503808758093</v>
      </c>
      <c r="V214" s="11">
        <f t="shared" ca="1" si="183"/>
        <v>1.14625171852262</v>
      </c>
      <c r="W214" s="11">
        <f t="shared" ca="1" si="183"/>
        <v>1.1440100260399793</v>
      </c>
      <c r="X214" s="11">
        <f t="shared" ca="1" si="183"/>
        <v>1.1404315414245454</v>
      </c>
      <c r="Y214" s="11">
        <f t="shared" ca="1" si="183"/>
        <v>1.1354068973847027</v>
      </c>
      <c r="Z214" s="11">
        <f t="shared" ca="1" si="183"/>
        <v>1.1288821779344631</v>
      </c>
      <c r="AA214" s="11">
        <f t="shared" ca="1" si="183"/>
        <v>1.1208307519802856</v>
      </c>
      <c r="AB214" s="11">
        <f t="shared" ca="1" si="183"/>
        <v>1.1118790031302359</v>
      </c>
      <c r="AC214" s="11">
        <f t="shared" ca="1" si="183"/>
        <v>1.1012998620605057</v>
      </c>
      <c r="AD214" s="11">
        <f t="shared" ca="1" si="183"/>
        <v>1.0889709123916447</v>
      </c>
      <c r="AE214" s="11">
        <f t="shared" ca="1" si="183"/>
        <v>1.0748318508245791</v>
      </c>
      <c r="AF214" s="11">
        <f t="shared" ca="1" si="183"/>
        <v>1.0374297293565888</v>
      </c>
      <c r="AG214" s="11"/>
      <c r="AH214" s="11"/>
    </row>
    <row r="215" spans="2:34" outlineLevel="1">
      <c r="B215" s="48" t="str">
        <f t="shared" si="140"/>
        <v>(Total Debt + Preferred Stocks) / Total Assets</v>
      </c>
      <c r="C215" s="158"/>
      <c r="D215" s="11">
        <f t="shared" ca="1" si="143"/>
        <v>1</v>
      </c>
      <c r="E215" s="11">
        <f t="shared" ref="E215" ca="1" si="184">E171/$D171</f>
        <v>0.99949964330463614</v>
      </c>
      <c r="F215" s="11">
        <f t="shared" ref="F215:AF215" ca="1" si="185">F171/$D171</f>
        <v>0.99902851346086596</v>
      </c>
      <c r="G215" s="11">
        <f t="shared" ca="1" si="185"/>
        <v>0.99858937121181102</v>
      </c>
      <c r="H215" s="11">
        <f t="shared" ca="1" si="185"/>
        <v>0.99845753113137903</v>
      </c>
      <c r="I215" s="11">
        <f t="shared" ca="1" si="185"/>
        <v>0.99835378803691077</v>
      </c>
      <c r="J215" s="11">
        <f t="shared" ca="1" si="185"/>
        <v>0.99826945165468184</v>
      </c>
      <c r="K215" s="11">
        <f t="shared" ca="1" si="185"/>
        <v>0.99820033202371949</v>
      </c>
      <c r="L215" s="11">
        <f t="shared" ca="1" si="185"/>
        <v>0.99814433544551417</v>
      </c>
      <c r="M215" s="11">
        <f t="shared" ca="1" si="185"/>
        <v>0.9980469055616209</v>
      </c>
      <c r="N215" s="11">
        <f t="shared" ca="1" si="185"/>
        <v>0.99796232285155695</v>
      </c>
      <c r="O215" s="11">
        <f t="shared" ca="1" si="185"/>
        <v>0.99789253584188342</v>
      </c>
      <c r="P215" s="11">
        <f t="shared" ca="1" si="185"/>
        <v>0.99783848689551347</v>
      </c>
      <c r="Q215" s="11">
        <f t="shared" ca="1" si="185"/>
        <v>0.99780064554168046</v>
      </c>
      <c r="R215" s="11">
        <f t="shared" ca="1" si="185"/>
        <v>0.99776081611908607</v>
      </c>
      <c r="S215" s="11">
        <f t="shared" ca="1" si="185"/>
        <v>0.99773818002813952</v>
      </c>
      <c r="T215" s="11">
        <f t="shared" ca="1" si="185"/>
        <v>0.9977338097953683</v>
      </c>
      <c r="U215" s="11">
        <f t="shared" ca="1" si="185"/>
        <v>0.99774823162267867</v>
      </c>
      <c r="V215" s="11">
        <f t="shared" ca="1" si="185"/>
        <v>0.99778170937209842</v>
      </c>
      <c r="W215" s="11">
        <f t="shared" ca="1" si="185"/>
        <v>0.99781470248659965</v>
      </c>
      <c r="X215" s="11">
        <f t="shared" ca="1" si="185"/>
        <v>0.99786801898383803</v>
      </c>
      <c r="Y215" s="11">
        <f t="shared" ca="1" si="185"/>
        <v>0.99794336805974793</v>
      </c>
      <c r="Z215" s="11">
        <f t="shared" ca="1" si="185"/>
        <v>0.99804159707781392</v>
      </c>
      <c r="AA215" s="11">
        <f t="shared" ca="1" si="185"/>
        <v>0.99816313402821721</v>
      </c>
      <c r="AB215" s="11">
        <f t="shared" ca="1" si="185"/>
        <v>0.99829828222321892</v>
      </c>
      <c r="AC215" s="11">
        <f t="shared" ca="1" si="185"/>
        <v>0.99845832097914133</v>
      </c>
      <c r="AD215" s="11">
        <f t="shared" ca="1" si="185"/>
        <v>0.99864518526172885</v>
      </c>
      <c r="AE215" s="11">
        <f t="shared" ca="1" si="185"/>
        <v>0.998859847426947</v>
      </c>
      <c r="AF215" s="11">
        <f t="shared" ca="1" si="185"/>
        <v>0.99942920413845848</v>
      </c>
      <c r="AG215" s="11"/>
      <c r="AH215" s="11"/>
    </row>
    <row r="216" spans="2:34" outlineLevel="1">
      <c r="B216" s="48" t="str">
        <f t="shared" si="140"/>
        <v>Total Debt / Book Capitalization</v>
      </c>
      <c r="C216" s="158"/>
      <c r="D216" s="11">
        <f t="shared" ca="1" si="143"/>
        <v>1</v>
      </c>
      <c r="E216" s="11">
        <f t="shared" ref="E216" ca="1" si="186">E172/$D172</f>
        <v>0.99946174491148554</v>
      </c>
      <c r="F216" s="11">
        <f t="shared" ref="F216:AF216" ca="1" si="187">F172/$D172</f>
        <v>0.99895493039674077</v>
      </c>
      <c r="G216" s="11">
        <f t="shared" ca="1" si="187"/>
        <v>0.99848252630516865</v>
      </c>
      <c r="H216" s="11">
        <f t="shared" ca="1" si="187"/>
        <v>0.9983407002942043</v>
      </c>
      <c r="I216" s="11">
        <f t="shared" ca="1" si="187"/>
        <v>0.99822909941224724</v>
      </c>
      <c r="J216" s="11">
        <f t="shared" ca="1" si="187"/>
        <v>0.99813837516032433</v>
      </c>
      <c r="K216" s="11">
        <f t="shared" ca="1" si="187"/>
        <v>0.99806402021828711</v>
      </c>
      <c r="L216" s="11">
        <f t="shared" ca="1" si="187"/>
        <v>0.99800378230513898</v>
      </c>
      <c r="M216" s="11">
        <f t="shared" ca="1" si="187"/>
        <v>0.99789897281370055</v>
      </c>
      <c r="N216" s="11">
        <f t="shared" ca="1" si="187"/>
        <v>0.99780798357639433</v>
      </c>
      <c r="O216" s="11">
        <f t="shared" ca="1" si="187"/>
        <v>0.99773291070654579</v>
      </c>
      <c r="P216" s="11">
        <f t="shared" ca="1" si="187"/>
        <v>0.99767476794422827</v>
      </c>
      <c r="Q216" s="11">
        <f t="shared" ca="1" si="187"/>
        <v>0.99763406038211166</v>
      </c>
      <c r="R216" s="11">
        <f t="shared" ca="1" si="187"/>
        <v>0.99759121416943453</v>
      </c>
      <c r="S216" s="11">
        <f t="shared" ca="1" si="187"/>
        <v>0.99756686355866253</v>
      </c>
      <c r="T216" s="11">
        <f t="shared" ca="1" si="187"/>
        <v>0.99756216231243344</v>
      </c>
      <c r="U216" s="11">
        <f t="shared" ca="1" si="187"/>
        <v>0.99757767648863527</v>
      </c>
      <c r="V216" s="11">
        <f t="shared" ca="1" si="187"/>
        <v>0.9976136899349306</v>
      </c>
      <c r="W216" s="11">
        <f t="shared" ca="1" si="187"/>
        <v>0.99764918203872566</v>
      </c>
      <c r="X216" s="11">
        <f t="shared" ca="1" si="187"/>
        <v>0.99770653687419841</v>
      </c>
      <c r="Y216" s="11">
        <f t="shared" ca="1" si="187"/>
        <v>0.99778759309648768</v>
      </c>
      <c r="Z216" s="11">
        <f t="shared" ca="1" si="187"/>
        <v>0.99789326225072028</v>
      </c>
      <c r="AA216" s="11">
        <f t="shared" ca="1" si="187"/>
        <v>0.99802400474423192</v>
      </c>
      <c r="AB216" s="11">
        <f t="shared" ca="1" si="187"/>
        <v>0.99816938943546762</v>
      </c>
      <c r="AC216" s="11">
        <f t="shared" ca="1" si="187"/>
        <v>0.99834154996721014</v>
      </c>
      <c r="AD216" s="11">
        <f t="shared" ca="1" si="187"/>
        <v>0.99854256786483442</v>
      </c>
      <c r="AE216" s="11">
        <f t="shared" ca="1" si="187"/>
        <v>0.99877348913322317</v>
      </c>
      <c r="AF216" s="11">
        <f t="shared" ca="1" si="187"/>
        <v>0.99938597048900435</v>
      </c>
      <c r="AG216" s="11"/>
      <c r="AH216" s="11"/>
    </row>
    <row r="217" spans="2:34" outlineLevel="1">
      <c r="B217" s="48" t="str">
        <f t="shared" si="140"/>
        <v>EBIT / Book Capitalization</v>
      </c>
      <c r="C217" s="158"/>
      <c r="D217" s="11">
        <f t="shared" ca="1" si="143"/>
        <v>1</v>
      </c>
      <c r="E217" s="11">
        <f t="shared" ref="E217" ca="1" si="188">E173/$D173</f>
        <v>1.0091355908106578</v>
      </c>
      <c r="F217" s="11">
        <f t="shared" ref="F217:AF217" ca="1" si="189">F173/$D173</f>
        <v>1.017726619997799</v>
      </c>
      <c r="G217" s="11">
        <f t="shared" ca="1" si="189"/>
        <v>1.0257342529277955</v>
      </c>
      <c r="H217" s="11">
        <f t="shared" ca="1" si="189"/>
        <v>1.0281318086437052</v>
      </c>
      <c r="I217" s="11">
        <f t="shared" ca="1" si="189"/>
        <v>1.0300230843993063</v>
      </c>
      <c r="J217" s="11">
        <f t="shared" ca="1" si="189"/>
        <v>1.0315606435295703</v>
      </c>
      <c r="K217" s="11">
        <f t="shared" ca="1" si="189"/>
        <v>1.0328207970233034</v>
      </c>
      <c r="L217" s="11">
        <f t="shared" ca="1" si="189"/>
        <v>1.0338416803577957</v>
      </c>
      <c r="M217" s="11">
        <f t="shared" ca="1" si="189"/>
        <v>1.0356193475060329</v>
      </c>
      <c r="N217" s="11">
        <f t="shared" ca="1" si="189"/>
        <v>1.0371615421820788</v>
      </c>
      <c r="O217" s="11">
        <f t="shared" ca="1" si="189"/>
        <v>1.0384338753505167</v>
      </c>
      <c r="P217" s="11">
        <f t="shared" ca="1" si="189"/>
        <v>1.0394191838156568</v>
      </c>
      <c r="Q217" s="11">
        <f t="shared" ca="1" si="189"/>
        <v>1.0401089154543963</v>
      </c>
      <c r="R217" s="11">
        <f t="shared" ca="1" si="189"/>
        <v>1.0408353002711024</v>
      </c>
      <c r="S217" s="11">
        <f t="shared" ca="1" si="189"/>
        <v>1.0412477225727887</v>
      </c>
      <c r="T217" s="11">
        <f t="shared" ca="1" si="189"/>
        <v>1.0413270197183824</v>
      </c>
      <c r="U217" s="11">
        <f t="shared" ca="1" si="189"/>
        <v>1.0410636076989632</v>
      </c>
      <c r="V217" s="11">
        <f t="shared" ca="1" si="189"/>
        <v>1.0404526804013736</v>
      </c>
      <c r="W217" s="11">
        <f t="shared" ca="1" si="189"/>
        <v>1.0398510186918959</v>
      </c>
      <c r="X217" s="11">
        <f t="shared" ca="1" si="189"/>
        <v>1.038878278330567</v>
      </c>
      <c r="Y217" s="11">
        <f t="shared" ca="1" si="189"/>
        <v>1.037503707891188</v>
      </c>
      <c r="Z217" s="11">
        <f t="shared" ca="1" si="189"/>
        <v>1.0357118734795632</v>
      </c>
      <c r="AA217" s="11">
        <f t="shared" ca="1" si="189"/>
        <v>1.0334949793367261</v>
      </c>
      <c r="AB217" s="11">
        <f t="shared" ca="1" si="189"/>
        <v>1.0310300787086066</v>
      </c>
      <c r="AC217" s="11">
        <f t="shared" ca="1" si="189"/>
        <v>1.0281110196510428</v>
      </c>
      <c r="AD217" s="11">
        <f t="shared" ca="1" si="189"/>
        <v>1.0247027200564278</v>
      </c>
      <c r="AE217" s="11">
        <f t="shared" ca="1" si="189"/>
        <v>1.0207874688462037</v>
      </c>
      <c r="AF217" s="11">
        <f t="shared" ca="1" si="189"/>
        <v>1.0103967523352464</v>
      </c>
      <c r="AG217" s="11"/>
      <c r="AH217" s="11"/>
    </row>
    <row r="218" spans="2:34" outlineLevel="1">
      <c r="B218" s="48" t="str">
        <f t="shared" si="140"/>
        <v>EBIT / Tangible Assets</v>
      </c>
      <c r="C218" s="158"/>
      <c r="D218" s="11">
        <f t="shared" ca="1" si="143"/>
        <v>1</v>
      </c>
      <c r="E218" s="11">
        <f t="shared" ref="E218" ca="1" si="190">E174/$D174</f>
        <v>1.0091355908106581</v>
      </c>
      <c r="F218" s="11">
        <f t="shared" ref="F218:AF218" ca="1" si="191">F174/$D174</f>
        <v>1.0177266199977988</v>
      </c>
      <c r="G218" s="11">
        <f t="shared" ca="1" si="191"/>
        <v>1.0257342529277955</v>
      </c>
      <c r="H218" s="11">
        <f t="shared" ca="1" si="191"/>
        <v>1.0281318086437055</v>
      </c>
      <c r="I218" s="11">
        <f t="shared" ca="1" si="191"/>
        <v>1.0300230843993066</v>
      </c>
      <c r="J218" s="11">
        <f t="shared" ca="1" si="191"/>
        <v>1.0315606435295701</v>
      </c>
      <c r="K218" s="11">
        <f t="shared" ca="1" si="191"/>
        <v>1.0328207970233036</v>
      </c>
      <c r="L218" s="11">
        <f t="shared" ca="1" si="191"/>
        <v>1.0338416803577957</v>
      </c>
      <c r="M218" s="11">
        <f t="shared" ca="1" si="191"/>
        <v>1.0356193475060331</v>
      </c>
      <c r="N218" s="11">
        <f t="shared" ca="1" si="191"/>
        <v>1.0371615421820788</v>
      </c>
      <c r="O218" s="11">
        <f t="shared" ca="1" si="191"/>
        <v>1.0384338753505167</v>
      </c>
      <c r="P218" s="11">
        <f t="shared" ca="1" si="191"/>
        <v>1.039419183815657</v>
      </c>
      <c r="Q218" s="11">
        <f t="shared" ca="1" si="191"/>
        <v>1.0401089154543961</v>
      </c>
      <c r="R218" s="11">
        <f t="shared" ca="1" si="191"/>
        <v>1.0408353002711024</v>
      </c>
      <c r="S218" s="11">
        <f t="shared" ca="1" si="191"/>
        <v>1.0412477225727887</v>
      </c>
      <c r="T218" s="11">
        <f t="shared" ca="1" si="191"/>
        <v>1.0413270197183826</v>
      </c>
      <c r="U218" s="11">
        <f t="shared" ca="1" si="191"/>
        <v>1.0410636076989634</v>
      </c>
      <c r="V218" s="11">
        <f t="shared" ca="1" si="191"/>
        <v>1.0404526804013736</v>
      </c>
      <c r="W218" s="11">
        <f t="shared" ca="1" si="191"/>
        <v>1.0398510186918959</v>
      </c>
      <c r="X218" s="11">
        <f t="shared" ca="1" si="191"/>
        <v>1.038878278330567</v>
      </c>
      <c r="Y218" s="11">
        <f t="shared" ca="1" si="191"/>
        <v>1.037503707891188</v>
      </c>
      <c r="Z218" s="11">
        <f t="shared" ca="1" si="191"/>
        <v>1.0357118734795634</v>
      </c>
      <c r="AA218" s="11">
        <f t="shared" ca="1" si="191"/>
        <v>1.0334949793367261</v>
      </c>
      <c r="AB218" s="11">
        <f t="shared" ca="1" si="191"/>
        <v>1.0310300787086069</v>
      </c>
      <c r="AC218" s="11">
        <f t="shared" ca="1" si="191"/>
        <v>1.0281110196510428</v>
      </c>
      <c r="AD218" s="11">
        <f t="shared" ca="1" si="191"/>
        <v>1.0247027200564278</v>
      </c>
      <c r="AE218" s="11">
        <f t="shared" ca="1" si="191"/>
        <v>1.0207874688462035</v>
      </c>
      <c r="AF218" s="11">
        <f t="shared" ca="1" si="191"/>
        <v>1.0103967523352464</v>
      </c>
      <c r="AG218" s="11"/>
      <c r="AH218" s="11"/>
    </row>
    <row r="219" spans="2:34" outlineLevel="1">
      <c r="B219" s="48" t="str">
        <f t="shared" si="140"/>
        <v>EBIT / Total Assets</v>
      </c>
      <c r="C219" s="158"/>
      <c r="D219" s="11">
        <f t="shared" ca="1" si="143"/>
        <v>1</v>
      </c>
      <c r="E219" s="11">
        <f t="shared" ref="E219" ca="1" si="192">E175/$D175</f>
        <v>1.0091355908106581</v>
      </c>
      <c r="F219" s="11">
        <f t="shared" ref="F219:AF219" ca="1" si="193">F175/$D175</f>
        <v>1.0177266199977988</v>
      </c>
      <c r="G219" s="11">
        <f t="shared" ca="1" si="193"/>
        <v>1.0257342529277957</v>
      </c>
      <c r="H219" s="11">
        <f t="shared" ca="1" si="193"/>
        <v>1.0281318086437052</v>
      </c>
      <c r="I219" s="11">
        <f t="shared" ca="1" si="193"/>
        <v>1.0300230843993066</v>
      </c>
      <c r="J219" s="11">
        <f t="shared" ca="1" si="193"/>
        <v>1.0315606435295703</v>
      </c>
      <c r="K219" s="11">
        <f t="shared" ca="1" si="193"/>
        <v>1.0328207970233036</v>
      </c>
      <c r="L219" s="11">
        <f t="shared" ca="1" si="193"/>
        <v>1.0338416803577957</v>
      </c>
      <c r="M219" s="11">
        <f t="shared" ca="1" si="193"/>
        <v>1.0356193475060329</v>
      </c>
      <c r="N219" s="11">
        <f t="shared" ca="1" si="193"/>
        <v>1.0371615421820788</v>
      </c>
      <c r="O219" s="11">
        <f t="shared" ca="1" si="193"/>
        <v>1.0384338753505167</v>
      </c>
      <c r="P219" s="11">
        <f t="shared" ca="1" si="193"/>
        <v>1.0394191838156568</v>
      </c>
      <c r="Q219" s="11">
        <f t="shared" ca="1" si="193"/>
        <v>1.0401089154543961</v>
      </c>
      <c r="R219" s="11">
        <f t="shared" ca="1" si="193"/>
        <v>1.0408353002711022</v>
      </c>
      <c r="S219" s="11">
        <f t="shared" ca="1" si="193"/>
        <v>1.0412477225727887</v>
      </c>
      <c r="T219" s="11">
        <f t="shared" ca="1" si="193"/>
        <v>1.0413270197183824</v>
      </c>
      <c r="U219" s="11">
        <f t="shared" ca="1" si="193"/>
        <v>1.0410636076989632</v>
      </c>
      <c r="V219" s="11">
        <f t="shared" ca="1" si="193"/>
        <v>1.0404526804013738</v>
      </c>
      <c r="W219" s="11">
        <f t="shared" ca="1" si="193"/>
        <v>1.0398510186918959</v>
      </c>
      <c r="X219" s="11">
        <f t="shared" ca="1" si="193"/>
        <v>1.038878278330567</v>
      </c>
      <c r="Y219" s="11">
        <f t="shared" ca="1" si="193"/>
        <v>1.037503707891188</v>
      </c>
      <c r="Z219" s="11">
        <f t="shared" ca="1" si="193"/>
        <v>1.0357118734795634</v>
      </c>
      <c r="AA219" s="11">
        <f t="shared" ca="1" si="193"/>
        <v>1.0334949793367261</v>
      </c>
      <c r="AB219" s="11">
        <f t="shared" ca="1" si="193"/>
        <v>1.0310300787086069</v>
      </c>
      <c r="AC219" s="11">
        <f t="shared" ca="1" si="193"/>
        <v>1.0281110196510428</v>
      </c>
      <c r="AD219" s="11">
        <f t="shared" ca="1" si="193"/>
        <v>1.0247027200564278</v>
      </c>
      <c r="AE219" s="11">
        <f t="shared" ca="1" si="193"/>
        <v>1.0207874688462035</v>
      </c>
      <c r="AF219" s="11">
        <f t="shared" ca="1" si="193"/>
        <v>1.0103967523352464</v>
      </c>
      <c r="AG219" s="11"/>
      <c r="AH219" s="11"/>
    </row>
    <row r="220" spans="2:34" outlineLevel="1">
      <c r="B220" s="48" t="str">
        <f t="shared" si="140"/>
        <v>Revenues / Total Debt</v>
      </c>
      <c r="C220" s="158"/>
      <c r="D220" s="11">
        <f t="shared" ca="1" si="143"/>
        <v>1</v>
      </c>
      <c r="E220" s="11">
        <f t="shared" ref="E220" ca="1" si="194">E176/$D176</f>
        <v>1.000141179312438</v>
      </c>
      <c r="F220" s="11">
        <f t="shared" ref="F220:AF220" ca="1" si="195">F176/$D176</f>
        <v>1.0002747606318656</v>
      </c>
      <c r="G220" s="11">
        <f t="shared" ca="1" si="195"/>
        <v>1.0003995979169289</v>
      </c>
      <c r="H220" s="11">
        <f t="shared" ca="1" si="195"/>
        <v>1.0004441618360109</v>
      </c>
      <c r="I220" s="11">
        <f t="shared" ca="1" si="195"/>
        <v>1.0004804658782076</v>
      </c>
      <c r="J220" s="11">
        <f t="shared" ca="1" si="195"/>
        <v>1.000510876465148</v>
      </c>
      <c r="K220" s="11">
        <f t="shared" ca="1" si="195"/>
        <v>1.0005364970389137</v>
      </c>
      <c r="L220" s="11">
        <f t="shared" ca="1" si="195"/>
        <v>1.0005578784472442</v>
      </c>
      <c r="M220" s="11">
        <f t="shared" ca="1" si="195"/>
        <v>1.000599181195311</v>
      </c>
      <c r="N220" s="11">
        <f t="shared" ca="1" si="195"/>
        <v>1.0006361844753118</v>
      </c>
      <c r="O220" s="11">
        <f t="shared" ca="1" si="195"/>
        <v>1.0006679155755167</v>
      </c>
      <c r="P220" s="11">
        <f t="shared" ca="1" si="195"/>
        <v>1.000693902938943</v>
      </c>
      <c r="Q220" s="11">
        <f t="shared" ca="1" si="195"/>
        <v>1.0007139105092104</v>
      </c>
      <c r="R220" s="11">
        <f t="shared" ca="1" si="195"/>
        <v>1.0007474491658477</v>
      </c>
      <c r="S220" s="11">
        <f t="shared" ca="1" si="195"/>
        <v>1.0007743021526541</v>
      </c>
      <c r="T220" s="11">
        <f t="shared" ca="1" si="195"/>
        <v>1.0007932906692869</v>
      </c>
      <c r="U220" s="11">
        <f t="shared" ca="1" si="195"/>
        <v>1.0008038305762825</v>
      </c>
      <c r="V220" s="11">
        <f t="shared" ca="1" si="195"/>
        <v>1.0008056301394177</v>
      </c>
      <c r="W220" s="11">
        <f t="shared" ca="1" si="195"/>
        <v>1.0008155572026138</v>
      </c>
      <c r="X220" s="11">
        <f t="shared" ca="1" si="195"/>
        <v>1.0008157876537729</v>
      </c>
      <c r="Y220" s="11">
        <f t="shared" ca="1" si="195"/>
        <v>1.0008047511161196</v>
      </c>
      <c r="Z220" s="11">
        <f t="shared" ca="1" si="195"/>
        <v>1.0007816694602523</v>
      </c>
      <c r="AA220" s="11">
        <f t="shared" ca="1" si="195"/>
        <v>1.0007461557502173</v>
      </c>
      <c r="AB220" s="11">
        <f t="shared" ca="1" si="195"/>
        <v>1.0007071676689907</v>
      </c>
      <c r="AC220" s="11">
        <f t="shared" ca="1" si="195"/>
        <v>1.0006545406377942</v>
      </c>
      <c r="AD220" s="11">
        <f t="shared" ca="1" si="195"/>
        <v>1.000586394806936</v>
      </c>
      <c r="AE220" s="11">
        <f t="shared" ca="1" si="195"/>
        <v>1.0005017978949751</v>
      </c>
      <c r="AF220" s="11">
        <f t="shared" ca="1" si="195"/>
        <v>1.0002511023640113</v>
      </c>
      <c r="AG220" s="11"/>
      <c r="AH220" s="11"/>
    </row>
    <row r="221" spans="2:34" outlineLevel="1">
      <c r="B221" s="48" t="str">
        <f t="shared" si="140"/>
        <v>EBITA / Total Assets</v>
      </c>
      <c r="C221" s="158"/>
      <c r="D221" s="11">
        <f t="shared" ca="1" si="143"/>
        <v>1</v>
      </c>
      <c r="E221" s="11">
        <f t="shared" ref="E221" ca="1" si="196">E177/$D177</f>
        <v>1.0080429824799475</v>
      </c>
      <c r="F221" s="11">
        <f t="shared" ref="F221:AF221" ca="1" si="197">F177/$D177</f>
        <v>1.0156064934618472</v>
      </c>
      <c r="G221" s="11">
        <f t="shared" ca="1" si="197"/>
        <v>1.0226563841206788</v>
      </c>
      <c r="H221" s="11">
        <f t="shared" ca="1" si="197"/>
        <v>1.0247671601564587</v>
      </c>
      <c r="I221" s="11">
        <f t="shared" ca="1" si="197"/>
        <v>1.0264322307898632</v>
      </c>
      <c r="J221" s="11">
        <f t="shared" ca="1" si="197"/>
        <v>1.0277858911716626</v>
      </c>
      <c r="K221" s="11">
        <f t="shared" ca="1" si="197"/>
        <v>1.0288953248892279</v>
      </c>
      <c r="L221" s="11">
        <f t="shared" ca="1" si="197"/>
        <v>1.0297941061252329</v>
      </c>
      <c r="M221" s="11">
        <f t="shared" ca="1" si="197"/>
        <v>1.0313591615470261</v>
      </c>
      <c r="N221" s="11">
        <f t="shared" ca="1" si="197"/>
        <v>1.032716903559358</v>
      </c>
      <c r="O221" s="11">
        <f t="shared" ca="1" si="197"/>
        <v>1.0338370602542948</v>
      </c>
      <c r="P221" s="11">
        <f t="shared" ca="1" si="197"/>
        <v>1.0347045212905073</v>
      </c>
      <c r="Q221" s="11">
        <f t="shared" ca="1" si="197"/>
        <v>1.0353117574444559</v>
      </c>
      <c r="R221" s="11">
        <f t="shared" ca="1" si="197"/>
        <v>1.03595126435331</v>
      </c>
      <c r="S221" s="11">
        <f t="shared" ca="1" si="197"/>
        <v>1.036314358220995</v>
      </c>
      <c r="T221" s="11">
        <f t="shared" ca="1" si="197"/>
        <v>1.0363841697360232</v>
      </c>
      <c r="U221" s="11">
        <f t="shared" ca="1" si="197"/>
        <v>1.0361522612118035</v>
      </c>
      <c r="V221" s="11">
        <f t="shared" ca="1" si="197"/>
        <v>1.0356144013829711</v>
      </c>
      <c r="W221" s="11">
        <f t="shared" ca="1" si="197"/>
        <v>1.0350847004720427</v>
      </c>
      <c r="X221" s="11">
        <f t="shared" ca="1" si="197"/>
        <v>1.0342283015379348</v>
      </c>
      <c r="Y221" s="11">
        <f t="shared" ca="1" si="197"/>
        <v>1.0330181326190755</v>
      </c>
      <c r="Z221" s="11">
        <f t="shared" ca="1" si="197"/>
        <v>1.0314406058341774</v>
      </c>
      <c r="AA221" s="11">
        <f t="shared" ca="1" si="197"/>
        <v>1.0294888578560291</v>
      </c>
      <c r="AB221" s="11">
        <f t="shared" ca="1" si="197"/>
        <v>1.0273187665580077</v>
      </c>
      <c r="AC221" s="11">
        <f t="shared" ca="1" si="197"/>
        <v>1.0247488348237652</v>
      </c>
      <c r="AD221" s="11">
        <f t="shared" ca="1" si="197"/>
        <v>1.0217481772129688</v>
      </c>
      <c r="AE221" s="11">
        <f t="shared" ca="1" si="197"/>
        <v>1.0183012010267682</v>
      </c>
      <c r="AF221" s="11">
        <f t="shared" ca="1" si="197"/>
        <v>1.0091532214340315</v>
      </c>
      <c r="AG221" s="11"/>
      <c r="AH221" s="11"/>
    </row>
    <row r="222" spans="2:34" outlineLevel="1">
      <c r="B222" s="48" t="str">
        <f t="shared" si="140"/>
        <v>Secured Debt / Total Assets</v>
      </c>
      <c r="C222" s="158"/>
      <c r="D222" s="11">
        <f t="shared" ca="1" si="143"/>
        <v>1</v>
      </c>
      <c r="E222" s="11">
        <f t="shared" ref="E222" ca="1" si="198">E178/$D178</f>
        <v>0.99946174491148576</v>
      </c>
      <c r="F222" s="11">
        <f t="shared" ref="F222:AF222" ca="1" si="199">F178/$D178</f>
        <v>0.99895493039674077</v>
      </c>
      <c r="G222" s="11">
        <f t="shared" ca="1" si="199"/>
        <v>0.99848252630516865</v>
      </c>
      <c r="H222" s="11">
        <f t="shared" ca="1" si="199"/>
        <v>0.99834070029420419</v>
      </c>
      <c r="I222" s="11">
        <f t="shared" ca="1" si="199"/>
        <v>0.99822909941224736</v>
      </c>
      <c r="J222" s="11">
        <f t="shared" ca="1" si="199"/>
        <v>0.99813837516032411</v>
      </c>
      <c r="K222" s="11">
        <f t="shared" ca="1" si="199"/>
        <v>0.998064020218287</v>
      </c>
      <c r="L222" s="11">
        <f t="shared" ca="1" si="199"/>
        <v>0.99800378230513909</v>
      </c>
      <c r="M222" s="11">
        <f t="shared" ca="1" si="199"/>
        <v>0.99789897281370066</v>
      </c>
      <c r="N222" s="11">
        <f t="shared" ca="1" si="199"/>
        <v>0.99780798357639422</v>
      </c>
      <c r="O222" s="11">
        <f t="shared" ca="1" si="199"/>
        <v>0.99773291070654568</v>
      </c>
      <c r="P222" s="11">
        <f t="shared" ca="1" si="199"/>
        <v>0.99767476794422827</v>
      </c>
      <c r="Q222" s="11">
        <f t="shared" ca="1" si="199"/>
        <v>0.99763406038211178</v>
      </c>
      <c r="R222" s="11">
        <f t="shared" ca="1" si="199"/>
        <v>0.99759121416943453</v>
      </c>
      <c r="S222" s="11">
        <f t="shared" ca="1" si="199"/>
        <v>0.99756686355866264</v>
      </c>
      <c r="T222" s="11">
        <f t="shared" ca="1" si="199"/>
        <v>0.99756216231243355</v>
      </c>
      <c r="U222" s="11">
        <f t="shared" ca="1" si="199"/>
        <v>0.99757767648863527</v>
      </c>
      <c r="V222" s="11">
        <f t="shared" ca="1" si="199"/>
        <v>0.99761368993493071</v>
      </c>
      <c r="W222" s="11">
        <f t="shared" ca="1" si="199"/>
        <v>0.99764918203872566</v>
      </c>
      <c r="X222" s="11">
        <f t="shared" ca="1" si="199"/>
        <v>0.99770653687419841</v>
      </c>
      <c r="Y222" s="11">
        <f t="shared" ca="1" si="199"/>
        <v>0.99778759309648768</v>
      </c>
      <c r="Z222" s="11">
        <f t="shared" ca="1" si="199"/>
        <v>0.99789326225072039</v>
      </c>
      <c r="AA222" s="11">
        <f t="shared" ca="1" si="199"/>
        <v>0.99802400474423192</v>
      </c>
      <c r="AB222" s="11">
        <f t="shared" ca="1" si="199"/>
        <v>0.99816938943546762</v>
      </c>
      <c r="AC222" s="11">
        <f t="shared" ca="1" si="199"/>
        <v>0.99834154996721014</v>
      </c>
      <c r="AD222" s="11">
        <f t="shared" ca="1" si="199"/>
        <v>0.99854256786483453</v>
      </c>
      <c r="AE222" s="11">
        <f t="shared" ca="1" si="199"/>
        <v>0.99877348913322317</v>
      </c>
      <c r="AF222" s="11">
        <f t="shared" ca="1" si="199"/>
        <v>0.99938597048900457</v>
      </c>
      <c r="AG222" s="11"/>
      <c r="AH222" s="11"/>
    </row>
    <row r="223" spans="2:34" outlineLevel="1">
      <c r="B223" s="48" t="str">
        <f t="shared" si="140"/>
        <v>EBITDA / (Interest Expenses + Capitalized Interest + Dividends)</v>
      </c>
      <c r="C223" s="158"/>
      <c r="D223" s="11">
        <f t="shared" ca="1" si="143"/>
        <v>1</v>
      </c>
      <c r="E223" s="11">
        <f t="shared" ref="E223" ca="1" si="200">E179/$D179</f>
        <v>1.0007083194973945</v>
      </c>
      <c r="F223" s="11">
        <f t="shared" ref="F223:AF223" ca="1" si="201">F179/$D179</f>
        <v>1.0013761809207637</v>
      </c>
      <c r="G223" s="11">
        <f t="shared" ca="1" si="201"/>
        <v>1.0019906855261451</v>
      </c>
      <c r="H223" s="11">
        <f t="shared" ca="1" si="201"/>
        <v>1.0021797462033262</v>
      </c>
      <c r="I223" s="11">
        <f t="shared" ca="1" si="201"/>
        <v>1.0023236613075031</v>
      </c>
      <c r="J223" s="11">
        <f t="shared" ca="1" si="201"/>
        <v>1.0024402717139098</v>
      </c>
      <c r="K223" s="11">
        <f t="shared" ca="1" si="201"/>
        <v>1.0025356195831261</v>
      </c>
      <c r="L223" s="11">
        <f t="shared" ca="1" si="201"/>
        <v>1.0026127435384691</v>
      </c>
      <c r="M223" s="11">
        <f t="shared" ca="1" si="201"/>
        <v>1.002745334903935</v>
      </c>
      <c r="N223" s="11">
        <f t="shared" ca="1" si="201"/>
        <v>1.0028611364484161</v>
      </c>
      <c r="O223" s="11">
        <f t="shared" ca="1" si="201"/>
        <v>1.0029565575410215</v>
      </c>
      <c r="P223" s="11">
        <f t="shared" ca="1" si="201"/>
        <v>1.0030304169640258</v>
      </c>
      <c r="Q223" s="11">
        <f t="shared" ca="1" si="201"/>
        <v>1.0030821662616363</v>
      </c>
      <c r="R223" s="11">
        <f t="shared" ca="1" si="201"/>
        <v>1.0031361885674324</v>
      </c>
      <c r="S223" s="11">
        <f t="shared" ca="1" si="201"/>
        <v>1.0031672349412644</v>
      </c>
      <c r="T223" s="11">
        <f t="shared" ca="1" si="201"/>
        <v>1.0031735294263688</v>
      </c>
      <c r="U223" s="11">
        <f t="shared" ca="1" si="201"/>
        <v>1.0031543567846886</v>
      </c>
      <c r="V223" s="11">
        <f t="shared" ca="1" si="201"/>
        <v>1.0031093225861278</v>
      </c>
      <c r="W223" s="11">
        <f t="shared" ca="1" si="201"/>
        <v>1.00306450781979</v>
      </c>
      <c r="X223" s="11">
        <f t="shared" ca="1" si="201"/>
        <v>1.0029924273834592</v>
      </c>
      <c r="Y223" s="11">
        <f t="shared" ca="1" si="201"/>
        <v>1.0028902383807048</v>
      </c>
      <c r="Z223" s="11">
        <f t="shared" ca="1" si="201"/>
        <v>1.0027565719189306</v>
      </c>
      <c r="AA223" s="11">
        <f t="shared" ca="1" si="201"/>
        <v>1.0025905695969846</v>
      </c>
      <c r="AB223" s="11">
        <f t="shared" ca="1" si="201"/>
        <v>1.0024050494910983</v>
      </c>
      <c r="AC223" s="11">
        <f t="shared" ca="1" si="201"/>
        <v>1.0021846141126474</v>
      </c>
      <c r="AD223" s="11">
        <f t="shared" ca="1" si="201"/>
        <v>1.0019259041110236</v>
      </c>
      <c r="AE223" s="11">
        <f t="shared" ca="1" si="201"/>
        <v>1.0016269310462034</v>
      </c>
      <c r="AF223" s="11">
        <f t="shared" ca="1" si="201"/>
        <v>1.0008307455289025</v>
      </c>
      <c r="AG223" s="11"/>
      <c r="AH223" s="11"/>
    </row>
    <row r="224" spans="2:34" outlineLevel="1">
      <c r="B224" s="48" t="str">
        <f t="shared" si="140"/>
        <v>Funds from Operations / Net Debt</v>
      </c>
      <c r="C224" s="158"/>
      <c r="D224" s="11">
        <f t="shared" ca="1" si="143"/>
        <v>1</v>
      </c>
      <c r="E224" s="11">
        <f t="shared" ref="E224" ca="1" si="202">E180/$D180</f>
        <v>1.0087338170745619</v>
      </c>
      <c r="F224" s="11">
        <f t="shared" ref="F224:AF224" ca="1" si="203">F180/$D180</f>
        <v>1.0169607575618997</v>
      </c>
      <c r="G224" s="11">
        <f t="shared" ca="1" si="203"/>
        <v>1.024636651445902</v>
      </c>
      <c r="H224" s="11">
        <f t="shared" ca="1" si="203"/>
        <v>1.0269393424475932</v>
      </c>
      <c r="I224" s="11">
        <f t="shared" ca="1" si="203"/>
        <v>1.0287540639941057</v>
      </c>
      <c r="J224" s="11">
        <f t="shared" ca="1" si="203"/>
        <v>1.0302296527544796</v>
      </c>
      <c r="K224" s="11">
        <f t="shared" ca="1" si="203"/>
        <v>1.0314392110563433</v>
      </c>
      <c r="L224" s="11">
        <f t="shared" ca="1" si="203"/>
        <v>1.0324192471819664</v>
      </c>
      <c r="M224" s="11">
        <f t="shared" ca="1" si="203"/>
        <v>1.0341254145279155</v>
      </c>
      <c r="N224" s="11">
        <f t="shared" ca="1" si="203"/>
        <v>1.035606371679008</v>
      </c>
      <c r="O224" s="11">
        <f t="shared" ca="1" si="203"/>
        <v>1.0368284307970739</v>
      </c>
      <c r="P224" s="11">
        <f t="shared" ca="1" si="203"/>
        <v>1.0377749775957827</v>
      </c>
      <c r="Q224" s="11">
        <f t="shared" ca="1" si="203"/>
        <v>1.0384376946999192</v>
      </c>
      <c r="R224" s="11">
        <f t="shared" ca="1" si="203"/>
        <v>1.0391354933368944</v>
      </c>
      <c r="S224" s="11">
        <f t="shared" ca="1" si="203"/>
        <v>1.0395318995125449</v>
      </c>
      <c r="T224" s="11">
        <f t="shared" ca="1" si="203"/>
        <v>1.0396082725305342</v>
      </c>
      <c r="U224" s="11">
        <f t="shared" ca="1" si="203"/>
        <v>1.0393553899269483</v>
      </c>
      <c r="V224" s="11">
        <f t="shared" ca="1" si="203"/>
        <v>1.0387686628777075</v>
      </c>
      <c r="W224" s="11">
        <f t="shared" ca="1" si="203"/>
        <v>1.0381906791448228</v>
      </c>
      <c r="X224" s="11">
        <f t="shared" ca="1" si="203"/>
        <v>1.0372565238275608</v>
      </c>
      <c r="Y224" s="11">
        <f t="shared" ca="1" si="203"/>
        <v>1.0359365936529799</v>
      </c>
      <c r="Z224" s="11">
        <f t="shared" ca="1" si="203"/>
        <v>1.0342162507196189</v>
      </c>
      <c r="AA224" s="11">
        <f t="shared" ca="1" si="203"/>
        <v>1.0320882641421396</v>
      </c>
      <c r="AB224" s="11">
        <f t="shared" ca="1" si="203"/>
        <v>1.0297227509918541</v>
      </c>
      <c r="AC224" s="11">
        <f t="shared" ca="1" si="203"/>
        <v>1.0269223788307094</v>
      </c>
      <c r="AD224" s="11">
        <f t="shared" ca="1" si="203"/>
        <v>1.0236538665826649</v>
      </c>
      <c r="AE224" s="11">
        <f t="shared" ca="1" si="203"/>
        <v>1.019900799875735</v>
      </c>
      <c r="AF224" s="11">
        <f t="shared" ca="1" si="203"/>
        <v>1.0099518354191217</v>
      </c>
      <c r="AG224" s="11"/>
      <c r="AH224" s="11"/>
    </row>
    <row r="225" spans="2:37" outlineLevel="1">
      <c r="B225" s="48" t="str">
        <f t="shared" si="140"/>
        <v>Operating Income / Total Assets</v>
      </c>
      <c r="C225" s="158"/>
      <c r="D225" s="11">
        <f t="shared" ca="1" si="143"/>
        <v>1</v>
      </c>
      <c r="E225" s="11">
        <f t="shared" ref="E225" ca="1" si="204">E181/$D181</f>
        <v>1.0091355908106581</v>
      </c>
      <c r="F225" s="11">
        <f t="shared" ref="F225:AF225" ca="1" si="205">F181/$D181</f>
        <v>1.0177266199977988</v>
      </c>
      <c r="G225" s="11">
        <f t="shared" ca="1" si="205"/>
        <v>1.0257342529277957</v>
      </c>
      <c r="H225" s="11">
        <f t="shared" ca="1" si="205"/>
        <v>1.0281318086437052</v>
      </c>
      <c r="I225" s="11">
        <f t="shared" ca="1" si="205"/>
        <v>1.0300230843993066</v>
      </c>
      <c r="J225" s="11">
        <f t="shared" ca="1" si="205"/>
        <v>1.0315606435295703</v>
      </c>
      <c r="K225" s="11">
        <f t="shared" ca="1" si="205"/>
        <v>1.0328207970233036</v>
      </c>
      <c r="L225" s="11">
        <f t="shared" ca="1" si="205"/>
        <v>1.0338416803577957</v>
      </c>
      <c r="M225" s="11">
        <f t="shared" ca="1" si="205"/>
        <v>1.0356193475060329</v>
      </c>
      <c r="N225" s="11">
        <f t="shared" ca="1" si="205"/>
        <v>1.0371615421820788</v>
      </c>
      <c r="O225" s="11">
        <f t="shared" ca="1" si="205"/>
        <v>1.0384338753505167</v>
      </c>
      <c r="P225" s="11">
        <f t="shared" ca="1" si="205"/>
        <v>1.0394191838156568</v>
      </c>
      <c r="Q225" s="11">
        <f t="shared" ca="1" si="205"/>
        <v>1.0401089154543961</v>
      </c>
      <c r="R225" s="11">
        <f t="shared" ca="1" si="205"/>
        <v>1.0408353002711022</v>
      </c>
      <c r="S225" s="11">
        <f t="shared" ca="1" si="205"/>
        <v>1.0412477225727887</v>
      </c>
      <c r="T225" s="11">
        <f t="shared" ca="1" si="205"/>
        <v>1.0413270197183824</v>
      </c>
      <c r="U225" s="11">
        <f t="shared" ca="1" si="205"/>
        <v>1.0410636076989632</v>
      </c>
      <c r="V225" s="11">
        <f t="shared" ca="1" si="205"/>
        <v>1.0404526804013738</v>
      </c>
      <c r="W225" s="11">
        <f t="shared" ca="1" si="205"/>
        <v>1.0398510186918959</v>
      </c>
      <c r="X225" s="11">
        <f t="shared" ca="1" si="205"/>
        <v>1.038878278330567</v>
      </c>
      <c r="Y225" s="11">
        <f t="shared" ca="1" si="205"/>
        <v>1.037503707891188</v>
      </c>
      <c r="Z225" s="11">
        <f t="shared" ca="1" si="205"/>
        <v>1.0357118734795634</v>
      </c>
      <c r="AA225" s="11">
        <f t="shared" ca="1" si="205"/>
        <v>1.0334949793367261</v>
      </c>
      <c r="AB225" s="11">
        <f t="shared" ca="1" si="205"/>
        <v>1.0310300787086069</v>
      </c>
      <c r="AC225" s="11">
        <f t="shared" ca="1" si="205"/>
        <v>1.0281110196510428</v>
      </c>
      <c r="AD225" s="11">
        <f t="shared" ca="1" si="205"/>
        <v>1.0247027200564278</v>
      </c>
      <c r="AE225" s="11">
        <f t="shared" ca="1" si="205"/>
        <v>1.0207874688462035</v>
      </c>
      <c r="AF225" s="11">
        <f t="shared" ca="1" si="205"/>
        <v>1.0103967523352464</v>
      </c>
      <c r="AG225" s="11"/>
      <c r="AH225" s="11"/>
    </row>
    <row r="226" spans="2:37" outlineLevel="1">
      <c r="B226" s="48" t="str">
        <f t="shared" si="140"/>
        <v>Operating Income / Book Capitalization</v>
      </c>
      <c r="C226" s="158"/>
      <c r="D226" s="11">
        <f t="shared" ca="1" si="143"/>
        <v>1</v>
      </c>
      <c r="E226" s="11">
        <f t="shared" ref="E226" ca="1" si="206">E182/$D182</f>
        <v>1.0091355908106578</v>
      </c>
      <c r="F226" s="11">
        <f t="shared" ref="F226:AF226" ca="1" si="207">F182/$D182</f>
        <v>1.017726619997799</v>
      </c>
      <c r="G226" s="11">
        <f t="shared" ca="1" si="207"/>
        <v>1.0257342529277955</v>
      </c>
      <c r="H226" s="11">
        <f t="shared" ca="1" si="207"/>
        <v>1.0281318086437052</v>
      </c>
      <c r="I226" s="11">
        <f t="shared" ca="1" si="207"/>
        <v>1.0300230843993063</v>
      </c>
      <c r="J226" s="11">
        <f t="shared" ca="1" si="207"/>
        <v>1.0315606435295703</v>
      </c>
      <c r="K226" s="11">
        <f t="shared" ca="1" si="207"/>
        <v>1.0328207970233034</v>
      </c>
      <c r="L226" s="11">
        <f t="shared" ca="1" si="207"/>
        <v>1.0338416803577957</v>
      </c>
      <c r="M226" s="11">
        <f t="shared" ca="1" si="207"/>
        <v>1.0356193475060329</v>
      </c>
      <c r="N226" s="11">
        <f t="shared" ca="1" si="207"/>
        <v>1.0371615421820788</v>
      </c>
      <c r="O226" s="11">
        <f t="shared" ca="1" si="207"/>
        <v>1.0384338753505167</v>
      </c>
      <c r="P226" s="11">
        <f t="shared" ca="1" si="207"/>
        <v>1.0394191838156568</v>
      </c>
      <c r="Q226" s="11">
        <f t="shared" ca="1" si="207"/>
        <v>1.0401089154543963</v>
      </c>
      <c r="R226" s="11">
        <f t="shared" ca="1" si="207"/>
        <v>1.0408353002711024</v>
      </c>
      <c r="S226" s="11">
        <f t="shared" ca="1" si="207"/>
        <v>1.0412477225727887</v>
      </c>
      <c r="T226" s="11">
        <f t="shared" ca="1" si="207"/>
        <v>1.0413270197183824</v>
      </c>
      <c r="U226" s="11">
        <f t="shared" ca="1" si="207"/>
        <v>1.0410636076989632</v>
      </c>
      <c r="V226" s="11">
        <f t="shared" ca="1" si="207"/>
        <v>1.0404526804013736</v>
      </c>
      <c r="W226" s="11">
        <f t="shared" ca="1" si="207"/>
        <v>1.0398510186918959</v>
      </c>
      <c r="X226" s="11">
        <f t="shared" ca="1" si="207"/>
        <v>1.038878278330567</v>
      </c>
      <c r="Y226" s="11">
        <f t="shared" ca="1" si="207"/>
        <v>1.037503707891188</v>
      </c>
      <c r="Z226" s="11">
        <f t="shared" ca="1" si="207"/>
        <v>1.0357118734795632</v>
      </c>
      <c r="AA226" s="11">
        <f t="shared" ca="1" si="207"/>
        <v>1.0334949793367261</v>
      </c>
      <c r="AB226" s="11">
        <f t="shared" ca="1" si="207"/>
        <v>1.0310300787086066</v>
      </c>
      <c r="AC226" s="11">
        <f t="shared" ca="1" si="207"/>
        <v>1.0281110196510428</v>
      </c>
      <c r="AD226" s="11">
        <f t="shared" ca="1" si="207"/>
        <v>1.0247027200564278</v>
      </c>
      <c r="AE226" s="11">
        <f t="shared" ca="1" si="207"/>
        <v>1.0207874688462037</v>
      </c>
      <c r="AF226" s="11">
        <f t="shared" ca="1" si="207"/>
        <v>1.0103967523352464</v>
      </c>
      <c r="AG226" s="11"/>
      <c r="AH226" s="11"/>
    </row>
    <row r="227" spans="2:37" outlineLevel="1">
      <c r="B227" s="48" t="str">
        <f t="shared" si="140"/>
        <v>Operating Income / Revenues</v>
      </c>
      <c r="C227" s="158"/>
      <c r="D227" s="11">
        <f t="shared" ca="1" si="143"/>
        <v>1</v>
      </c>
      <c r="E227" s="11">
        <f t="shared" ref="E227" ca="1" si="208">E183/$D183</f>
        <v>1.0095365300269645</v>
      </c>
      <c r="F227" s="11">
        <f t="shared" ref="F227:AF227" ca="1" si="209">F183/$D183</f>
        <v>1.0185114809885165</v>
      </c>
      <c r="G227" s="11">
        <f t="shared" ca="1" si="209"/>
        <v>1.0268828030205401</v>
      </c>
      <c r="H227" s="11">
        <f t="shared" ca="1" si="209"/>
        <v>1.0293834100609052</v>
      </c>
      <c r="I227" s="11">
        <f t="shared" ca="1" si="209"/>
        <v>1.0313548580417975</v>
      </c>
      <c r="J227" s="11">
        <f t="shared" ca="1" si="209"/>
        <v>1.0329568907750502</v>
      </c>
      <c r="K227" s="11">
        <f t="shared" ca="1" si="209"/>
        <v>1.0342693133198555</v>
      </c>
      <c r="L227" s="11">
        <f t="shared" ca="1" si="209"/>
        <v>1.0353319919903772</v>
      </c>
      <c r="M227" s="11">
        <f t="shared" ca="1" si="209"/>
        <v>1.0371783353305268</v>
      </c>
      <c r="N227" s="11">
        <f t="shared" ca="1" si="209"/>
        <v>1.0387791565865099</v>
      </c>
      <c r="O227" s="11">
        <f t="shared" ca="1" si="209"/>
        <v>1.0400987488765276</v>
      </c>
      <c r="P227" s="11">
        <f t="shared" ca="1" si="209"/>
        <v>1.0411192718285824</v>
      </c>
      <c r="Q227" s="11">
        <f t="shared" ca="1" si="209"/>
        <v>1.0418318116595844</v>
      </c>
      <c r="R227" s="11">
        <f t="shared" ca="1" si="209"/>
        <v>1.0425692358566636</v>
      </c>
      <c r="S227" s="11">
        <f t="shared" ca="1" si="209"/>
        <v>1.042979818213668</v>
      </c>
      <c r="T227" s="11">
        <f t="shared" ca="1" si="209"/>
        <v>1.043044372388928</v>
      </c>
      <c r="U227" s="11">
        <f t="shared" ca="1" si="209"/>
        <v>1.0427533269760263</v>
      </c>
      <c r="V227" s="11">
        <f t="shared" ca="1" si="209"/>
        <v>1.0421019133999043</v>
      </c>
      <c r="W227" s="11">
        <f t="shared" ca="1" si="209"/>
        <v>1.0414519156492561</v>
      </c>
      <c r="X227" s="11">
        <f t="shared" ca="1" si="209"/>
        <v>1.040417624534433</v>
      </c>
      <c r="Y227" s="11">
        <f t="shared" ca="1" si="209"/>
        <v>1.0389680671208974</v>
      </c>
      <c r="Z227" s="11">
        <f t="shared" ca="1" si="209"/>
        <v>1.0370877934753546</v>
      </c>
      <c r="AA227" s="11">
        <f t="shared" ca="1" si="209"/>
        <v>1.0347691049248846</v>
      </c>
      <c r="AB227" s="11">
        <f t="shared" ca="1" si="209"/>
        <v>1.032191022601239</v>
      </c>
      <c r="AC227" s="11">
        <f t="shared" ca="1" si="209"/>
        <v>1.0291453054528423</v>
      </c>
      <c r="AD227" s="11">
        <f t="shared" ca="1" si="209"/>
        <v>1.0255969297725329</v>
      </c>
      <c r="AE227" s="11">
        <f t="shared" ca="1" si="209"/>
        <v>1.0215284124482289</v>
      </c>
      <c r="AF227" s="11">
        <f t="shared" ca="1" si="209"/>
        <v>1.0107637417801869</v>
      </c>
      <c r="AG227" s="11"/>
      <c r="AH227" s="11"/>
    </row>
    <row r="228" spans="2:37" outlineLevel="1">
      <c r="B228" s="48" t="str">
        <f t="shared" si="140"/>
        <v>Operating Income</v>
      </c>
      <c r="C228" s="158"/>
      <c r="D228" s="11">
        <f t="shared" ca="1" si="143"/>
        <v>1</v>
      </c>
      <c r="E228" s="11">
        <f t="shared" ref="E228" ca="1" si="210">E184/$D184</f>
        <v>1.0094186988910197</v>
      </c>
      <c r="F228" s="11">
        <f t="shared" ref="F228:AF228" ca="1" si="211">F184/$D184</f>
        <v>1.0182811252769399</v>
      </c>
      <c r="G228" s="11">
        <f t="shared" ca="1" si="211"/>
        <v>1.0265459469345006</v>
      </c>
      <c r="H228" s="11">
        <f t="shared" ca="1" si="211"/>
        <v>1.0290215055135614</v>
      </c>
      <c r="I228" s="11">
        <f t="shared" ca="1" si="211"/>
        <v>1.0309744224077477</v>
      </c>
      <c r="J228" s="11">
        <f t="shared" ca="1" si="211"/>
        <v>1.0325622593780439</v>
      </c>
      <c r="K228" s="11">
        <f t="shared" ca="1" si="211"/>
        <v>1.0338637311843866</v>
      </c>
      <c r="L228" s="11">
        <f t="shared" ca="1" si="211"/>
        <v>1.0349181621408723</v>
      </c>
      <c r="M228" s="11">
        <f t="shared" ca="1" si="211"/>
        <v>1.0367543591511068</v>
      </c>
      <c r="N228" s="11">
        <f t="shared" ca="1" si="211"/>
        <v>1.0383475274985896</v>
      </c>
      <c r="O228" s="11">
        <f t="shared" ca="1" si="211"/>
        <v>1.0396620314940634</v>
      </c>
      <c r="P228" s="11">
        <f t="shared" ca="1" si="211"/>
        <v>1.0406800712445659</v>
      </c>
      <c r="Q228" s="11">
        <f t="shared" ca="1" si="211"/>
        <v>1.0413927556952292</v>
      </c>
      <c r="R228" s="11">
        <f t="shared" ca="1" si="211"/>
        <v>1.042143332417379</v>
      </c>
      <c r="S228" s="11">
        <f t="shared" ca="1" si="211"/>
        <v>1.0425695180505292</v>
      </c>
      <c r="T228" s="11">
        <f t="shared" ca="1" si="211"/>
        <v>1.0426514732423344</v>
      </c>
      <c r="U228" s="11">
        <f t="shared" ca="1" si="211"/>
        <v>1.0423792889733481</v>
      </c>
      <c r="V228" s="11">
        <f t="shared" ca="1" si="211"/>
        <v>1.0417480160874344</v>
      </c>
      <c r="W228" s="11">
        <f t="shared" ca="1" si="211"/>
        <v>1.0411263270447382</v>
      </c>
      <c r="X228" s="11">
        <f t="shared" ca="1" si="211"/>
        <v>1.0401212708505378</v>
      </c>
      <c r="Y228" s="11">
        <f t="shared" ca="1" si="211"/>
        <v>1.0387011330688445</v>
      </c>
      <c r="Z228" s="11">
        <f t="shared" ca="1" si="211"/>
        <v>1.0368500751428527</v>
      </c>
      <c r="AA228" s="11">
        <f t="shared" ca="1" si="211"/>
        <v>1.0345601873733963</v>
      </c>
      <c r="AB228" s="11">
        <f t="shared" ca="1" si="211"/>
        <v>1.0320144853447235</v>
      </c>
      <c r="AC228" s="11">
        <f t="shared" ca="1" si="211"/>
        <v>1.0290002425616511</v>
      </c>
      <c r="AD228" s="11">
        <f t="shared" ca="1" si="211"/>
        <v>1.0254814895701059</v>
      </c>
      <c r="AE228" s="11">
        <f t="shared" ca="1" si="211"/>
        <v>1.0214402643417739</v>
      </c>
      <c r="AF228" s="11">
        <f t="shared" ca="1" si="211"/>
        <v>1.010720132170887</v>
      </c>
      <c r="AG228" s="11"/>
      <c r="AH228" s="11"/>
    </row>
    <row r="229" spans="2:37" outlineLevel="1">
      <c r="B229" s="48" t="str">
        <f t="shared" si="140"/>
        <v>EBITA</v>
      </c>
      <c r="C229" s="158"/>
      <c r="D229" s="11">
        <f t="shared" ca="1" si="143"/>
        <v>1</v>
      </c>
      <c r="E229" s="11">
        <f t="shared" ref="E229" ca="1" si="212">E185/$D185</f>
        <v>1.0083346666115967</v>
      </c>
      <c r="F229" s="11">
        <f t="shared" ref="F229:AF229" ca="1" si="213">F185/$D185</f>
        <v>1.0161770841419937</v>
      </c>
      <c r="G229" s="11">
        <f t="shared" ca="1" si="213"/>
        <v>1.0234906774436918</v>
      </c>
      <c r="H229" s="11">
        <f t="shared" ca="1" si="213"/>
        <v>1.0256813149906274</v>
      </c>
      <c r="I229" s="11">
        <f t="shared" ca="1" si="213"/>
        <v>1.0274094635832869</v>
      </c>
      <c r="J229" s="11">
        <f t="shared" ca="1" si="213"/>
        <v>1.0288145506270616</v>
      </c>
      <c r="K229" s="11">
        <f t="shared" ca="1" si="213"/>
        <v>1.0299662313141467</v>
      </c>
      <c r="L229" s="11">
        <f t="shared" ca="1" si="213"/>
        <v>1.0308993039804399</v>
      </c>
      <c r="M229" s="11">
        <f t="shared" ca="1" si="213"/>
        <v>1.032524166404708</v>
      </c>
      <c r="N229" s="11">
        <f t="shared" ca="1" si="213"/>
        <v>1.0339339712180966</v>
      </c>
      <c r="O229" s="11">
        <f t="shared" ca="1" si="213"/>
        <v>1.035097184172312</v>
      </c>
      <c r="P229" s="11">
        <f t="shared" ca="1" si="213"/>
        <v>1.0359980540287506</v>
      </c>
      <c r="Q229" s="11">
        <f t="shared" ca="1" si="213"/>
        <v>1.0366287130363563</v>
      </c>
      <c r="R229" s="11">
        <f t="shared" ca="1" si="213"/>
        <v>1.0372929031562366</v>
      </c>
      <c r="S229" s="11">
        <f t="shared" ca="1" si="213"/>
        <v>1.0376700375362671</v>
      </c>
      <c r="T229" s="11">
        <f t="shared" ca="1" si="213"/>
        <v>1.0377425602072528</v>
      </c>
      <c r="U229" s="11">
        <f t="shared" ca="1" si="213"/>
        <v>1.0375017026148008</v>
      </c>
      <c r="V229" s="11">
        <f t="shared" ca="1" si="213"/>
        <v>1.0369430852191381</v>
      </c>
      <c r="W229" s="11">
        <f t="shared" ca="1" si="213"/>
        <v>1.0363929486273529</v>
      </c>
      <c r="X229" s="11">
        <f t="shared" ca="1" si="213"/>
        <v>1.0355035680025444</v>
      </c>
      <c r="Y229" s="11">
        <f t="shared" ca="1" si="213"/>
        <v>1.0342468790383996</v>
      </c>
      <c r="Z229" s="11">
        <f t="shared" ca="1" si="213"/>
        <v>1.0326088660951676</v>
      </c>
      <c r="AA229" s="11">
        <f t="shared" ca="1" si="213"/>
        <v>1.0305825298297002</v>
      </c>
      <c r="AB229" s="11">
        <f t="shared" ca="1" si="213"/>
        <v>1.0283298218976435</v>
      </c>
      <c r="AC229" s="11">
        <f t="shared" ca="1" si="213"/>
        <v>1.0256624992691143</v>
      </c>
      <c r="AD229" s="11">
        <f t="shared" ca="1" si="213"/>
        <v>1.022548732345208</v>
      </c>
      <c r="AE229" s="11">
        <f t="shared" ca="1" si="213"/>
        <v>1.0189726264127172</v>
      </c>
      <c r="AF229" s="11">
        <f t="shared" ca="1" si="213"/>
        <v>1.0094863132063587</v>
      </c>
      <c r="AG229" s="11"/>
      <c r="AH229" s="11"/>
    </row>
    <row r="230" spans="2:37" outlineLevel="1">
      <c r="B230" s="48" t="str">
        <f t="shared" si="140"/>
        <v>EBITDA</v>
      </c>
      <c r="C230" s="158"/>
      <c r="D230" s="11">
        <f t="shared" ca="1" si="143"/>
        <v>1</v>
      </c>
      <c r="E230" s="11">
        <f t="shared" ref="E230" ca="1" si="214">E186/$D186</f>
        <v>1.0083257840343578</v>
      </c>
      <c r="F230" s="11">
        <f t="shared" ref="F230:AF230" ca="1" si="215">F186/$D186</f>
        <v>1.0161598435964401</v>
      </c>
      <c r="G230" s="11">
        <f t="shared" ca="1" si="215"/>
        <v>1.0234656425183002</v>
      </c>
      <c r="H230" s="11">
        <f t="shared" ca="1" si="215"/>
        <v>1.0256539454178983</v>
      </c>
      <c r="I230" s="11">
        <f t="shared" ca="1" si="215"/>
        <v>1.0273802522556239</v>
      </c>
      <c r="J230" s="11">
        <f t="shared" ca="1" si="215"/>
        <v>1.0287838418436783</v>
      </c>
      <c r="K230" s="11">
        <f t="shared" ca="1" si="215"/>
        <v>1.029934295140019</v>
      </c>
      <c r="L230" s="11">
        <f t="shared" ca="1" si="215"/>
        <v>1.0308663733946082</v>
      </c>
      <c r="M230" s="11">
        <f t="shared" ca="1" si="215"/>
        <v>1.0324895041400151</v>
      </c>
      <c r="N230" s="11">
        <f t="shared" ca="1" si="215"/>
        <v>1.0338978064697737</v>
      </c>
      <c r="O230" s="11">
        <f t="shared" ca="1" si="215"/>
        <v>1.0350597797428602</v>
      </c>
      <c r="P230" s="11">
        <f t="shared" ca="1" si="215"/>
        <v>1.0359596895073775</v>
      </c>
      <c r="Q230" s="11">
        <f t="shared" ca="1" si="215"/>
        <v>1.036589676397236</v>
      </c>
      <c r="R230" s="11">
        <f t="shared" ca="1" si="215"/>
        <v>1.0372531586639633</v>
      </c>
      <c r="S230" s="11">
        <f t="shared" ca="1" si="215"/>
        <v>1.0376298911172683</v>
      </c>
      <c r="T230" s="11">
        <f t="shared" ca="1" si="215"/>
        <v>1.0377023364980327</v>
      </c>
      <c r="U230" s="11">
        <f t="shared" ca="1" si="215"/>
        <v>1.0374617355968518</v>
      </c>
      <c r="V230" s="11">
        <f t="shared" ca="1" si="215"/>
        <v>1.0369037135413985</v>
      </c>
      <c r="W230" s="11">
        <f t="shared" ca="1" si="215"/>
        <v>1.036354163251501</v>
      </c>
      <c r="X230" s="11">
        <f t="shared" ca="1" si="215"/>
        <v>1.0354657304740944</v>
      </c>
      <c r="Y230" s="11">
        <f t="shared" ca="1" si="215"/>
        <v>1.0342103808120851</v>
      </c>
      <c r="Z230" s="11">
        <f t="shared" ca="1" si="215"/>
        <v>1.0325741135627318</v>
      </c>
      <c r="AA230" s="11">
        <f t="shared" ca="1" si="215"/>
        <v>1.0305499368423581</v>
      </c>
      <c r="AB230" s="11">
        <f t="shared" ca="1" si="215"/>
        <v>1.0282996297084541</v>
      </c>
      <c r="AC230" s="11">
        <f t="shared" ca="1" si="215"/>
        <v>1.025635149749029</v>
      </c>
      <c r="AD230" s="11">
        <f t="shared" ca="1" si="215"/>
        <v>1.0225247012872152</v>
      </c>
      <c r="AE230" s="11">
        <f t="shared" ca="1" si="215"/>
        <v>1.0189524065494175</v>
      </c>
      <c r="AF230" s="11">
        <f t="shared" ca="1" si="215"/>
        <v>1.0094762032747089</v>
      </c>
      <c r="AG230" s="11"/>
      <c r="AH230" s="11"/>
    </row>
    <row r="231" spans="2:37" outlineLevel="1">
      <c r="B231" s="48" t="str">
        <f t="shared" si="140"/>
        <v>EBIT</v>
      </c>
      <c r="C231" s="158"/>
      <c r="D231" s="11">
        <f t="shared" ca="1" si="143"/>
        <v>1</v>
      </c>
      <c r="E231" s="11">
        <f t="shared" ref="E231" ca="1" si="216">E187/$D187</f>
        <v>1.0094186988910197</v>
      </c>
      <c r="F231" s="11">
        <f t="shared" ref="F231:AF231" ca="1" si="217">F187/$D187</f>
        <v>1.0182811252769399</v>
      </c>
      <c r="G231" s="11">
        <f t="shared" ca="1" si="217"/>
        <v>1.0265459469345006</v>
      </c>
      <c r="H231" s="11">
        <f t="shared" ca="1" si="217"/>
        <v>1.0290215055135614</v>
      </c>
      <c r="I231" s="11">
        <f t="shared" ca="1" si="217"/>
        <v>1.0309744224077477</v>
      </c>
      <c r="J231" s="11">
        <f t="shared" ca="1" si="217"/>
        <v>1.0325622593780439</v>
      </c>
      <c r="K231" s="11">
        <f t="shared" ca="1" si="217"/>
        <v>1.0338637311843866</v>
      </c>
      <c r="L231" s="11">
        <f t="shared" ca="1" si="217"/>
        <v>1.0349181621408723</v>
      </c>
      <c r="M231" s="11">
        <f t="shared" ca="1" si="217"/>
        <v>1.0367543591511068</v>
      </c>
      <c r="N231" s="11">
        <f t="shared" ca="1" si="217"/>
        <v>1.0383475274985896</v>
      </c>
      <c r="O231" s="11">
        <f t="shared" ca="1" si="217"/>
        <v>1.0396620314940634</v>
      </c>
      <c r="P231" s="11">
        <f t="shared" ca="1" si="217"/>
        <v>1.0406800712445659</v>
      </c>
      <c r="Q231" s="11">
        <f t="shared" ca="1" si="217"/>
        <v>1.0413927556952292</v>
      </c>
      <c r="R231" s="11">
        <f t="shared" ca="1" si="217"/>
        <v>1.042143332417379</v>
      </c>
      <c r="S231" s="11">
        <f t="shared" ca="1" si="217"/>
        <v>1.0425695180505292</v>
      </c>
      <c r="T231" s="11">
        <f t="shared" ca="1" si="217"/>
        <v>1.0426514732423344</v>
      </c>
      <c r="U231" s="11">
        <f t="shared" ca="1" si="217"/>
        <v>1.0423792889733481</v>
      </c>
      <c r="V231" s="11">
        <f t="shared" ca="1" si="217"/>
        <v>1.0417480160874344</v>
      </c>
      <c r="W231" s="11">
        <f t="shared" ca="1" si="217"/>
        <v>1.0411263270447382</v>
      </c>
      <c r="X231" s="11">
        <f t="shared" ca="1" si="217"/>
        <v>1.0401212708505378</v>
      </c>
      <c r="Y231" s="11">
        <f t="shared" ca="1" si="217"/>
        <v>1.0387011330688445</v>
      </c>
      <c r="Z231" s="11">
        <f t="shared" ca="1" si="217"/>
        <v>1.0368500751428527</v>
      </c>
      <c r="AA231" s="11">
        <f t="shared" ca="1" si="217"/>
        <v>1.0345601873733963</v>
      </c>
      <c r="AB231" s="11">
        <f t="shared" ca="1" si="217"/>
        <v>1.0320144853447235</v>
      </c>
      <c r="AC231" s="11">
        <f t="shared" ca="1" si="217"/>
        <v>1.0290002425616511</v>
      </c>
      <c r="AD231" s="11">
        <f t="shared" ca="1" si="217"/>
        <v>1.0254814895701059</v>
      </c>
      <c r="AE231" s="11">
        <f t="shared" ca="1" si="217"/>
        <v>1.0214402643417739</v>
      </c>
      <c r="AF231" s="11">
        <f t="shared" ca="1" si="217"/>
        <v>1.010720132170887</v>
      </c>
      <c r="AG231" s="11"/>
      <c r="AH231" s="11"/>
    </row>
    <row r="232" spans="2:37" outlineLevel="1">
      <c r="B232" s="48" t="str">
        <f t="shared" si="140"/>
        <v>Total Assets (Mn EUR)</v>
      </c>
      <c r="C232" s="158"/>
      <c r="D232" s="11">
        <f t="shared" ca="1" si="143"/>
        <v>1</v>
      </c>
      <c r="E232" s="11">
        <f t="shared" ref="E232" ca="1" si="218">E188/$D188</f>
        <v>1.0002805451348062</v>
      </c>
      <c r="F232" s="11">
        <f t="shared" ref="F232:AF232" ca="1" si="219">F188/$D188</f>
        <v>1.0005448469837042</v>
      </c>
      <c r="G232" s="11">
        <f t="shared" ca="1" si="219"/>
        <v>1.0007913297273521</v>
      </c>
      <c r="H232" s="11">
        <f t="shared" ca="1" si="219"/>
        <v>1.0008653529269071</v>
      </c>
      <c r="I232" s="11">
        <f t="shared" ca="1" si="219"/>
        <v>1.0009236084344617</v>
      </c>
      <c r="J232" s="11">
        <f t="shared" ca="1" si="219"/>
        <v>1.0009709713672739</v>
      </c>
      <c r="K232" s="11">
        <f t="shared" ca="1" si="219"/>
        <v>1.0010097919833614</v>
      </c>
      <c r="L232" s="11">
        <f t="shared" ca="1" si="219"/>
        <v>1.0010412443254408</v>
      </c>
      <c r="M232" s="11">
        <f t="shared" ca="1" si="219"/>
        <v>1.0010959737743479</v>
      </c>
      <c r="N232" s="11">
        <f t="shared" ca="1" si="219"/>
        <v>1.0011434914121629</v>
      </c>
      <c r="O232" s="11">
        <f t="shared" ca="1" si="219"/>
        <v>1.0011827003843961</v>
      </c>
      <c r="P232" s="11">
        <f t="shared" ca="1" si="219"/>
        <v>1.0012130692299526</v>
      </c>
      <c r="Q232" s="11">
        <f t="shared" ca="1" si="219"/>
        <v>1.0012343325028343</v>
      </c>
      <c r="R232" s="11">
        <f t="shared" ca="1" si="219"/>
        <v>1.0012567138585096</v>
      </c>
      <c r="S232" s="11">
        <f t="shared" ca="1" si="219"/>
        <v>1.0012694342077162</v>
      </c>
      <c r="T232" s="11">
        <f t="shared" ca="1" si="219"/>
        <v>1.0012718900968403</v>
      </c>
      <c r="U232" s="11">
        <f t="shared" ca="1" si="219"/>
        <v>1.0012637856752029</v>
      </c>
      <c r="V232" s="11">
        <f t="shared" ca="1" si="219"/>
        <v>1.0012449731837501</v>
      </c>
      <c r="W232" s="11">
        <f t="shared" ca="1" si="219"/>
        <v>1.0012264337197521</v>
      </c>
      <c r="X232" s="11">
        <f t="shared" ca="1" si="219"/>
        <v>1.0011964756082574</v>
      </c>
      <c r="Y232" s="11">
        <f t="shared" ca="1" si="219"/>
        <v>1.001154140624799</v>
      </c>
      <c r="Z232" s="11">
        <f t="shared" ca="1" si="219"/>
        <v>1.0010989558896006</v>
      </c>
      <c r="AA232" s="11">
        <f t="shared" ca="1" si="219"/>
        <v>1.0010306852553401</v>
      </c>
      <c r="AB232" s="11">
        <f t="shared" ca="1" si="219"/>
        <v>1.0009547797454659</v>
      </c>
      <c r="AC232" s="11">
        <f t="shared" ca="1" si="219"/>
        <v>1.0008649094247724</v>
      </c>
      <c r="AD232" s="11">
        <f t="shared" ca="1" si="219"/>
        <v>1.000759995556209</v>
      </c>
      <c r="AE232" s="11">
        <f t="shared" ca="1" si="219"/>
        <v>1.0006395018703631</v>
      </c>
      <c r="AF232" s="11">
        <f t="shared" ca="1" si="219"/>
        <v>1.0003200523308229</v>
      </c>
      <c r="AG232" s="11"/>
      <c r="AH232" s="11"/>
    </row>
    <row r="233" spans="2:37">
      <c r="B233" s="48" t="str">
        <f t="shared" ref="B233:B234" si="220">B189</f>
        <v>Total Debt / Total Assets</v>
      </c>
      <c r="C233" s="158"/>
      <c r="D233" s="11">
        <f ca="1">D189/$D189</f>
        <v>1</v>
      </c>
      <c r="E233" s="11">
        <f ca="1">E189/$D189</f>
        <v>0.99946174491148576</v>
      </c>
      <c r="F233" s="11">
        <f t="shared" ref="F233:AF233" ca="1" si="221">F189/$D189</f>
        <v>0.99895493039674088</v>
      </c>
      <c r="G233" s="11">
        <f t="shared" ca="1" si="221"/>
        <v>0.99848252630516876</v>
      </c>
      <c r="H233" s="11">
        <f t="shared" ca="1" si="221"/>
        <v>0.99834070029420441</v>
      </c>
      <c r="I233" s="11">
        <f t="shared" ca="1" si="221"/>
        <v>0.99822909941224747</v>
      </c>
      <c r="J233" s="11">
        <f t="shared" ca="1" si="221"/>
        <v>0.99813837516032433</v>
      </c>
      <c r="K233" s="11">
        <f t="shared" ca="1" si="221"/>
        <v>0.99806402021828711</v>
      </c>
      <c r="L233" s="11">
        <f t="shared" ca="1" si="221"/>
        <v>0.99800378230513909</v>
      </c>
      <c r="M233" s="11">
        <f t="shared" ca="1" si="221"/>
        <v>0.99789897281370066</v>
      </c>
      <c r="N233" s="11">
        <f t="shared" ca="1" si="221"/>
        <v>0.99780798357639433</v>
      </c>
      <c r="O233" s="11">
        <f t="shared" ca="1" si="221"/>
        <v>0.99773291070654568</v>
      </c>
      <c r="P233" s="11">
        <f t="shared" ca="1" si="221"/>
        <v>0.99767476794422827</v>
      </c>
      <c r="Q233" s="11">
        <f t="shared" ca="1" si="221"/>
        <v>0.99763406038211166</v>
      </c>
      <c r="R233" s="11">
        <f t="shared" ca="1" si="221"/>
        <v>0.99759121416943453</v>
      </c>
      <c r="S233" s="11">
        <f t="shared" ca="1" si="221"/>
        <v>0.99756686355866264</v>
      </c>
      <c r="T233" s="11">
        <f t="shared" ca="1" si="221"/>
        <v>0.99756216231243366</v>
      </c>
      <c r="U233" s="11">
        <f t="shared" ca="1" si="221"/>
        <v>0.99757767648863527</v>
      </c>
      <c r="V233" s="11">
        <f t="shared" ca="1" si="221"/>
        <v>0.99761368993493083</v>
      </c>
      <c r="W233" s="11">
        <f t="shared" ca="1" si="221"/>
        <v>0.99764918203872566</v>
      </c>
      <c r="X233" s="11">
        <f t="shared" ca="1" si="221"/>
        <v>0.99770653687419852</v>
      </c>
      <c r="Y233" s="11">
        <f t="shared" ca="1" si="221"/>
        <v>0.99778759309648779</v>
      </c>
      <c r="Z233" s="11">
        <f t="shared" ca="1" si="221"/>
        <v>0.99789326225072028</v>
      </c>
      <c r="AA233" s="11">
        <f t="shared" ca="1" si="221"/>
        <v>0.99802400474423203</v>
      </c>
      <c r="AB233" s="11">
        <f t="shared" ca="1" si="221"/>
        <v>0.99816938943546774</v>
      </c>
      <c r="AC233" s="11">
        <f t="shared" ca="1" si="221"/>
        <v>0.99834154996721014</v>
      </c>
      <c r="AD233" s="11">
        <f t="shared" ca="1" si="221"/>
        <v>0.99854256786483453</v>
      </c>
      <c r="AE233" s="11">
        <f t="shared" ca="1" si="221"/>
        <v>0.99877348913322317</v>
      </c>
      <c r="AF233" s="11">
        <f t="shared" ca="1" si="221"/>
        <v>0.99938597048900446</v>
      </c>
      <c r="AG233" s="11"/>
      <c r="AH233" s="11"/>
    </row>
    <row r="234" spans="2:37">
      <c r="B234" s="48" t="str">
        <f t="shared" si="220"/>
        <v>EBITDA  /  Total Assets</v>
      </c>
      <c r="C234" s="158"/>
      <c r="D234" s="11">
        <f t="shared" ca="1" si="143"/>
        <v>1</v>
      </c>
      <c r="E234" s="11">
        <f t="shared" ref="E234" ca="1" si="222">E190/$D190</f>
        <v>1.0080429824799475</v>
      </c>
      <c r="F234" s="11">
        <f t="shared" ref="F234:AF234" ca="1" si="223">F190/$D190</f>
        <v>1.0156064934618472</v>
      </c>
      <c r="G234" s="11">
        <f t="shared" ca="1" si="223"/>
        <v>1.0226563841206788</v>
      </c>
      <c r="H234" s="11">
        <f t="shared" ca="1" si="223"/>
        <v>1.0247671601564587</v>
      </c>
      <c r="I234" s="11">
        <f t="shared" ca="1" si="223"/>
        <v>1.0264322307898632</v>
      </c>
      <c r="J234" s="11">
        <f t="shared" ca="1" si="223"/>
        <v>1.0277858911716626</v>
      </c>
      <c r="K234" s="11">
        <f t="shared" ca="1" si="223"/>
        <v>1.0288953248892279</v>
      </c>
      <c r="L234" s="11">
        <f t="shared" ca="1" si="223"/>
        <v>1.0297941061252329</v>
      </c>
      <c r="M234" s="11">
        <f t="shared" ca="1" si="223"/>
        <v>1.0313591615470261</v>
      </c>
      <c r="N234" s="11">
        <f t="shared" ca="1" si="223"/>
        <v>1.032716903559358</v>
      </c>
      <c r="O234" s="11">
        <f t="shared" ca="1" si="223"/>
        <v>1.0338370602542948</v>
      </c>
      <c r="P234" s="11">
        <f t="shared" ca="1" si="223"/>
        <v>1.0347045212905073</v>
      </c>
      <c r="Q234" s="11">
        <f t="shared" ca="1" si="223"/>
        <v>1.0353117574444559</v>
      </c>
      <c r="R234" s="11">
        <f t="shared" ca="1" si="223"/>
        <v>1.03595126435331</v>
      </c>
      <c r="S234" s="11">
        <f t="shared" ca="1" si="223"/>
        <v>1.036314358220995</v>
      </c>
      <c r="T234" s="11">
        <f t="shared" ca="1" si="223"/>
        <v>1.0363841697360232</v>
      </c>
      <c r="U234" s="11">
        <f t="shared" ca="1" si="223"/>
        <v>1.0361522612118035</v>
      </c>
      <c r="V234" s="11">
        <f t="shared" ca="1" si="223"/>
        <v>1.0356144013829711</v>
      </c>
      <c r="W234" s="11">
        <f t="shared" ca="1" si="223"/>
        <v>1.0350847004720427</v>
      </c>
      <c r="X234" s="11">
        <f t="shared" ca="1" si="223"/>
        <v>1.0342283015379348</v>
      </c>
      <c r="Y234" s="11">
        <f t="shared" ca="1" si="223"/>
        <v>1.0330181326190755</v>
      </c>
      <c r="Z234" s="11">
        <f t="shared" ca="1" si="223"/>
        <v>1.0314406058341774</v>
      </c>
      <c r="AA234" s="11">
        <f t="shared" ca="1" si="223"/>
        <v>1.0294888578560291</v>
      </c>
      <c r="AB234" s="11">
        <f t="shared" ca="1" si="223"/>
        <v>1.0273187665580077</v>
      </c>
      <c r="AC234" s="11">
        <f t="shared" ca="1" si="223"/>
        <v>1.0247488348237652</v>
      </c>
      <c r="AD234" s="11">
        <f t="shared" ca="1" si="223"/>
        <v>1.0217481772129688</v>
      </c>
      <c r="AE234" s="11">
        <f t="shared" ca="1" si="223"/>
        <v>1.0183012010267682</v>
      </c>
      <c r="AF234" s="11">
        <f t="shared" ca="1" si="223"/>
        <v>1.0091532214340315</v>
      </c>
      <c r="AG234" s="11"/>
      <c r="AH234" s="11"/>
    </row>
    <row r="235" spans="2:37">
      <c r="B235" s="188" t="s">
        <v>173</v>
      </c>
      <c r="C235" s="189"/>
      <c r="D235" s="11" t="e">
        <f t="shared" si="143"/>
        <v>#DIV/0!</v>
      </c>
      <c r="E235" s="11">
        <v>1</v>
      </c>
      <c r="F235" s="11">
        <v>1</v>
      </c>
      <c r="G235" s="11">
        <v>1</v>
      </c>
      <c r="H235" s="11">
        <v>1</v>
      </c>
      <c r="I235" s="11">
        <v>1</v>
      </c>
      <c r="J235" s="11">
        <v>1</v>
      </c>
      <c r="K235" s="11">
        <v>1</v>
      </c>
      <c r="L235" s="11">
        <v>1</v>
      </c>
      <c r="M235" s="11">
        <v>1</v>
      </c>
      <c r="N235" s="11">
        <v>1</v>
      </c>
      <c r="O235" s="11">
        <v>1</v>
      </c>
      <c r="P235" s="11">
        <v>1</v>
      </c>
      <c r="Q235" s="11">
        <v>1</v>
      </c>
      <c r="R235" s="11">
        <v>1</v>
      </c>
      <c r="S235" s="11">
        <v>1</v>
      </c>
      <c r="T235" s="11">
        <v>1</v>
      </c>
      <c r="U235" s="11">
        <v>1</v>
      </c>
      <c r="V235" s="11">
        <v>1</v>
      </c>
      <c r="W235" s="11">
        <v>1</v>
      </c>
      <c r="X235" s="11">
        <v>1</v>
      </c>
      <c r="Y235" s="11">
        <v>1</v>
      </c>
      <c r="Z235" s="11">
        <v>1</v>
      </c>
      <c r="AA235" s="11">
        <v>1</v>
      </c>
      <c r="AB235" s="11">
        <v>1</v>
      </c>
      <c r="AC235" s="11">
        <v>1</v>
      </c>
      <c r="AD235" s="11">
        <v>1</v>
      </c>
      <c r="AE235" s="11">
        <v>1</v>
      </c>
      <c r="AF235" s="11">
        <v>1</v>
      </c>
      <c r="AG235" s="11">
        <v>1</v>
      </c>
      <c r="AH235" s="11">
        <v>1</v>
      </c>
    </row>
    <row r="236" spans="2:37">
      <c r="B236" s="25"/>
      <c r="C236" s="25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</row>
    <row r="237" spans="2:37" s="2" customFormat="1" ht="24">
      <c r="B237" s="161" t="s">
        <v>174</v>
      </c>
      <c r="C237" s="162"/>
      <c r="D237" s="34"/>
      <c r="E237" s="34"/>
      <c r="F237" s="34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</row>
    <row r="238" spans="2:37" outlineLevel="1">
      <c r="B238" s="25"/>
      <c r="C238" s="155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</row>
    <row r="239" spans="2:37" outlineLevel="1">
      <c r="B239" s="154" t="s">
        <v>175</v>
      </c>
      <c r="C239" s="155"/>
      <c r="D239" s="13" t="s">
        <v>176</v>
      </c>
      <c r="E239" s="13" t="s">
        <v>177</v>
      </c>
      <c r="F239" s="13" t="s">
        <v>178</v>
      </c>
      <c r="G239" s="13" t="s">
        <v>179</v>
      </c>
      <c r="H239" s="13" t="s">
        <v>180</v>
      </c>
      <c r="I239" s="13" t="s">
        <v>181</v>
      </c>
      <c r="J239" s="13" t="s">
        <v>182</v>
      </c>
      <c r="K239" s="13" t="s">
        <v>183</v>
      </c>
      <c r="L239" s="13" t="s">
        <v>184</v>
      </c>
      <c r="M239" s="13" t="s">
        <v>185</v>
      </c>
      <c r="N239" s="13" t="s">
        <v>186</v>
      </c>
      <c r="O239" s="13" t="s">
        <v>187</v>
      </c>
      <c r="P239" s="13" t="s">
        <v>188</v>
      </c>
      <c r="Q239" s="13" t="s">
        <v>189</v>
      </c>
      <c r="R239" s="13" t="s">
        <v>190</v>
      </c>
      <c r="S239" s="13" t="s">
        <v>191</v>
      </c>
      <c r="T239" s="13" t="s">
        <v>192</v>
      </c>
      <c r="U239" s="13" t="s">
        <v>193</v>
      </c>
      <c r="V239" s="13" t="s">
        <v>194</v>
      </c>
      <c r="W239" s="13" t="s">
        <v>195</v>
      </c>
      <c r="X239" s="13" t="s">
        <v>196</v>
      </c>
    </row>
    <row r="240" spans="2:37" s="30" customFormat="1" outlineLevel="1">
      <c r="B240" s="163" t="s">
        <v>32</v>
      </c>
      <c r="C240" s="164"/>
      <c r="D240" s="29">
        <v>1.0000000000000001E-5</v>
      </c>
      <c r="E240" s="29">
        <v>1.0000000000000001E-5</v>
      </c>
      <c r="F240" s="29">
        <v>4.0000000000000003E-5</v>
      </c>
      <c r="G240" s="29">
        <v>1E-4</v>
      </c>
      <c r="H240" s="29">
        <v>2.1000000000000001E-4</v>
      </c>
      <c r="I240" s="29">
        <v>4.0000000000000002E-4</v>
      </c>
      <c r="J240" s="29">
        <v>4.0000000000000002E-4</v>
      </c>
      <c r="K240" s="29">
        <v>7.2000000000000005E-4</v>
      </c>
      <c r="L240" s="29">
        <v>1.2999999999999999E-3</v>
      </c>
      <c r="M240" s="29">
        <v>2.2000000000000001E-3</v>
      </c>
      <c r="N240" s="29">
        <v>3.8E-3</v>
      </c>
      <c r="O240" s="29">
        <v>6.4999999999999997E-3</v>
      </c>
      <c r="P240" s="29">
        <v>1.14E-2</v>
      </c>
      <c r="Q240" s="29">
        <v>2.0400000000000001E-2</v>
      </c>
      <c r="R240" s="29">
        <v>3.8199999999999998E-2</v>
      </c>
      <c r="S240" s="29">
        <v>7.5399999999999995E-2</v>
      </c>
      <c r="T240" s="29">
        <v>0.159</v>
      </c>
      <c r="U240" s="29">
        <v>0.159</v>
      </c>
      <c r="V240" s="29">
        <v>0.34949999999999998</v>
      </c>
      <c r="W240" s="29">
        <v>0.34949999999999998</v>
      </c>
      <c r="X240" s="29">
        <v>0.5</v>
      </c>
    </row>
    <row r="241" spans="2:34">
      <c r="B241" s="154"/>
      <c r="C241" s="155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</row>
    <row r="242" spans="2:34">
      <c r="B242" s="154" t="s">
        <v>197</v>
      </c>
      <c r="C242" s="155"/>
    </row>
    <row r="243" spans="2:34">
      <c r="B243" s="165" t="s">
        <v>198</v>
      </c>
      <c r="C243" s="166" t="str" cm="1">
        <f t="array" aca="1" ref="C243" ca="1">INDIRECT("'" &amp; INDIRECT("Admin!J2") &amp; "'!B35")</f>
        <v>AAA</v>
      </c>
    </row>
    <row r="244" spans="2:34">
      <c r="B244" s="165" t="s">
        <v>32</v>
      </c>
      <c r="C244" s="167">
        <f ca="1">HLOOKUP(C243,D239:X240,2,FALSE)</f>
        <v>1.0000000000000001E-5</v>
      </c>
    </row>
    <row r="245" spans="2:34">
      <c r="B245" s="168"/>
      <c r="C245" s="169"/>
    </row>
    <row r="246" spans="2:34">
      <c r="B246" s="154" t="s">
        <v>199</v>
      </c>
      <c r="C246" s="155"/>
      <c r="D246" s="1">
        <f>D$22</f>
        <v>2023</v>
      </c>
      <c r="E246" s="1">
        <f t="shared" ref="E246:AF246" si="224">E$22</f>
        <v>2024</v>
      </c>
      <c r="F246" s="1">
        <f t="shared" si="224"/>
        <v>2025</v>
      </c>
      <c r="G246" s="1">
        <f t="shared" si="224"/>
        <v>2026</v>
      </c>
      <c r="H246" s="1">
        <f t="shared" si="224"/>
        <v>2027</v>
      </c>
      <c r="I246" s="1">
        <f t="shared" si="224"/>
        <v>2028</v>
      </c>
      <c r="J246" s="1">
        <f t="shared" si="224"/>
        <v>2029</v>
      </c>
      <c r="K246" s="1">
        <f t="shared" si="224"/>
        <v>2030</v>
      </c>
      <c r="L246" s="1">
        <f t="shared" si="224"/>
        <v>2031</v>
      </c>
      <c r="M246" s="1">
        <f t="shared" si="224"/>
        <v>2032</v>
      </c>
      <c r="N246" s="1">
        <f t="shared" si="224"/>
        <v>2033</v>
      </c>
      <c r="O246" s="1">
        <f t="shared" si="224"/>
        <v>2034</v>
      </c>
      <c r="P246" s="1">
        <f t="shared" si="224"/>
        <v>2035</v>
      </c>
      <c r="Q246" s="1">
        <f t="shared" si="224"/>
        <v>2036</v>
      </c>
      <c r="R246" s="1">
        <f t="shared" si="224"/>
        <v>2037</v>
      </c>
      <c r="S246" s="1">
        <f t="shared" si="224"/>
        <v>2038</v>
      </c>
      <c r="T246" s="1">
        <f t="shared" si="224"/>
        <v>2039</v>
      </c>
      <c r="U246" s="1">
        <f t="shared" si="224"/>
        <v>2040</v>
      </c>
      <c r="V246" s="1">
        <f t="shared" si="224"/>
        <v>2041</v>
      </c>
      <c r="W246" s="1">
        <f t="shared" si="224"/>
        <v>2042</v>
      </c>
      <c r="X246" s="1">
        <f t="shared" si="224"/>
        <v>2043</v>
      </c>
      <c r="Y246" s="1">
        <f t="shared" si="224"/>
        <v>2044</v>
      </c>
      <c r="Z246" s="1">
        <f t="shared" si="224"/>
        <v>2045</v>
      </c>
      <c r="AA246" s="1">
        <f t="shared" si="224"/>
        <v>2046</v>
      </c>
      <c r="AB246" s="1">
        <f t="shared" si="224"/>
        <v>2047</v>
      </c>
      <c r="AC246" s="1">
        <f t="shared" si="224"/>
        <v>2048</v>
      </c>
      <c r="AD246" s="1">
        <f t="shared" si="224"/>
        <v>2049</v>
      </c>
      <c r="AE246" s="1">
        <f t="shared" si="224"/>
        <v>2050</v>
      </c>
      <c r="AF246" s="1">
        <f t="shared" si="224"/>
        <v>2050</v>
      </c>
    </row>
    <row r="247" spans="2:34">
      <c r="B247" s="188" t="s">
        <v>148</v>
      </c>
      <c r="C247" s="189"/>
      <c r="D247" s="11">
        <f ca="1">VLOOKUP($B247,$B$193:$AH$235,D$147,FALSE)</f>
        <v>1</v>
      </c>
      <c r="E247" s="11">
        <f ca="1">VLOOKUP($B247,$B$193:$AH$235,E$147,FALSE)</f>
        <v>0.99988328194925058</v>
      </c>
      <c r="F247" s="11">
        <f t="shared" ref="F247:AF256" ca="1" si="225">VLOOKUP($B247,$B$193:$AH$235,F$147,FALSE)</f>
        <v>0.99977383101135697</v>
      </c>
      <c r="G247" s="11">
        <f t="shared" ca="1" si="225"/>
        <v>0.99967196248194179</v>
      </c>
      <c r="H247" s="11">
        <f t="shared" ca="1" si="225"/>
        <v>0.99964842589864333</v>
      </c>
      <c r="I247" s="11">
        <f t="shared" ca="1" si="225"/>
        <v>0.99963113022536976</v>
      </c>
      <c r="J247" s="11">
        <f t="shared" ca="1" si="225"/>
        <v>0.99961795947098031</v>
      </c>
      <c r="K247" s="11">
        <f t="shared" ca="1" si="225"/>
        <v>0.99960785635786964</v>
      </c>
      <c r="L247" s="11">
        <f t="shared" ca="1" si="225"/>
        <v>0.99960029260883809</v>
      </c>
      <c r="M247" s="11">
        <f t="shared" ca="1" si="225"/>
        <v>0.9995912215238425</v>
      </c>
      <c r="N247" s="11">
        <f t="shared" ca="1" si="225"/>
        <v>0.99958448426194979</v>
      </c>
      <c r="O247" s="11">
        <f t="shared" ca="1" si="225"/>
        <v>0.99958011930796409</v>
      </c>
      <c r="P247" s="11">
        <f t="shared" ca="1" si="225"/>
        <v>0.99957814575534154</v>
      </c>
      <c r="Q247" s="11">
        <f t="shared" ca="1" si="225"/>
        <v>0.99957857308690179</v>
      </c>
      <c r="R247" s="11">
        <f t="shared" ca="1" si="225"/>
        <v>0.99959148666137776</v>
      </c>
      <c r="S247" s="11">
        <f t="shared" ca="1" si="225"/>
        <v>0.99960660776366561</v>
      </c>
      <c r="T247" s="11">
        <f t="shared" ca="1" si="225"/>
        <v>0.99962331502187773</v>
      </c>
      <c r="U247" s="11">
        <f t="shared" ca="1" si="225"/>
        <v>0.99964129771346533</v>
      </c>
      <c r="V247" s="11">
        <f t="shared" ca="1" si="225"/>
        <v>0.99966040047722859</v>
      </c>
      <c r="W247" s="11">
        <f t="shared" ca="1" si="225"/>
        <v>0.9996873704876571</v>
      </c>
      <c r="X247" s="11">
        <f t="shared" ca="1" si="225"/>
        <v>0.99971515891608675</v>
      </c>
      <c r="Y247" s="11">
        <f t="shared" ca="1" si="225"/>
        <v>0.99974307771287674</v>
      </c>
      <c r="Z247" s="11">
        <f t="shared" ca="1" si="225"/>
        <v>0.99977078282668319</v>
      </c>
      <c r="AA247" s="11">
        <f t="shared" ca="1" si="225"/>
        <v>0.99979810225247956</v>
      </c>
      <c r="AB247" s="11">
        <f t="shared" ca="1" si="225"/>
        <v>0.99982896842478775</v>
      </c>
      <c r="AC247" s="11">
        <f t="shared" ca="1" si="225"/>
        <v>0.99985904527725833</v>
      </c>
      <c r="AD247" s="11">
        <f t="shared" ca="1" si="225"/>
        <v>0.99988744096332982</v>
      </c>
      <c r="AE247" s="11">
        <f t="shared" ca="1" si="225"/>
        <v>0.99991370958910131</v>
      </c>
      <c r="AF247" s="11">
        <f t="shared" ca="1" si="225"/>
        <v>0.99995685479455076</v>
      </c>
      <c r="AG247" s="11"/>
      <c r="AH247" s="11"/>
    </row>
    <row r="248" spans="2:34">
      <c r="B248" s="188" t="s">
        <v>138</v>
      </c>
      <c r="C248" s="189"/>
      <c r="D248" s="11">
        <f ca="1">VLOOKUP($B248,$B$193:$AH$235,D$147,FALSE)</f>
        <v>1</v>
      </c>
      <c r="E248" s="11">
        <f t="shared" ref="D248:S256" ca="1" si="226">VLOOKUP($B248,$B$193:$AH$235,E$147,FALSE)</f>
        <v>1.0095365300269645</v>
      </c>
      <c r="F248" s="11">
        <f t="shared" ca="1" si="226"/>
        <v>1.0185114809885165</v>
      </c>
      <c r="G248" s="11">
        <f t="shared" ca="1" si="226"/>
        <v>1.0268828030205401</v>
      </c>
      <c r="H248" s="11">
        <f t="shared" ca="1" si="226"/>
        <v>1.0293834100609052</v>
      </c>
      <c r="I248" s="11">
        <f t="shared" ca="1" si="226"/>
        <v>1.0313548580417975</v>
      </c>
      <c r="J248" s="11">
        <f t="shared" ca="1" si="226"/>
        <v>1.0329568907750502</v>
      </c>
      <c r="K248" s="11">
        <f t="shared" ca="1" si="226"/>
        <v>1.0342693133198555</v>
      </c>
      <c r="L248" s="11">
        <f t="shared" ca="1" si="226"/>
        <v>1.0353319919903772</v>
      </c>
      <c r="M248" s="11">
        <f t="shared" ca="1" si="226"/>
        <v>1.0371783353305268</v>
      </c>
      <c r="N248" s="11">
        <f t="shared" ca="1" si="226"/>
        <v>1.0387791565865099</v>
      </c>
      <c r="O248" s="11">
        <f t="shared" ca="1" si="226"/>
        <v>1.0400987488765276</v>
      </c>
      <c r="P248" s="11">
        <f t="shared" ca="1" si="226"/>
        <v>1.0411192718285824</v>
      </c>
      <c r="Q248" s="11">
        <f t="shared" ca="1" si="226"/>
        <v>1.0418318116595844</v>
      </c>
      <c r="R248" s="11">
        <f t="shared" ca="1" si="226"/>
        <v>1.0425692358566636</v>
      </c>
      <c r="S248" s="11">
        <f t="shared" ca="1" si="226"/>
        <v>1.042979818213668</v>
      </c>
      <c r="T248" s="11">
        <f t="shared" ca="1" si="225"/>
        <v>1.043044372388928</v>
      </c>
      <c r="U248" s="11">
        <f t="shared" ca="1" si="225"/>
        <v>1.0427533269760263</v>
      </c>
      <c r="V248" s="11">
        <f t="shared" ca="1" si="225"/>
        <v>1.0421019133999043</v>
      </c>
      <c r="W248" s="11">
        <f t="shared" ca="1" si="225"/>
        <v>1.0414519156492561</v>
      </c>
      <c r="X248" s="11">
        <f t="shared" ca="1" si="225"/>
        <v>1.040417624534433</v>
      </c>
      <c r="Y248" s="11">
        <f t="shared" ca="1" si="225"/>
        <v>1.0389680671208974</v>
      </c>
      <c r="Z248" s="11">
        <f t="shared" ca="1" si="225"/>
        <v>1.0370877934753546</v>
      </c>
      <c r="AA248" s="11">
        <f t="shared" ca="1" si="225"/>
        <v>1.0347691049248846</v>
      </c>
      <c r="AB248" s="11">
        <f t="shared" ca="1" si="225"/>
        <v>1.032191022601239</v>
      </c>
      <c r="AC248" s="11">
        <f t="shared" ca="1" si="225"/>
        <v>1.0291453054528423</v>
      </c>
      <c r="AD248" s="11">
        <f t="shared" ca="1" si="225"/>
        <v>1.0255969297725329</v>
      </c>
      <c r="AE248" s="11">
        <f t="shared" ca="1" si="225"/>
        <v>1.0215284124482289</v>
      </c>
      <c r="AF248" s="11">
        <f t="shared" ca="1" si="225"/>
        <v>1.0107637417801869</v>
      </c>
      <c r="AG248" s="11"/>
      <c r="AH248" s="11"/>
    </row>
    <row r="249" spans="2:34">
      <c r="B249" s="188" t="s">
        <v>156</v>
      </c>
      <c r="C249" s="189"/>
      <c r="D249" s="11">
        <f t="shared" ca="1" si="226"/>
        <v>1</v>
      </c>
      <c r="E249" s="11">
        <f t="shared" ca="1" si="226"/>
        <v>1.0091355908106581</v>
      </c>
      <c r="F249" s="11">
        <f t="shared" ca="1" si="225"/>
        <v>1.0177266199977988</v>
      </c>
      <c r="G249" s="11">
        <f t="shared" ca="1" si="225"/>
        <v>1.0257342529277955</v>
      </c>
      <c r="H249" s="11">
        <f t="shared" ca="1" si="225"/>
        <v>1.0281318086437055</v>
      </c>
      <c r="I249" s="11">
        <f t="shared" ca="1" si="225"/>
        <v>1.0300230843993066</v>
      </c>
      <c r="J249" s="11">
        <f t="shared" ca="1" si="225"/>
        <v>1.0315606435295701</v>
      </c>
      <c r="K249" s="11">
        <f t="shared" ca="1" si="225"/>
        <v>1.0328207970233036</v>
      </c>
      <c r="L249" s="11">
        <f t="shared" ca="1" si="225"/>
        <v>1.0338416803577957</v>
      </c>
      <c r="M249" s="11">
        <f t="shared" ca="1" si="225"/>
        <v>1.0356193475060331</v>
      </c>
      <c r="N249" s="11">
        <f t="shared" ca="1" si="225"/>
        <v>1.0371615421820788</v>
      </c>
      <c r="O249" s="11">
        <f t="shared" ca="1" si="225"/>
        <v>1.0384338753505167</v>
      </c>
      <c r="P249" s="11">
        <f t="shared" ca="1" si="225"/>
        <v>1.039419183815657</v>
      </c>
      <c r="Q249" s="11">
        <f t="shared" ca="1" si="225"/>
        <v>1.0401089154543961</v>
      </c>
      <c r="R249" s="11">
        <f t="shared" ca="1" si="225"/>
        <v>1.0408353002711024</v>
      </c>
      <c r="S249" s="11">
        <f t="shared" ca="1" si="225"/>
        <v>1.0412477225727887</v>
      </c>
      <c r="T249" s="11">
        <f t="shared" ca="1" si="225"/>
        <v>1.0413270197183826</v>
      </c>
      <c r="U249" s="11">
        <f t="shared" ca="1" si="225"/>
        <v>1.0410636076989634</v>
      </c>
      <c r="V249" s="11">
        <f t="shared" ca="1" si="225"/>
        <v>1.0404526804013736</v>
      </c>
      <c r="W249" s="11">
        <f t="shared" ca="1" si="225"/>
        <v>1.0398510186918959</v>
      </c>
      <c r="X249" s="11">
        <f t="shared" ca="1" si="225"/>
        <v>1.038878278330567</v>
      </c>
      <c r="Y249" s="11">
        <f t="shared" ca="1" si="225"/>
        <v>1.037503707891188</v>
      </c>
      <c r="Z249" s="11">
        <f t="shared" ca="1" si="225"/>
        <v>1.0357118734795634</v>
      </c>
      <c r="AA249" s="11">
        <f t="shared" ca="1" si="225"/>
        <v>1.0334949793367261</v>
      </c>
      <c r="AB249" s="11">
        <f t="shared" ca="1" si="225"/>
        <v>1.0310300787086069</v>
      </c>
      <c r="AC249" s="11">
        <f t="shared" ca="1" si="225"/>
        <v>1.0281110196510428</v>
      </c>
      <c r="AD249" s="11">
        <f t="shared" ca="1" si="225"/>
        <v>1.0247027200564278</v>
      </c>
      <c r="AE249" s="11">
        <f t="shared" ca="1" si="225"/>
        <v>1.0207874688462035</v>
      </c>
      <c r="AF249" s="11">
        <f t="shared" ca="1" si="225"/>
        <v>1.0103967523352464</v>
      </c>
      <c r="AG249" s="11"/>
      <c r="AH249" s="11"/>
    </row>
    <row r="250" spans="2:34">
      <c r="B250" s="188" t="s">
        <v>132</v>
      </c>
      <c r="C250" s="189"/>
      <c r="D250" s="11">
        <f t="shared" ca="1" si="226"/>
        <v>1</v>
      </c>
      <c r="E250" s="11">
        <f t="shared" ca="1" si="226"/>
        <v>0.99148723048758236</v>
      </c>
      <c r="F250" s="11">
        <f t="shared" ca="1" si="225"/>
        <v>0.98360431606896559</v>
      </c>
      <c r="G250" s="11">
        <f t="shared" ca="1" si="225"/>
        <v>0.97636170057619498</v>
      </c>
      <c r="H250" s="11">
        <f t="shared" ca="1" si="225"/>
        <v>0.97421222996820112</v>
      </c>
      <c r="I250" s="11">
        <f t="shared" ca="1" si="225"/>
        <v>0.97252314324160227</v>
      </c>
      <c r="J250" s="11">
        <f t="shared" ca="1" si="225"/>
        <v>0.97115399591879925</v>
      </c>
      <c r="K250" s="11">
        <f t="shared" ca="1" si="225"/>
        <v>0.9700345565529126</v>
      </c>
      <c r="L250" s="11">
        <f t="shared" ca="1" si="225"/>
        <v>0.96912943700978238</v>
      </c>
      <c r="M250" s="11">
        <f t="shared" ca="1" si="225"/>
        <v>0.96755719056867073</v>
      </c>
      <c r="N250" s="11">
        <f t="shared" ca="1" si="225"/>
        <v>0.96619700920683393</v>
      </c>
      <c r="O250" s="11">
        <f t="shared" ca="1" si="225"/>
        <v>0.96507752436455663</v>
      </c>
      <c r="P250" s="11">
        <f t="shared" ca="1" si="225"/>
        <v>0.96421224360738778</v>
      </c>
      <c r="Q250" s="11">
        <f t="shared" ca="1" si="225"/>
        <v>0.96360738995629003</v>
      </c>
      <c r="R250" s="11">
        <f t="shared" ca="1" si="225"/>
        <v>0.96297118261849746</v>
      </c>
      <c r="S250" s="11">
        <f t="shared" ca="1" si="225"/>
        <v>0.96261028870732912</v>
      </c>
      <c r="T250" s="11">
        <f t="shared" ca="1" si="225"/>
        <v>0.9625409104487983</v>
      </c>
      <c r="U250" s="11">
        <f t="shared" ca="1" si="225"/>
        <v>0.96277131637192548</v>
      </c>
      <c r="V250" s="11">
        <f t="shared" ca="1" si="225"/>
        <v>0.96330611915275233</v>
      </c>
      <c r="W250" s="11">
        <f t="shared" ca="1" si="225"/>
        <v>0.96383337671183333</v>
      </c>
      <c r="X250" s="11">
        <f t="shared" ca="1" si="225"/>
        <v>0.96468694135576516</v>
      </c>
      <c r="Y250" s="11">
        <f t="shared" ca="1" si="225"/>
        <v>0.9658955265061363</v>
      </c>
      <c r="Z250" s="11">
        <f t="shared" ca="1" si="225"/>
        <v>0.9674752541312589</v>
      </c>
      <c r="AA250" s="11">
        <f t="shared" ca="1" si="225"/>
        <v>0.96943643161197046</v>
      </c>
      <c r="AB250" s="11">
        <f t="shared" ca="1" si="225"/>
        <v>0.97162577179408105</v>
      </c>
      <c r="AC250" s="11">
        <f t="shared" ca="1" si="225"/>
        <v>0.97423048071960316</v>
      </c>
      <c r="AD250" s="11">
        <f t="shared" ca="1" si="225"/>
        <v>0.97728832811678457</v>
      </c>
      <c r="AE250" s="11">
        <f t="shared" ca="1" si="225"/>
        <v>0.98082324574118651</v>
      </c>
      <c r="AF250" s="11">
        <f t="shared" ca="1" si="225"/>
        <v>0.99032133997338134</v>
      </c>
      <c r="AG250" s="11"/>
      <c r="AH250" s="11"/>
    </row>
    <row r="251" spans="2:34">
      <c r="B251" s="188" t="s">
        <v>154</v>
      </c>
      <c r="C251" s="189"/>
      <c r="D251" s="11">
        <f t="shared" ca="1" si="226"/>
        <v>1</v>
      </c>
      <c r="E251" s="11">
        <f t="shared" ca="1" si="226"/>
        <v>0.99946174491148554</v>
      </c>
      <c r="F251" s="11">
        <f t="shared" ca="1" si="225"/>
        <v>0.99895493039674077</v>
      </c>
      <c r="G251" s="11">
        <f t="shared" ca="1" si="225"/>
        <v>0.99848252630516865</v>
      </c>
      <c r="H251" s="11">
        <f t="shared" ca="1" si="225"/>
        <v>0.9983407002942043</v>
      </c>
      <c r="I251" s="11">
        <f t="shared" ca="1" si="225"/>
        <v>0.99822909941224724</v>
      </c>
      <c r="J251" s="11">
        <f t="shared" ca="1" si="225"/>
        <v>0.99813837516032433</v>
      </c>
      <c r="K251" s="11">
        <f t="shared" ca="1" si="225"/>
        <v>0.99806402021828711</v>
      </c>
      <c r="L251" s="11">
        <f t="shared" ca="1" si="225"/>
        <v>0.99800378230513898</v>
      </c>
      <c r="M251" s="11">
        <f t="shared" ca="1" si="225"/>
        <v>0.99789897281370055</v>
      </c>
      <c r="N251" s="11">
        <f t="shared" ca="1" si="225"/>
        <v>0.99780798357639433</v>
      </c>
      <c r="O251" s="11">
        <f t="shared" ca="1" si="225"/>
        <v>0.99773291070654579</v>
      </c>
      <c r="P251" s="11">
        <f t="shared" ca="1" si="225"/>
        <v>0.99767476794422827</v>
      </c>
      <c r="Q251" s="11">
        <f t="shared" ca="1" si="225"/>
        <v>0.99763406038211166</v>
      </c>
      <c r="R251" s="11">
        <f t="shared" ca="1" si="225"/>
        <v>0.99759121416943453</v>
      </c>
      <c r="S251" s="11">
        <f t="shared" ca="1" si="225"/>
        <v>0.99756686355866253</v>
      </c>
      <c r="T251" s="11">
        <f t="shared" ca="1" si="225"/>
        <v>0.99756216231243344</v>
      </c>
      <c r="U251" s="11">
        <f t="shared" ca="1" si="225"/>
        <v>0.99757767648863527</v>
      </c>
      <c r="V251" s="11">
        <f t="shared" ca="1" si="225"/>
        <v>0.9976136899349306</v>
      </c>
      <c r="W251" s="11">
        <f t="shared" ca="1" si="225"/>
        <v>0.99764918203872566</v>
      </c>
      <c r="X251" s="11">
        <f t="shared" ca="1" si="225"/>
        <v>0.99770653687419841</v>
      </c>
      <c r="Y251" s="11">
        <f t="shared" ca="1" si="225"/>
        <v>0.99778759309648768</v>
      </c>
      <c r="Z251" s="11">
        <f t="shared" ca="1" si="225"/>
        <v>0.99789326225072028</v>
      </c>
      <c r="AA251" s="11">
        <f t="shared" ca="1" si="225"/>
        <v>0.99802400474423192</v>
      </c>
      <c r="AB251" s="11">
        <f t="shared" ca="1" si="225"/>
        <v>0.99816938943546762</v>
      </c>
      <c r="AC251" s="11">
        <f t="shared" ca="1" si="225"/>
        <v>0.99834154996721014</v>
      </c>
      <c r="AD251" s="11">
        <f t="shared" ca="1" si="225"/>
        <v>0.99854256786483442</v>
      </c>
      <c r="AE251" s="11">
        <f t="shared" ca="1" si="225"/>
        <v>0.99877348913322317</v>
      </c>
      <c r="AF251" s="11">
        <f t="shared" ca="1" si="225"/>
        <v>0.99938597048900435</v>
      </c>
      <c r="AG251" s="11"/>
      <c r="AH251" s="11"/>
    </row>
    <row r="252" spans="2:34">
      <c r="B252" s="188" t="s">
        <v>149</v>
      </c>
      <c r="C252" s="189"/>
      <c r="D252" s="11">
        <f ca="1">VLOOKUP($B252,$B$193:$AH$235,D$147,FALSE)</f>
        <v>1</v>
      </c>
      <c r="E252" s="11">
        <f t="shared" ca="1" si="226"/>
        <v>1.0088112986060722</v>
      </c>
      <c r="F252" s="11">
        <f t="shared" ca="1" si="225"/>
        <v>1.0171136382821278</v>
      </c>
      <c r="G252" s="11">
        <f t="shared" ca="1" si="225"/>
        <v>1.0248598477103279</v>
      </c>
      <c r="H252" s="11">
        <f t="shared" ca="1" si="225"/>
        <v>1.0271851002381007</v>
      </c>
      <c r="I252" s="11">
        <f t="shared" ca="1" si="225"/>
        <v>1.0290165360357384</v>
      </c>
      <c r="J252" s="11">
        <f t="shared" ca="1" si="225"/>
        <v>1.0305056961937311</v>
      </c>
      <c r="K252" s="11">
        <f t="shared" ca="1" si="225"/>
        <v>1.0317263742087048</v>
      </c>
      <c r="L252" s="11">
        <f t="shared" ca="1" si="225"/>
        <v>1.0327154229601845</v>
      </c>
      <c r="M252" s="11">
        <f t="shared" ca="1" si="225"/>
        <v>1.0344369590170313</v>
      </c>
      <c r="N252" s="11">
        <f t="shared" ca="1" si="225"/>
        <v>1.0359314966088604</v>
      </c>
      <c r="O252" s="11">
        <f t="shared" ca="1" si="225"/>
        <v>1.0371647813850795</v>
      </c>
      <c r="P252" s="11">
        <f t="shared" ca="1" si="225"/>
        <v>1.0381200433490541</v>
      </c>
      <c r="Q252" s="11">
        <f t="shared" ca="1" si="225"/>
        <v>1.0387888876158489</v>
      </c>
      <c r="R252" s="11">
        <f t="shared" ca="1" si="225"/>
        <v>1.039493042587958</v>
      </c>
      <c r="S252" s="11">
        <f t="shared" ca="1" si="225"/>
        <v>1.0398931505864872</v>
      </c>
      <c r="T252" s="11">
        <f t="shared" ca="1" si="225"/>
        <v>1.0399703111546734</v>
      </c>
      <c r="U252" s="11">
        <f t="shared" ca="1" si="225"/>
        <v>1.039715215038121</v>
      </c>
      <c r="V252" s="11">
        <f t="shared" ca="1" si="225"/>
        <v>1.0391232300010966</v>
      </c>
      <c r="W252" s="11">
        <f t="shared" ca="1" si="225"/>
        <v>1.0385399705595393</v>
      </c>
      <c r="X252" s="11">
        <f t="shared" ca="1" si="225"/>
        <v>1.0375973927615043</v>
      </c>
      <c r="Y252" s="11">
        <f t="shared" ca="1" si="225"/>
        <v>1.0362655272605703</v>
      </c>
      <c r="Z252" s="11">
        <f t="shared" ca="1" si="225"/>
        <v>1.0345295968219022</v>
      </c>
      <c r="AA252" s="11">
        <f t="shared" ca="1" si="225"/>
        <v>1.0323823005172874</v>
      </c>
      <c r="AB252" s="11">
        <f t="shared" ca="1" si="225"/>
        <v>1.0299952561589962</v>
      </c>
      <c r="AC252" s="11">
        <f t="shared" ca="1" si="225"/>
        <v>1.0271694314615678</v>
      </c>
      <c r="AD252" s="11">
        <f t="shared" ca="1" si="225"/>
        <v>1.0238711913691896</v>
      </c>
      <c r="AE252" s="11">
        <f t="shared" ca="1" si="225"/>
        <v>1.0200839623760856</v>
      </c>
      <c r="AF252" s="11">
        <f t="shared" ca="1" si="225"/>
        <v>1.0100457676475141</v>
      </c>
      <c r="AG252" s="11"/>
      <c r="AH252" s="11"/>
    </row>
    <row r="253" spans="2:34">
      <c r="B253" s="188" t="s">
        <v>141</v>
      </c>
      <c r="C253" s="189"/>
      <c r="D253" s="11">
        <f t="shared" ca="1" si="226"/>
        <v>1</v>
      </c>
      <c r="E253" s="11">
        <f t="shared" ca="1" si="226"/>
        <v>1.0094186988910194</v>
      </c>
      <c r="F253" s="11">
        <f t="shared" ca="1" si="225"/>
        <v>1.0185437679492733</v>
      </c>
      <c r="G253" s="11">
        <f t="shared" ca="1" si="225"/>
        <v>1.0270602905347053</v>
      </c>
      <c r="H253" s="11">
        <f t="shared" ca="1" si="225"/>
        <v>1.0297705037238509</v>
      </c>
      <c r="I253" s="11">
        <f t="shared" ca="1" si="225"/>
        <v>1.0317950943331591</v>
      </c>
      <c r="J253" s="11">
        <f t="shared" ca="1" si="225"/>
        <v>1.0334395749339</v>
      </c>
      <c r="K253" s="11">
        <f t="shared" ca="1" si="225"/>
        <v>1.0347872384968371</v>
      </c>
      <c r="L253" s="11">
        <f t="shared" ca="1" si="225"/>
        <v>1.035879606271991</v>
      </c>
      <c r="M253" s="11">
        <f t="shared" ca="1" si="225"/>
        <v>1.0377475374240321</v>
      </c>
      <c r="N253" s="11">
        <f t="shared" ca="1" si="225"/>
        <v>1.039394567938873</v>
      </c>
      <c r="O253" s="11">
        <f t="shared" ca="1" si="225"/>
        <v>1.0407558987934886</v>
      </c>
      <c r="P253" s="11">
        <f t="shared" ca="1" si="225"/>
        <v>1.0418125946665007</v>
      </c>
      <c r="Q253" s="11">
        <f t="shared" ca="1" si="225"/>
        <v>1.0425551875201462</v>
      </c>
      <c r="R253" s="11">
        <f t="shared" ca="1" si="225"/>
        <v>1.0433270155780225</v>
      </c>
      <c r="S253" s="11">
        <f t="shared" ca="1" si="225"/>
        <v>1.0437751818514436</v>
      </c>
      <c r="T253" s="11">
        <f t="shared" ca="1" si="225"/>
        <v>1.0438694506601705</v>
      </c>
      <c r="U253" s="11">
        <f t="shared" ca="1" si="225"/>
        <v>1.043599306919244</v>
      </c>
      <c r="V253" s="11">
        <f t="shared" ca="1" si="225"/>
        <v>1.0429595169590438</v>
      </c>
      <c r="W253" s="11">
        <f t="shared" ca="1" si="225"/>
        <v>1.0423190608483863</v>
      </c>
      <c r="X253" s="11">
        <f t="shared" ca="1" si="225"/>
        <v>1.0412950888203951</v>
      </c>
      <c r="Y253" s="11">
        <f t="shared" ca="1" si="225"/>
        <v>1.0398446831158026</v>
      </c>
      <c r="Z253" s="11">
        <f t="shared" ca="1" si="225"/>
        <v>1.0379511541825275</v>
      </c>
      <c r="AA253" s="11">
        <f t="shared" ca="1" si="225"/>
        <v>1.0356062502140027</v>
      </c>
      <c r="AB253" s="11">
        <f t="shared" ca="1" si="225"/>
        <v>1.0329930878649154</v>
      </c>
      <c r="AC253" s="11">
        <f t="shared" ca="1" si="225"/>
        <v>1.0299040643790227</v>
      </c>
      <c r="AD253" s="11">
        <f t="shared" ca="1" si="225"/>
        <v>1.0262973703396223</v>
      </c>
      <c r="AE253" s="11">
        <f t="shared" ca="1" si="225"/>
        <v>1.0221542843099498</v>
      </c>
      <c r="AF253" s="11">
        <f t="shared" ca="1" si="225"/>
        <v>1.0113145761559439</v>
      </c>
      <c r="AG253" s="11"/>
      <c r="AH253" s="11"/>
    </row>
    <row r="254" spans="2:34">
      <c r="B254" s="188" t="s">
        <v>173</v>
      </c>
      <c r="C254" s="189"/>
      <c r="D254" s="11" t="e">
        <f t="shared" si="226"/>
        <v>#DIV/0!</v>
      </c>
      <c r="E254" s="11">
        <f>VLOOKUP($B254,$B$193:$AH$235,E$147,FALSE)</f>
        <v>1</v>
      </c>
      <c r="F254" s="11">
        <f t="shared" si="225"/>
        <v>1</v>
      </c>
      <c r="G254" s="11">
        <f t="shared" si="225"/>
        <v>1</v>
      </c>
      <c r="H254" s="11">
        <f t="shared" si="225"/>
        <v>1</v>
      </c>
      <c r="I254" s="11">
        <f t="shared" si="225"/>
        <v>1</v>
      </c>
      <c r="J254" s="11">
        <f t="shared" si="225"/>
        <v>1</v>
      </c>
      <c r="K254" s="11">
        <f t="shared" si="225"/>
        <v>1</v>
      </c>
      <c r="L254" s="11">
        <f t="shared" si="225"/>
        <v>1</v>
      </c>
      <c r="M254" s="11">
        <f t="shared" si="225"/>
        <v>1</v>
      </c>
      <c r="N254" s="11">
        <f t="shared" si="225"/>
        <v>1</v>
      </c>
      <c r="O254" s="11">
        <f t="shared" si="225"/>
        <v>1</v>
      </c>
      <c r="P254" s="11">
        <f t="shared" si="225"/>
        <v>1</v>
      </c>
      <c r="Q254" s="11">
        <f t="shared" si="225"/>
        <v>1</v>
      </c>
      <c r="R254" s="11">
        <f t="shared" si="225"/>
        <v>1</v>
      </c>
      <c r="S254" s="11">
        <f t="shared" si="225"/>
        <v>1</v>
      </c>
      <c r="T254" s="11">
        <f t="shared" si="225"/>
        <v>1</v>
      </c>
      <c r="U254" s="11">
        <f t="shared" si="225"/>
        <v>1</v>
      </c>
      <c r="V254" s="11">
        <f t="shared" si="225"/>
        <v>1</v>
      </c>
      <c r="W254" s="11">
        <f t="shared" si="225"/>
        <v>1</v>
      </c>
      <c r="X254" s="11">
        <f t="shared" si="225"/>
        <v>1</v>
      </c>
      <c r="Y254" s="11">
        <f t="shared" si="225"/>
        <v>1</v>
      </c>
      <c r="Z254" s="11">
        <f t="shared" si="225"/>
        <v>1</v>
      </c>
      <c r="AA254" s="11">
        <f t="shared" si="225"/>
        <v>1</v>
      </c>
      <c r="AB254" s="11">
        <f t="shared" si="225"/>
        <v>1</v>
      </c>
      <c r="AC254" s="11">
        <f t="shared" si="225"/>
        <v>1</v>
      </c>
      <c r="AD254" s="11">
        <f t="shared" si="225"/>
        <v>1</v>
      </c>
      <c r="AE254" s="11">
        <f t="shared" si="225"/>
        <v>1</v>
      </c>
      <c r="AF254" s="11">
        <f t="shared" si="225"/>
        <v>1</v>
      </c>
      <c r="AG254" s="11"/>
      <c r="AH254" s="11"/>
    </row>
    <row r="255" spans="2:34">
      <c r="B255" s="188" t="s">
        <v>173</v>
      </c>
      <c r="C255" s="189"/>
      <c r="D255" s="11" t="e">
        <f t="shared" si="226"/>
        <v>#DIV/0!</v>
      </c>
      <c r="E255" s="11">
        <f t="shared" si="226"/>
        <v>1</v>
      </c>
      <c r="F255" s="11">
        <f t="shared" si="225"/>
        <v>1</v>
      </c>
      <c r="G255" s="11">
        <f t="shared" si="225"/>
        <v>1</v>
      </c>
      <c r="H255" s="11">
        <f t="shared" si="225"/>
        <v>1</v>
      </c>
      <c r="I255" s="11">
        <f t="shared" si="225"/>
        <v>1</v>
      </c>
      <c r="J255" s="11">
        <f t="shared" si="225"/>
        <v>1</v>
      </c>
      <c r="K255" s="11">
        <f t="shared" si="225"/>
        <v>1</v>
      </c>
      <c r="L255" s="11">
        <f t="shared" si="225"/>
        <v>1</v>
      </c>
      <c r="M255" s="11">
        <f t="shared" si="225"/>
        <v>1</v>
      </c>
      <c r="N255" s="11">
        <f t="shared" si="225"/>
        <v>1</v>
      </c>
      <c r="O255" s="11">
        <f t="shared" si="225"/>
        <v>1</v>
      </c>
      <c r="P255" s="11">
        <f t="shared" si="225"/>
        <v>1</v>
      </c>
      <c r="Q255" s="11">
        <f t="shared" si="225"/>
        <v>1</v>
      </c>
      <c r="R255" s="11">
        <f t="shared" si="225"/>
        <v>1</v>
      </c>
      <c r="S255" s="11">
        <f t="shared" si="225"/>
        <v>1</v>
      </c>
      <c r="T255" s="11">
        <f t="shared" si="225"/>
        <v>1</v>
      </c>
      <c r="U255" s="11">
        <f t="shared" si="225"/>
        <v>1</v>
      </c>
      <c r="V255" s="11">
        <f t="shared" si="225"/>
        <v>1</v>
      </c>
      <c r="W255" s="11">
        <f t="shared" si="225"/>
        <v>1</v>
      </c>
      <c r="X255" s="11">
        <f t="shared" si="225"/>
        <v>1</v>
      </c>
      <c r="Y255" s="11">
        <f t="shared" si="225"/>
        <v>1</v>
      </c>
      <c r="Z255" s="11">
        <f t="shared" si="225"/>
        <v>1</v>
      </c>
      <c r="AA255" s="11">
        <f t="shared" si="225"/>
        <v>1</v>
      </c>
      <c r="AB255" s="11">
        <f t="shared" si="225"/>
        <v>1</v>
      </c>
      <c r="AC255" s="11">
        <f t="shared" si="225"/>
        <v>1</v>
      </c>
      <c r="AD255" s="11">
        <f t="shared" si="225"/>
        <v>1</v>
      </c>
      <c r="AE255" s="11">
        <f t="shared" si="225"/>
        <v>1</v>
      </c>
      <c r="AF255" s="11">
        <f t="shared" si="225"/>
        <v>1</v>
      </c>
      <c r="AG255" s="11"/>
      <c r="AH255" s="11"/>
    </row>
    <row r="256" spans="2:34">
      <c r="B256" s="188" t="s">
        <v>173</v>
      </c>
      <c r="C256" s="189"/>
      <c r="D256" s="11" t="e">
        <f t="shared" si="226"/>
        <v>#DIV/0!</v>
      </c>
      <c r="E256" s="11">
        <f t="shared" si="226"/>
        <v>1</v>
      </c>
      <c r="F256" s="11">
        <f t="shared" si="225"/>
        <v>1</v>
      </c>
      <c r="G256" s="11">
        <f t="shared" si="225"/>
        <v>1</v>
      </c>
      <c r="H256" s="11">
        <f t="shared" si="225"/>
        <v>1</v>
      </c>
      <c r="I256" s="11">
        <f t="shared" si="225"/>
        <v>1</v>
      </c>
      <c r="J256" s="11">
        <f t="shared" si="225"/>
        <v>1</v>
      </c>
      <c r="K256" s="11">
        <f t="shared" si="225"/>
        <v>1</v>
      </c>
      <c r="L256" s="11">
        <f t="shared" si="225"/>
        <v>1</v>
      </c>
      <c r="M256" s="11">
        <f t="shared" si="225"/>
        <v>1</v>
      </c>
      <c r="N256" s="11">
        <f t="shared" si="225"/>
        <v>1</v>
      </c>
      <c r="O256" s="11">
        <f t="shared" si="225"/>
        <v>1</v>
      </c>
      <c r="P256" s="11">
        <f t="shared" si="225"/>
        <v>1</v>
      </c>
      <c r="Q256" s="11">
        <f t="shared" si="225"/>
        <v>1</v>
      </c>
      <c r="R256" s="11">
        <f t="shared" si="225"/>
        <v>1</v>
      </c>
      <c r="S256" s="11">
        <f t="shared" si="225"/>
        <v>1</v>
      </c>
      <c r="T256" s="11">
        <f t="shared" si="225"/>
        <v>1</v>
      </c>
      <c r="U256" s="11">
        <f t="shared" si="225"/>
        <v>1</v>
      </c>
      <c r="V256" s="11">
        <f t="shared" si="225"/>
        <v>1</v>
      </c>
      <c r="W256" s="11">
        <f t="shared" si="225"/>
        <v>1</v>
      </c>
      <c r="X256" s="11">
        <f t="shared" si="225"/>
        <v>1</v>
      </c>
      <c r="Y256" s="11">
        <f t="shared" si="225"/>
        <v>1</v>
      </c>
      <c r="Z256" s="11">
        <f t="shared" si="225"/>
        <v>1</v>
      </c>
      <c r="AA256" s="11">
        <f t="shared" si="225"/>
        <v>1</v>
      </c>
      <c r="AB256" s="11">
        <f t="shared" si="225"/>
        <v>1</v>
      </c>
      <c r="AC256" s="11">
        <f t="shared" si="225"/>
        <v>1</v>
      </c>
      <c r="AD256" s="11">
        <f t="shared" si="225"/>
        <v>1</v>
      </c>
      <c r="AE256" s="11">
        <f t="shared" si="225"/>
        <v>1</v>
      </c>
      <c r="AF256" s="11">
        <f t="shared" ref="AF256" si="227">VLOOKUP($B256,$B$193:$AH$235,AF$147,FALSE)</f>
        <v>1</v>
      </c>
      <c r="AG256" s="11"/>
      <c r="AH256" s="11"/>
    </row>
    <row r="257" spans="2:34">
      <c r="B257" s="25"/>
      <c r="C257" s="155"/>
      <c r="E257" s="13"/>
      <c r="F257" s="13"/>
    </row>
    <row r="258" spans="2:34">
      <c r="B258" s="154" t="s">
        <v>51</v>
      </c>
      <c r="C258" s="155"/>
      <c r="D258" s="31" t="s">
        <v>200</v>
      </c>
    </row>
    <row r="259" spans="2:34">
      <c r="B259" s="48" t="str">
        <f t="shared" ref="B259:B268" si="228">B247</f>
        <v>Revenues</v>
      </c>
      <c r="C259" s="49" t="s">
        <v>88</v>
      </c>
      <c r="D259" s="41" cm="1">
        <f t="array" aca="1" ref="D259" ca="1">INDIRECT("'" &amp; INDIRECT("Admin!J2") &amp; "'!d40")</f>
        <v>0.48571428571428577</v>
      </c>
    </row>
    <row r="260" spans="2:34">
      <c r="B260" s="48" t="str">
        <f t="shared" si="228"/>
        <v>EBIT / Revenues</v>
      </c>
      <c r="C260" s="49" t="s">
        <v>88</v>
      </c>
      <c r="D260" s="41" cm="1">
        <f t="array" aca="1" ref="D260" ca="1">INDIRECT("'" &amp; INDIRECT("Admin!J2") &amp; "'!d42")</f>
        <v>0.24285714285714288</v>
      </c>
    </row>
    <row r="261" spans="2:34">
      <c r="B261" s="48" t="str">
        <f t="shared" si="228"/>
        <v>EBIT / Tangible Assets</v>
      </c>
      <c r="C261" s="49" t="s">
        <v>88</v>
      </c>
      <c r="D261" s="41" cm="1">
        <f t="array" aca="1" ref="D261" ca="1">INDIRECT("'" &amp; INDIRECT("Admin!J2") &amp; "'!d43")</f>
        <v>0.12142857142857144</v>
      </c>
    </row>
    <row r="262" spans="2:34">
      <c r="B262" s="48" t="str">
        <f t="shared" si="228"/>
        <v>Total Debt / EBITDA</v>
      </c>
      <c r="C262" s="49" t="s">
        <v>88</v>
      </c>
      <c r="D262" s="41" cm="1">
        <f t="array" aca="1" ref="D262" ca="1">INDIRECT("'" &amp; INDIRECT("Admin!J2") &amp; "'!d44")</f>
        <v>0.36428571428571432</v>
      </c>
    </row>
    <row r="263" spans="2:34">
      <c r="B263" s="48" t="str">
        <f t="shared" si="228"/>
        <v>Total Debt / Book Capitalization</v>
      </c>
      <c r="C263" s="49" t="s">
        <v>88</v>
      </c>
      <c r="D263" s="41" cm="1">
        <f t="array" aca="1" ref="D263" ca="1">INDIRECT("'" &amp; INDIRECT("Admin!J2") &amp; "'!d45")</f>
        <v>0.12142857142857144</v>
      </c>
    </row>
    <row r="264" spans="2:34">
      <c r="B264" s="48" t="str">
        <f t="shared" si="228"/>
        <v>(Cash Flow from Operations - Dividends) / Total Debt</v>
      </c>
      <c r="C264" s="49" t="s">
        <v>88</v>
      </c>
      <c r="D264" s="41" cm="1">
        <f t="array" aca="1" ref="D264" ca="1">INDIRECT("'" &amp; INDIRECT("Admin!J2") &amp; "'!d46")</f>
        <v>0.18214285714285716</v>
      </c>
    </row>
    <row r="265" spans="2:34">
      <c r="B265" s="48" t="str">
        <f t="shared" si="228"/>
        <v>EBIT / Interest Expenses</v>
      </c>
      <c r="C265" s="49" t="s">
        <v>88</v>
      </c>
      <c r="D265" s="41" cm="1">
        <f t="array" aca="1" ref="D265" ca="1">INDIRECT("'" &amp; INDIRECT("Admin!J2") &amp; "'!d47")</f>
        <v>0.18214285714285716</v>
      </c>
    </row>
    <row r="266" spans="2:34">
      <c r="B266" s="48" t="str">
        <f t="shared" si="228"/>
        <v>NA</v>
      </c>
      <c r="C266" s="49" t="s">
        <v>88</v>
      </c>
      <c r="D266" s="32">
        <v>0</v>
      </c>
    </row>
    <row r="267" spans="2:34">
      <c r="B267" s="48" t="str">
        <f t="shared" si="228"/>
        <v>NA</v>
      </c>
      <c r="C267" s="49" t="s">
        <v>88</v>
      </c>
      <c r="D267" s="32">
        <v>0</v>
      </c>
    </row>
    <row r="268" spans="2:34" s="15" customFormat="1">
      <c r="B268" s="48" t="str">
        <f t="shared" si="228"/>
        <v>NA</v>
      </c>
      <c r="C268" s="49" t="s">
        <v>88</v>
      </c>
      <c r="D268" s="32">
        <v>0</v>
      </c>
    </row>
    <row r="269" spans="2:34">
      <c r="B269" s="154"/>
      <c r="C269" s="155"/>
    </row>
    <row r="270" spans="2:34">
      <c r="B270" s="154" t="s">
        <v>201</v>
      </c>
      <c r="C270" s="155"/>
      <c r="D270" s="1">
        <f>D$22</f>
        <v>2023</v>
      </c>
      <c r="E270" s="1">
        <f t="shared" ref="E270:AH270" si="229">E$22</f>
        <v>2024</v>
      </c>
      <c r="F270" s="1">
        <f t="shared" si="229"/>
        <v>2025</v>
      </c>
      <c r="G270" s="1">
        <f t="shared" si="229"/>
        <v>2026</v>
      </c>
      <c r="H270" s="1">
        <f t="shared" si="229"/>
        <v>2027</v>
      </c>
      <c r="I270" s="1">
        <f t="shared" si="229"/>
        <v>2028</v>
      </c>
      <c r="J270" s="1">
        <f t="shared" si="229"/>
        <v>2029</v>
      </c>
      <c r="K270" s="1">
        <f t="shared" si="229"/>
        <v>2030</v>
      </c>
      <c r="L270" s="1">
        <f t="shared" si="229"/>
        <v>2031</v>
      </c>
      <c r="M270" s="1">
        <f t="shared" si="229"/>
        <v>2032</v>
      </c>
      <c r="N270" s="1">
        <f t="shared" si="229"/>
        <v>2033</v>
      </c>
      <c r="O270" s="1">
        <f t="shared" si="229"/>
        <v>2034</v>
      </c>
      <c r="P270" s="1">
        <f t="shared" si="229"/>
        <v>2035</v>
      </c>
      <c r="Q270" s="1">
        <f t="shared" si="229"/>
        <v>2036</v>
      </c>
      <c r="R270" s="1">
        <f t="shared" si="229"/>
        <v>2037</v>
      </c>
      <c r="S270" s="1">
        <f t="shared" si="229"/>
        <v>2038</v>
      </c>
      <c r="T270" s="1">
        <f t="shared" si="229"/>
        <v>2039</v>
      </c>
      <c r="U270" s="1">
        <f t="shared" si="229"/>
        <v>2040</v>
      </c>
      <c r="V270" s="1">
        <f t="shared" si="229"/>
        <v>2041</v>
      </c>
      <c r="W270" s="1">
        <f t="shared" si="229"/>
        <v>2042</v>
      </c>
      <c r="X270" s="1">
        <f t="shared" si="229"/>
        <v>2043</v>
      </c>
      <c r="Y270" s="1">
        <f t="shared" si="229"/>
        <v>2044</v>
      </c>
      <c r="Z270" s="1">
        <f t="shared" si="229"/>
        <v>2045</v>
      </c>
      <c r="AA270" s="1">
        <f t="shared" si="229"/>
        <v>2046</v>
      </c>
      <c r="AB270" s="1">
        <f t="shared" si="229"/>
        <v>2047</v>
      </c>
      <c r="AC270" s="1">
        <f t="shared" si="229"/>
        <v>2048</v>
      </c>
      <c r="AD270" s="1">
        <f t="shared" si="229"/>
        <v>2049</v>
      </c>
      <c r="AE270" s="1">
        <f t="shared" si="229"/>
        <v>2050</v>
      </c>
      <c r="AF270" s="1">
        <f t="shared" si="229"/>
        <v>2050</v>
      </c>
      <c r="AG270" s="1">
        <f t="shared" si="229"/>
        <v>0</v>
      </c>
      <c r="AH270" s="1">
        <f t="shared" si="229"/>
        <v>0</v>
      </c>
    </row>
    <row r="271" spans="2:34">
      <c r="B271" s="48" t="str">
        <f>B247</f>
        <v>Revenues</v>
      </c>
      <c r="C271" s="158" t="s">
        <v>202</v>
      </c>
      <c r="D271" s="11">
        <v>0</v>
      </c>
      <c r="E271" s="11">
        <f ca="1">E247-$D247</f>
        <v>-1.1671805074942032E-4</v>
      </c>
      <c r="F271" s="11">
        <f t="shared" ref="F271:AF271" ca="1" si="230">F247-$D247</f>
        <v>-2.2616898864302737E-4</v>
      </c>
      <c r="G271" s="11">
        <f t="shared" ca="1" si="230"/>
        <v>-3.2803751805821069E-4</v>
      </c>
      <c r="H271" s="11">
        <f t="shared" ca="1" si="230"/>
        <v>-3.5157410135666645E-4</v>
      </c>
      <c r="I271" s="11">
        <f t="shared" ca="1" si="230"/>
        <v>-3.6886977463024273E-4</v>
      </c>
      <c r="J271" s="11">
        <f t="shared" ca="1" si="230"/>
        <v>-3.8204052901968932E-4</v>
      </c>
      <c r="K271" s="11">
        <f t="shared" ca="1" si="230"/>
        <v>-3.9214364213036035E-4</v>
      </c>
      <c r="L271" s="11">
        <f t="shared" ca="1" si="230"/>
        <v>-3.9970739116190757E-4</v>
      </c>
      <c r="M271" s="11">
        <f t="shared" ca="1" si="230"/>
        <v>-4.0877847615750085E-4</v>
      </c>
      <c r="N271" s="11">
        <f t="shared" ca="1" si="230"/>
        <v>-4.1551573805020947E-4</v>
      </c>
      <c r="O271" s="11">
        <f t="shared" ca="1" si="230"/>
        <v>-4.1988069203591216E-4</v>
      </c>
      <c r="P271" s="11">
        <f t="shared" ca="1" si="230"/>
        <v>-4.2185424465845944E-4</v>
      </c>
      <c r="Q271" s="11">
        <f t="shared" ca="1" si="230"/>
        <v>-4.2142691309821068E-4</v>
      </c>
      <c r="R271" s="11">
        <f t="shared" ca="1" si="230"/>
        <v>-4.085133386222406E-4</v>
      </c>
      <c r="S271" s="11">
        <f t="shared" ca="1" si="230"/>
        <v>-3.9339223633438891E-4</v>
      </c>
      <c r="T271" s="11">
        <f t="shared" ca="1" si="230"/>
        <v>-3.7668497812226587E-4</v>
      </c>
      <c r="U271" s="11">
        <f t="shared" ca="1" si="230"/>
        <v>-3.587022865346734E-4</v>
      </c>
      <c r="V271" s="11">
        <f t="shared" ca="1" si="230"/>
        <v>-3.3959952277140548E-4</v>
      </c>
      <c r="W271" s="11">
        <f t="shared" ca="1" si="230"/>
        <v>-3.1262951234289904E-4</v>
      </c>
      <c r="X271" s="11">
        <f t="shared" ca="1" si="230"/>
        <v>-2.8484108391324536E-4</v>
      </c>
      <c r="Y271" s="11">
        <f t="shared" ca="1" si="230"/>
        <v>-2.5692228712326237E-4</v>
      </c>
      <c r="Z271" s="11">
        <f t="shared" ca="1" si="230"/>
        <v>-2.2921717331680913E-4</v>
      </c>
      <c r="AA271" s="11">
        <f t="shared" ca="1" si="230"/>
        <v>-2.0189774752044087E-4</v>
      </c>
      <c r="AB271" s="11">
        <f t="shared" ca="1" si="230"/>
        <v>-1.7103157521225487E-4</v>
      </c>
      <c r="AC271" s="11">
        <f t="shared" ca="1" si="230"/>
        <v>-1.4095472274167076E-4</v>
      </c>
      <c r="AD271" s="11">
        <f t="shared" ca="1" si="230"/>
        <v>-1.1255903667017897E-4</v>
      </c>
      <c r="AE271" s="11">
        <f t="shared" ca="1" si="230"/>
        <v>-8.6290410898692826E-5</v>
      </c>
      <c r="AF271" s="11">
        <f t="shared" ca="1" si="230"/>
        <v>-4.3145205449235391E-5</v>
      </c>
      <c r="AG271" s="11"/>
      <c r="AH271" s="11"/>
    </row>
    <row r="272" spans="2:34">
      <c r="B272" s="48" t="str">
        <f t="shared" ref="B272:B277" si="231">B248</f>
        <v>EBIT / Revenues</v>
      </c>
      <c r="C272" s="158" t="s">
        <v>202</v>
      </c>
      <c r="D272" s="11">
        <v>0</v>
      </c>
      <c r="E272" s="11">
        <f t="shared" ref="E272:T277" ca="1" si="232">E248-$D248</f>
        <v>9.5365300269645292E-3</v>
      </c>
      <c r="F272" s="11">
        <f t="shared" ref="F272:AF272" ca="1" si="233">F248-$D248</f>
        <v>1.8511480988516515E-2</v>
      </c>
      <c r="G272" s="11">
        <f t="shared" ca="1" si="233"/>
        <v>2.6882803020540136E-2</v>
      </c>
      <c r="H272" s="11">
        <f t="shared" ca="1" si="233"/>
        <v>2.9383410060905168E-2</v>
      </c>
      <c r="I272" s="11">
        <f t="shared" ca="1" si="233"/>
        <v>3.1354858041797495E-2</v>
      </c>
      <c r="J272" s="11">
        <f t="shared" ca="1" si="233"/>
        <v>3.2956890775050152E-2</v>
      </c>
      <c r="K272" s="11">
        <f t="shared" ca="1" si="233"/>
        <v>3.4269313319855499E-2</v>
      </c>
      <c r="L272" s="11">
        <f t="shared" ca="1" si="233"/>
        <v>3.5331991990377176E-2</v>
      </c>
      <c r="M272" s="11">
        <f t="shared" ca="1" si="233"/>
        <v>3.7178335330526835E-2</v>
      </c>
      <c r="N272" s="11">
        <f t="shared" ca="1" si="233"/>
        <v>3.8779156586509878E-2</v>
      </c>
      <c r="O272" s="11">
        <f t="shared" ca="1" si="233"/>
        <v>4.0098748876527646E-2</v>
      </c>
      <c r="P272" s="11">
        <f t="shared" ca="1" si="233"/>
        <v>4.1119271828582438E-2</v>
      </c>
      <c r="Q272" s="11">
        <f t="shared" ca="1" si="233"/>
        <v>4.1831811659584384E-2</v>
      </c>
      <c r="R272" s="11">
        <f t="shared" ca="1" si="233"/>
        <v>4.2569235856663612E-2</v>
      </c>
      <c r="S272" s="11">
        <f t="shared" ca="1" si="233"/>
        <v>4.2979818213668031E-2</v>
      </c>
      <c r="T272" s="11">
        <f t="shared" ca="1" si="233"/>
        <v>4.3044372388927998E-2</v>
      </c>
      <c r="U272" s="11">
        <f t="shared" ca="1" si="233"/>
        <v>4.2753326976026296E-2</v>
      </c>
      <c r="V272" s="11">
        <f t="shared" ca="1" si="233"/>
        <v>4.2101913399904323E-2</v>
      </c>
      <c r="W272" s="11">
        <f t="shared" ca="1" si="233"/>
        <v>4.1451915649256099E-2</v>
      </c>
      <c r="X272" s="11">
        <f t="shared" ca="1" si="233"/>
        <v>4.0417624534432983E-2</v>
      </c>
      <c r="Y272" s="11">
        <f t="shared" ca="1" si="233"/>
        <v>3.8968067120897398E-2</v>
      </c>
      <c r="Z272" s="11">
        <f t="shared" ca="1" si="233"/>
        <v>3.7087793475354625E-2</v>
      </c>
      <c r="AA272" s="11">
        <f t="shared" ca="1" si="233"/>
        <v>3.4769104924884608E-2</v>
      </c>
      <c r="AB272" s="11">
        <f t="shared" ca="1" si="233"/>
        <v>3.2191022601238961E-2</v>
      </c>
      <c r="AC272" s="11">
        <f t="shared" ca="1" si="233"/>
        <v>2.9145305452842329E-2</v>
      </c>
      <c r="AD272" s="11">
        <f t="shared" ca="1" si="233"/>
        <v>2.5596929772532917E-2</v>
      </c>
      <c r="AE272" s="11">
        <f t="shared" ca="1" si="233"/>
        <v>2.1528412448228895E-2</v>
      </c>
      <c r="AF272" s="11">
        <f t="shared" ca="1" si="233"/>
        <v>1.0763741780186908E-2</v>
      </c>
      <c r="AG272" s="11"/>
      <c r="AH272" s="11"/>
    </row>
    <row r="273" spans="1:34">
      <c r="B273" s="48" t="str">
        <f t="shared" si="231"/>
        <v>EBIT / Tangible Assets</v>
      </c>
      <c r="C273" s="158" t="s">
        <v>202</v>
      </c>
      <c r="D273" s="11">
        <v>0</v>
      </c>
      <c r="E273" s="11">
        <f t="shared" ca="1" si="232"/>
        <v>9.1355908106580674E-3</v>
      </c>
      <c r="F273" s="11">
        <f t="shared" ref="F273:AF273" ca="1" si="234">F249-$D249</f>
        <v>1.7726619997798787E-2</v>
      </c>
      <c r="G273" s="11">
        <f t="shared" ca="1" si="234"/>
        <v>2.573425292779552E-2</v>
      </c>
      <c r="H273" s="11">
        <f t="shared" ca="1" si="234"/>
        <v>2.8131808643705458E-2</v>
      </c>
      <c r="I273" s="11">
        <f t="shared" ca="1" si="234"/>
        <v>3.0023084399306565E-2</v>
      </c>
      <c r="J273" s="11">
        <f t="shared" ca="1" si="234"/>
        <v>3.1560643529570109E-2</v>
      </c>
      <c r="K273" s="11">
        <f t="shared" ca="1" si="234"/>
        <v>3.2820797023303649E-2</v>
      </c>
      <c r="L273" s="11">
        <f t="shared" ca="1" si="234"/>
        <v>3.3841680357795667E-2</v>
      </c>
      <c r="M273" s="11">
        <f t="shared" ca="1" si="234"/>
        <v>3.5619347506033128E-2</v>
      </c>
      <c r="N273" s="11">
        <f t="shared" ca="1" si="234"/>
        <v>3.7161542182078788E-2</v>
      </c>
      <c r="O273" s="11">
        <f t="shared" ca="1" si="234"/>
        <v>3.8433875350516677E-2</v>
      </c>
      <c r="P273" s="11">
        <f t="shared" ca="1" si="234"/>
        <v>3.9419183815657011E-2</v>
      </c>
      <c r="Q273" s="11">
        <f t="shared" ca="1" si="234"/>
        <v>4.0108915454396099E-2</v>
      </c>
      <c r="R273" s="11">
        <f t="shared" ca="1" si="234"/>
        <v>4.0835300271102382E-2</v>
      </c>
      <c r="S273" s="11">
        <f t="shared" ca="1" si="234"/>
        <v>4.1247722572788748E-2</v>
      </c>
      <c r="T273" s="11">
        <f t="shared" ca="1" si="234"/>
        <v>4.1327019718382596E-2</v>
      </c>
      <c r="U273" s="11">
        <f t="shared" ca="1" si="234"/>
        <v>4.1063607698963445E-2</v>
      </c>
      <c r="V273" s="11">
        <f t="shared" ca="1" si="234"/>
        <v>4.045268040137362E-2</v>
      </c>
      <c r="W273" s="11">
        <f t="shared" ca="1" si="234"/>
        <v>3.985101869189589E-2</v>
      </c>
      <c r="X273" s="11">
        <f t="shared" ca="1" si="234"/>
        <v>3.8878278330567007E-2</v>
      </c>
      <c r="Y273" s="11">
        <f t="shared" ca="1" si="234"/>
        <v>3.7503707891187954E-2</v>
      </c>
      <c r="Z273" s="11">
        <f t="shared" ca="1" si="234"/>
        <v>3.5711873479563394E-2</v>
      </c>
      <c r="AA273" s="11">
        <f t="shared" ca="1" si="234"/>
        <v>3.3494979336726072E-2</v>
      </c>
      <c r="AB273" s="11">
        <f t="shared" ca="1" si="234"/>
        <v>3.1030078708606856E-2</v>
      </c>
      <c r="AC273" s="11">
        <f t="shared" ca="1" si="234"/>
        <v>2.811101965104279E-2</v>
      </c>
      <c r="AD273" s="11">
        <f t="shared" ca="1" si="234"/>
        <v>2.4702720056427818E-2</v>
      </c>
      <c r="AE273" s="11">
        <f t="shared" ca="1" si="234"/>
        <v>2.0787468846203527E-2</v>
      </c>
      <c r="AF273" s="11">
        <f t="shared" ca="1" si="234"/>
        <v>1.0396752335246395E-2</v>
      </c>
      <c r="AG273" s="11"/>
      <c r="AH273" s="11"/>
    </row>
    <row r="274" spans="1:34">
      <c r="B274" s="48" t="str">
        <f t="shared" si="231"/>
        <v>Total Debt / EBITDA</v>
      </c>
      <c r="C274" s="158" t="s">
        <v>203</v>
      </c>
      <c r="D274" s="11">
        <v>0</v>
      </c>
      <c r="E274" s="11">
        <f ca="1">IF((E250-$D250)&lt;-2, -2, IF((E250-$D250)&gt;2,2,(E250-$D250)))</f>
        <v>-8.5127695124176395E-3</v>
      </c>
      <c r="F274" s="11">
        <f t="shared" ref="F274:AF274" ca="1" si="235">IF((F250-$D250)&lt;-2, -2, IF((F250-$D250)&gt;2,2,(F250-$D250)))</f>
        <v>-1.639568393103441E-2</v>
      </c>
      <c r="G274" s="11">
        <f t="shared" ca="1" si="235"/>
        <v>-2.363829942380502E-2</v>
      </c>
      <c r="H274" s="11">
        <f t="shared" ca="1" si="235"/>
        <v>-2.5787770031798884E-2</v>
      </c>
      <c r="I274" s="11">
        <f t="shared" ca="1" si="235"/>
        <v>-2.7476856758397727E-2</v>
      </c>
      <c r="J274" s="11">
        <f t="shared" ca="1" si="235"/>
        <v>-2.8846004081200749E-2</v>
      </c>
      <c r="K274" s="11">
        <f t="shared" ca="1" si="235"/>
        <v>-2.9965443447087403E-2</v>
      </c>
      <c r="L274" s="11">
        <f t="shared" ca="1" si="235"/>
        <v>-3.087056299021762E-2</v>
      </c>
      <c r="M274" s="11">
        <f t="shared" ca="1" si="235"/>
        <v>-3.2442809431329267E-2</v>
      </c>
      <c r="N274" s="11">
        <f t="shared" ca="1" si="235"/>
        <v>-3.3802990793166066E-2</v>
      </c>
      <c r="O274" s="11">
        <f t="shared" ca="1" si="235"/>
        <v>-3.4922475635443373E-2</v>
      </c>
      <c r="P274" s="11">
        <f t="shared" ca="1" si="235"/>
        <v>-3.5787756392612224E-2</v>
      </c>
      <c r="Q274" s="11">
        <f t="shared" ca="1" si="235"/>
        <v>-3.6392610043709972E-2</v>
      </c>
      <c r="R274" s="11">
        <f t="shared" ca="1" si="235"/>
        <v>-3.7028817381502543E-2</v>
      </c>
      <c r="S274" s="11">
        <f t="shared" ca="1" si="235"/>
        <v>-3.738971129267088E-2</v>
      </c>
      <c r="T274" s="11">
        <f t="shared" ca="1" si="235"/>
        <v>-3.7459089551201696E-2</v>
      </c>
      <c r="U274" s="11">
        <f t="shared" ca="1" si="235"/>
        <v>-3.7228683628074521E-2</v>
      </c>
      <c r="V274" s="11">
        <f t="shared" ca="1" si="235"/>
        <v>-3.6693880847247673E-2</v>
      </c>
      <c r="W274" s="11">
        <f t="shared" ca="1" si="235"/>
        <v>-3.6166623288166666E-2</v>
      </c>
      <c r="X274" s="11">
        <f t="shared" ca="1" si="235"/>
        <v>-3.531305864423484E-2</v>
      </c>
      <c r="Y274" s="11">
        <f t="shared" ca="1" si="235"/>
        <v>-3.4104473493863696E-2</v>
      </c>
      <c r="Z274" s="11">
        <f t="shared" ca="1" si="235"/>
        <v>-3.2524745868741101E-2</v>
      </c>
      <c r="AA274" s="11">
        <f t="shared" ca="1" si="235"/>
        <v>-3.0563568388029538E-2</v>
      </c>
      <c r="AB274" s="11">
        <f t="shared" ca="1" si="235"/>
        <v>-2.837422820591895E-2</v>
      </c>
      <c r="AC274" s="11">
        <f t="shared" ca="1" si="235"/>
        <v>-2.5769519280396835E-2</v>
      </c>
      <c r="AD274" s="11">
        <f t="shared" ca="1" si="235"/>
        <v>-2.2711671883215434E-2</v>
      </c>
      <c r="AE274" s="11">
        <f t="shared" ca="1" si="235"/>
        <v>-1.9176754258813489E-2</v>
      </c>
      <c r="AF274" s="11">
        <f t="shared" ca="1" si="235"/>
        <v>-9.6786600266186573E-3</v>
      </c>
      <c r="AG274" s="11"/>
      <c r="AH274" s="11"/>
    </row>
    <row r="275" spans="1:34">
      <c r="B275" s="48" t="str">
        <f t="shared" si="231"/>
        <v>Total Debt / Book Capitalization</v>
      </c>
      <c r="C275" s="158" t="s">
        <v>203</v>
      </c>
      <c r="D275" s="11">
        <v>0</v>
      </c>
      <c r="E275" s="11">
        <f t="shared" ca="1" si="232"/>
        <v>-5.3825508851446102E-4</v>
      </c>
      <c r="F275" s="11">
        <f t="shared" ca="1" si="232"/>
        <v>-1.0450696032592299E-3</v>
      </c>
      <c r="G275" s="11">
        <f t="shared" ca="1" si="232"/>
        <v>-1.5174736948313505E-3</v>
      </c>
      <c r="H275" s="11">
        <f t="shared" ca="1" si="232"/>
        <v>-1.6592997057957026E-3</v>
      </c>
      <c r="I275" s="11">
        <f t="shared" ca="1" si="232"/>
        <v>-1.7709005877527551E-3</v>
      </c>
      <c r="J275" s="11">
        <f t="shared" ca="1" si="232"/>
        <v>-1.8616248396756685E-3</v>
      </c>
      <c r="K275" s="11">
        <f t="shared" ca="1" si="232"/>
        <v>-1.9359797817128932E-3</v>
      </c>
      <c r="L275" s="11">
        <f t="shared" ca="1" si="232"/>
        <v>-1.9962176948610244E-3</v>
      </c>
      <c r="M275" s="11">
        <f t="shared" ca="1" si="232"/>
        <v>-2.1010271862994534E-3</v>
      </c>
      <c r="N275" s="11">
        <f t="shared" ca="1" si="232"/>
        <v>-2.1920164236056694E-3</v>
      </c>
      <c r="O275" s="11">
        <f t="shared" ca="1" si="232"/>
        <v>-2.2670892934542053E-3</v>
      </c>
      <c r="P275" s="11">
        <f t="shared" ca="1" si="232"/>
        <v>-2.325232055771731E-3</v>
      </c>
      <c r="Q275" s="11">
        <f t="shared" ca="1" si="232"/>
        <v>-2.3659396178883352E-3</v>
      </c>
      <c r="R275" s="11">
        <f t="shared" ca="1" si="232"/>
        <v>-2.4087858305654741E-3</v>
      </c>
      <c r="S275" s="11">
        <f t="shared" ca="1" si="232"/>
        <v>-2.433136441337469E-3</v>
      </c>
      <c r="T275" s="11">
        <f t="shared" ca="1" si="232"/>
        <v>-2.4378376875665575E-3</v>
      </c>
      <c r="U275" s="11">
        <f t="shared" ref="F275:AF277" ca="1" si="236">U251-$D251</f>
        <v>-2.4223235113647323E-3</v>
      </c>
      <c r="V275" s="11">
        <f t="shared" ca="1" si="236"/>
        <v>-2.3863100650693969E-3</v>
      </c>
      <c r="W275" s="11">
        <f t="shared" ca="1" si="236"/>
        <v>-2.3508179612743429E-3</v>
      </c>
      <c r="X275" s="11">
        <f t="shared" ca="1" si="236"/>
        <v>-2.293463125801587E-3</v>
      </c>
      <c r="Y275" s="11">
        <f t="shared" ca="1" si="236"/>
        <v>-2.2124069035123206E-3</v>
      </c>
      <c r="Z275" s="11">
        <f t="shared" ca="1" si="236"/>
        <v>-2.106737749279719E-3</v>
      </c>
      <c r="AA275" s="11">
        <f t="shared" ca="1" si="236"/>
        <v>-1.9759952557680815E-3</v>
      </c>
      <c r="AB275" s="11">
        <f t="shared" ca="1" si="236"/>
        <v>-1.8306105645323756E-3</v>
      </c>
      <c r="AC275" s="11">
        <f t="shared" ca="1" si="236"/>
        <v>-1.6584500327898599E-3</v>
      </c>
      <c r="AD275" s="11">
        <f t="shared" ca="1" si="236"/>
        <v>-1.4574321351655817E-3</v>
      </c>
      <c r="AE275" s="11">
        <f t="shared" ca="1" si="236"/>
        <v>-1.226510866776831E-3</v>
      </c>
      <c r="AF275" s="11">
        <f t="shared" ca="1" si="236"/>
        <v>-6.1402951099565062E-4</v>
      </c>
      <c r="AG275" s="11"/>
      <c r="AH275" s="11"/>
    </row>
    <row r="276" spans="1:34">
      <c r="B276" s="48" t="str">
        <f t="shared" si="231"/>
        <v>(Cash Flow from Operations - Dividends) / Total Debt</v>
      </c>
      <c r="C276" s="158" t="s">
        <v>202</v>
      </c>
      <c r="D276" s="11">
        <v>0</v>
      </c>
      <c r="E276" s="11">
        <f t="shared" ca="1" si="232"/>
        <v>8.8112986060722154E-3</v>
      </c>
      <c r="F276" s="11">
        <f t="shared" ca="1" si="236"/>
        <v>1.7113638282127752E-2</v>
      </c>
      <c r="G276" s="11">
        <f t="shared" ca="1" si="236"/>
        <v>2.4859847710327898E-2</v>
      </c>
      <c r="H276" s="11">
        <f t="shared" ca="1" si="236"/>
        <v>2.7185100238100723E-2</v>
      </c>
      <c r="I276" s="11">
        <f t="shared" ca="1" si="236"/>
        <v>2.9016536035738394E-2</v>
      </c>
      <c r="J276" s="11">
        <f t="shared" ca="1" si="236"/>
        <v>3.0505696193731113E-2</v>
      </c>
      <c r="K276" s="11">
        <f t="shared" ca="1" si="236"/>
        <v>3.1726374208704833E-2</v>
      </c>
      <c r="L276" s="11">
        <f t="shared" ca="1" si="236"/>
        <v>3.2715422960184481E-2</v>
      </c>
      <c r="M276" s="11">
        <f t="shared" ca="1" si="236"/>
        <v>3.4436959017031255E-2</v>
      </c>
      <c r="N276" s="11">
        <f t="shared" ca="1" si="236"/>
        <v>3.5931496608860414E-2</v>
      </c>
      <c r="O276" s="11">
        <f t="shared" ca="1" si="236"/>
        <v>3.7164781385079504E-2</v>
      </c>
      <c r="P276" s="11">
        <f t="shared" ca="1" si="236"/>
        <v>3.8120043349054056E-2</v>
      </c>
      <c r="Q276" s="11">
        <f t="shared" ca="1" si="236"/>
        <v>3.8788887615848866E-2</v>
      </c>
      <c r="R276" s="11">
        <f t="shared" ca="1" si="236"/>
        <v>3.9493042587958049E-2</v>
      </c>
      <c r="S276" s="11">
        <f t="shared" ca="1" si="236"/>
        <v>3.9893150586487236E-2</v>
      </c>
      <c r="T276" s="11">
        <f t="shared" ca="1" si="236"/>
        <v>3.9970311154673421E-2</v>
      </c>
      <c r="U276" s="11">
        <f t="shared" ca="1" si="236"/>
        <v>3.9715215038121032E-2</v>
      </c>
      <c r="V276" s="11">
        <f t="shared" ca="1" si="236"/>
        <v>3.9123230001096632E-2</v>
      </c>
      <c r="W276" s="11">
        <f t="shared" ca="1" si="236"/>
        <v>3.8539970559539283E-2</v>
      </c>
      <c r="X276" s="11">
        <f t="shared" ca="1" si="236"/>
        <v>3.7597392761504311E-2</v>
      </c>
      <c r="Y276" s="11">
        <f t="shared" ca="1" si="236"/>
        <v>3.6265527260570307E-2</v>
      </c>
      <c r="Z276" s="11">
        <f t="shared" ca="1" si="236"/>
        <v>3.4529596821902153E-2</v>
      </c>
      <c r="AA276" s="11">
        <f t="shared" ca="1" si="236"/>
        <v>3.238230051728741E-2</v>
      </c>
      <c r="AB276" s="11">
        <f t="shared" ca="1" si="236"/>
        <v>2.9995256158996231E-2</v>
      </c>
      <c r="AC276" s="11">
        <f t="shared" ca="1" si="236"/>
        <v>2.7169431461567806E-2</v>
      </c>
      <c r="AD276" s="11">
        <f t="shared" ca="1" si="236"/>
        <v>2.3871191369189582E-2</v>
      </c>
      <c r="AE276" s="11">
        <f t="shared" ca="1" si="236"/>
        <v>2.0083962376085562E-2</v>
      </c>
      <c r="AF276" s="11">
        <f t="shared" ca="1" si="236"/>
        <v>1.0045767647514081E-2</v>
      </c>
      <c r="AG276" s="11"/>
      <c r="AH276" s="11"/>
    </row>
    <row r="277" spans="1:34">
      <c r="B277" s="48" t="str">
        <f t="shared" si="231"/>
        <v>EBIT / Interest Expenses</v>
      </c>
      <c r="C277" s="158" t="s">
        <v>202</v>
      </c>
      <c r="D277" s="11">
        <v>0</v>
      </c>
      <c r="E277" s="11">
        <f t="shared" ca="1" si="232"/>
        <v>9.418698891019428E-3</v>
      </c>
      <c r="F277" s="11">
        <f t="shared" ca="1" si="236"/>
        <v>1.854376794927326E-2</v>
      </c>
      <c r="G277" s="11">
        <f t="shared" ca="1" si="236"/>
        <v>2.7060290534705267E-2</v>
      </c>
      <c r="H277" s="11">
        <f t="shared" ca="1" si="236"/>
        <v>2.9770503723850927E-2</v>
      </c>
      <c r="I277" s="11">
        <f t="shared" ca="1" si="236"/>
        <v>3.179509433315908E-2</v>
      </c>
      <c r="J277" s="11">
        <f t="shared" ca="1" si="236"/>
        <v>3.343957493390004E-2</v>
      </c>
      <c r="K277" s="11">
        <f t="shared" ca="1" si="236"/>
        <v>3.478723849683707E-2</v>
      </c>
      <c r="L277" s="11">
        <f t="shared" ca="1" si="236"/>
        <v>3.5879606271991049E-2</v>
      </c>
      <c r="M277" s="11">
        <f t="shared" ca="1" si="236"/>
        <v>3.774753742403214E-2</v>
      </c>
      <c r="N277" s="11">
        <f t="shared" ca="1" si="236"/>
        <v>3.9394567938872971E-2</v>
      </c>
      <c r="O277" s="11">
        <f t="shared" ca="1" si="236"/>
        <v>4.0755898793488621E-2</v>
      </c>
      <c r="P277" s="11">
        <f t="shared" ca="1" si="236"/>
        <v>4.1812594666500669E-2</v>
      </c>
      <c r="Q277" s="11">
        <f t="shared" ca="1" si="236"/>
        <v>4.2555187520146198E-2</v>
      </c>
      <c r="R277" s="11">
        <f t="shared" ca="1" si="236"/>
        <v>4.3327015578022543E-2</v>
      </c>
      <c r="S277" s="11">
        <f t="shared" ca="1" si="236"/>
        <v>4.3775181851443579E-2</v>
      </c>
      <c r="T277" s="11">
        <f t="shared" ca="1" si="236"/>
        <v>4.386945066017045E-2</v>
      </c>
      <c r="U277" s="11">
        <f t="shared" ca="1" si="236"/>
        <v>4.3599306919243963E-2</v>
      </c>
      <c r="V277" s="11">
        <f t="shared" ca="1" si="236"/>
        <v>4.2959516959043764E-2</v>
      </c>
      <c r="W277" s="11">
        <f t="shared" ca="1" si="236"/>
        <v>4.2319060848386325E-2</v>
      </c>
      <c r="X277" s="11">
        <f t="shared" ca="1" si="236"/>
        <v>4.1295088820395121E-2</v>
      </c>
      <c r="Y277" s="11">
        <f t="shared" ca="1" si="236"/>
        <v>3.9844683115802582E-2</v>
      </c>
      <c r="Z277" s="11">
        <f t="shared" ca="1" si="236"/>
        <v>3.795115418252748E-2</v>
      </c>
      <c r="AA277" s="11">
        <f t="shared" ca="1" si="236"/>
        <v>3.5606250214002655E-2</v>
      </c>
      <c r="AB277" s="11">
        <f t="shared" ca="1" si="236"/>
        <v>3.2993087864915394E-2</v>
      </c>
      <c r="AC277" s="11">
        <f t="shared" ca="1" si="236"/>
        <v>2.990406437902271E-2</v>
      </c>
      <c r="AD277" s="11">
        <f t="shared" ca="1" si="236"/>
        <v>2.6297370339622317E-2</v>
      </c>
      <c r="AE277" s="11">
        <f t="shared" ca="1" si="236"/>
        <v>2.2154284309949812E-2</v>
      </c>
      <c r="AF277" s="11">
        <f t="shared" ca="1" si="236"/>
        <v>1.131457615594389E-2</v>
      </c>
      <c r="AG277" s="11"/>
      <c r="AH277" s="11"/>
    </row>
    <row r="278" spans="1:34">
      <c r="B278" s="170" t="s">
        <v>32</v>
      </c>
      <c r="C278" s="158"/>
      <c r="D278" s="4">
        <f ca="1">MIN($C$244*EXP(SUMPRODUCT($D$259:$D$265,D271:D277)),100%)</f>
        <v>1.0000000000000001E-5</v>
      </c>
      <c r="E278" s="4">
        <f t="shared" ref="E278:AF278" ca="1" si="237">MIN($C$244*EXP(SUMPRODUCT($D$259:$D$265,E271:E277)),100%)</f>
        <v>1.003528880401474E-5</v>
      </c>
      <c r="F278" s="4">
        <f ca="1">MIN($C$244*EXP(SUMPRODUCT($D$259:$D$265,F271:F277)),100%)</f>
        <v>1.0069575290479918E-5</v>
      </c>
      <c r="G278" s="172">
        <f t="shared" ca="1" si="237"/>
        <v>1.0102074892595486E-5</v>
      </c>
      <c r="H278" s="172">
        <f t="shared" ca="1" si="237"/>
        <v>1.0112221669536646E-5</v>
      </c>
      <c r="I278" s="172">
        <f t="shared" ca="1" si="237"/>
        <v>1.0120046704784811E-5</v>
      </c>
      <c r="J278" s="172">
        <f t="shared" ca="1" si="237"/>
        <v>1.012642803334539E-5</v>
      </c>
      <c r="K278" s="172">
        <f t="shared" ca="1" si="237"/>
        <v>1.0131673089502217E-5</v>
      </c>
      <c r="L278" s="172">
        <f t="shared" ca="1" si="237"/>
        <v>1.0135933828048954E-5</v>
      </c>
      <c r="M278" s="172">
        <f t="shared" ca="1" si="237"/>
        <v>1.014331723254349E-5</v>
      </c>
      <c r="N278" s="172">
        <f t="shared" ca="1" si="237"/>
        <v>1.0149795157524844E-5</v>
      </c>
      <c r="O278" s="172">
        <f t="shared" ca="1" si="237"/>
        <v>1.0155160866592664E-5</v>
      </c>
      <c r="P278" s="172">
        <f t="shared" ca="1" si="237"/>
        <v>1.0159332665578851E-5</v>
      </c>
      <c r="Q278" s="172">
        <f t="shared" ca="1" si="237"/>
        <v>1.01622671722509E-5</v>
      </c>
      <c r="R278" s="172">
        <f t="shared" ca="1" si="237"/>
        <v>1.0165371616124537E-5</v>
      </c>
      <c r="S278" s="172">
        <f t="shared" ca="1" si="237"/>
        <v>1.0167173272633017E-5</v>
      </c>
      <c r="T278" s="172">
        <f t="shared" ca="1" si="237"/>
        <v>1.0167567782857822E-5</v>
      </c>
      <c r="U278" s="172">
        <f t="shared" ca="1" si="237"/>
        <v>1.0166512596692049E-5</v>
      </c>
      <c r="V278" s="172">
        <f t="shared" ca="1" si="237"/>
        <v>1.0163988860486971E-5</v>
      </c>
      <c r="W278" s="172">
        <f t="shared" ca="1" si="237"/>
        <v>1.0161505850360214E-5</v>
      </c>
      <c r="X278" s="172">
        <f t="shared" ca="1" si="237"/>
        <v>1.0157481742957123E-5</v>
      </c>
      <c r="Y278" s="172">
        <f t="shared" ca="1" si="237"/>
        <v>1.0151774386000768E-5</v>
      </c>
      <c r="Z278" s="172">
        <f t="shared" ca="1" si="237"/>
        <v>1.0144330407849809E-5</v>
      </c>
      <c r="AA278" s="172">
        <f t="shared" ca="1" si="237"/>
        <v>1.0135134154875748E-5</v>
      </c>
      <c r="AB278" s="172">
        <f t="shared" ca="1" si="237"/>
        <v>1.0124943583229531E-5</v>
      </c>
      <c r="AC278" s="172">
        <f t="shared" ca="1" si="237"/>
        <v>1.0112931328539229E-5</v>
      </c>
      <c r="AD278" s="172">
        <f t="shared" ca="1" si="237"/>
        <v>1.0098973331671724E-5</v>
      </c>
      <c r="AE278" s="172">
        <f t="shared" ca="1" si="237"/>
        <v>1.0083035374528869E-5</v>
      </c>
      <c r="AF278" s="172">
        <f t="shared" ca="1" si="237"/>
        <v>1.0041544397164627E-5</v>
      </c>
      <c r="AG278" s="11"/>
      <c r="AH278" s="11"/>
    </row>
    <row r="279" spans="1:34">
      <c r="B279" s="48"/>
      <c r="C279" s="158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  <c r="AG279" s="11"/>
      <c r="AH279" s="11"/>
    </row>
    <row r="280" spans="1:34">
      <c r="B280" s="48" t="s">
        <v>138</v>
      </c>
      <c r="C280" s="158"/>
      <c r="D280" s="45">
        <f ca="1">D156</f>
        <v>0.2576169110430373</v>
      </c>
      <c r="E280" s="45">
        <f t="shared" ref="E280:AF280" ca="1" si="238">E156</f>
        <v>0.2600736824506531</v>
      </c>
      <c r="F280" s="45">
        <f t="shared" ca="1" si="238"/>
        <v>0.26238578159413084</v>
      </c>
      <c r="G280" s="45">
        <f t="shared" ca="1" si="238"/>
        <v>0.26454237571736727</v>
      </c>
      <c r="H280" s="45">
        <f t="shared" ca="1" si="238"/>
        <v>0.26518657437883858</v>
      </c>
      <c r="I280" s="45">
        <f t="shared" ca="1" si="238"/>
        <v>0.26569445271795811</v>
      </c>
      <c r="J280" s="45">
        <f t="shared" ca="1" si="238"/>
        <v>0.26610716344208851</v>
      </c>
      <c r="K280" s="45">
        <f t="shared" ca="1" si="238"/>
        <v>0.26644526568406451</v>
      </c>
      <c r="L280" s="45">
        <f t="shared" ca="1" si="238"/>
        <v>0.26671902968059563</v>
      </c>
      <c r="M280" s="45">
        <f t="shared" ca="1" si="238"/>
        <v>0.26719467894860982</v>
      </c>
      <c r="N280" s="45">
        <f t="shared" ca="1" si="238"/>
        <v>0.26760707757570823</v>
      </c>
      <c r="O280" s="45">
        <f t="shared" ca="1" si="238"/>
        <v>0.26794702686529881</v>
      </c>
      <c r="P280" s="45">
        <f t="shared" ca="1" si="238"/>
        <v>0.2682099308358557</v>
      </c>
      <c r="Q280" s="45">
        <f t="shared" ca="1" si="238"/>
        <v>0.26839349314611355</v>
      </c>
      <c r="R280" s="45">
        <f t="shared" ca="1" si="238"/>
        <v>0.26858346608989347</v>
      </c>
      <c r="S280" s="45">
        <f t="shared" ca="1" si="238"/>
        <v>0.26868923904843373</v>
      </c>
      <c r="T280" s="45">
        <f t="shared" ca="1" si="238"/>
        <v>0.26870586929565915</v>
      </c>
      <c r="U280" s="45">
        <f t="shared" ca="1" si="238"/>
        <v>0.26863089107541416</v>
      </c>
      <c r="V280" s="45">
        <f t="shared" ca="1" si="238"/>
        <v>0.2684630759221221</v>
      </c>
      <c r="W280" s="45">
        <f t="shared" ca="1" si="238"/>
        <v>0.26829562550941521</v>
      </c>
      <c r="X280" s="45">
        <f t="shared" ca="1" si="238"/>
        <v>0.2680291746272952</v>
      </c>
      <c r="Y280" s="45">
        <f t="shared" ca="1" si="238"/>
        <v>0.26765574412404064</v>
      </c>
      <c r="Z280" s="45">
        <f t="shared" ca="1" si="238"/>
        <v>0.26717135383556029</v>
      </c>
      <c r="AA280" s="45">
        <f t="shared" ca="1" si="238"/>
        <v>0.2665740204535173</v>
      </c>
      <c r="AB280" s="45">
        <f t="shared" ca="1" si="238"/>
        <v>0.26590986284888507</v>
      </c>
      <c r="AC280" s="45">
        <f t="shared" ca="1" si="238"/>
        <v>0.26512523460520432</v>
      </c>
      <c r="AD280" s="45">
        <f t="shared" ca="1" si="238"/>
        <v>0.26421111302322281</v>
      </c>
      <c r="AE280" s="45">
        <f t="shared" ca="1" si="238"/>
        <v>0.26316299415761052</v>
      </c>
      <c r="AF280" s="45">
        <f t="shared" ca="1" si="238"/>
        <v>0.26038983295171392</v>
      </c>
      <c r="AG280" s="11"/>
      <c r="AH280" s="11"/>
    </row>
    <row r="281" spans="1:34">
      <c r="A281" s="15"/>
      <c r="B281" s="48" t="s">
        <v>156</v>
      </c>
      <c r="C281" s="158"/>
      <c r="D281" s="45">
        <f ca="1">D174</f>
        <v>0.21078899504347989</v>
      </c>
      <c r="E281" s="45">
        <f t="shared" ref="E281:AF281" ca="1" si="239">E174</f>
        <v>0.21271467704958696</v>
      </c>
      <c r="F281" s="45">
        <f t="shared" ca="1" si="239"/>
        <v>0.21452557145833356</v>
      </c>
      <c r="G281" s="45">
        <f t="shared" ca="1" si="239"/>
        <v>0.21621349235632464</v>
      </c>
      <c r="H281" s="45">
        <f t="shared" ca="1" si="239"/>
        <v>0.21671887071624205</v>
      </c>
      <c r="I281" s="45">
        <f t="shared" ca="1" si="239"/>
        <v>0.2171175308321153</v>
      </c>
      <c r="J281" s="45">
        <f t="shared" ca="1" si="239"/>
        <v>0.2174416313760035</v>
      </c>
      <c r="K281" s="45">
        <f t="shared" ca="1" si="239"/>
        <v>0.21770725786454809</v>
      </c>
      <c r="L281" s="45">
        <f t="shared" ca="1" si="239"/>
        <v>0.21792244883668233</v>
      </c>
      <c r="M281" s="45">
        <f t="shared" ca="1" si="239"/>
        <v>0.21829716150838108</v>
      </c>
      <c r="N281" s="45">
        <f t="shared" ca="1" si="239"/>
        <v>0.21862223917430618</v>
      </c>
      <c r="O281" s="45">
        <f t="shared" ca="1" si="239"/>
        <v>0.21889043300424166</v>
      </c>
      <c r="P281" s="45">
        <f t="shared" ca="1" si="239"/>
        <v>0.21909812518541644</v>
      </c>
      <c r="Q281" s="45">
        <f t="shared" ca="1" si="239"/>
        <v>0.21924351302439596</v>
      </c>
      <c r="R281" s="45">
        <f t="shared" ca="1" si="239"/>
        <v>0.21939662694992429</v>
      </c>
      <c r="S281" s="45">
        <f t="shared" ca="1" si="239"/>
        <v>0.2194835610324303</v>
      </c>
      <c r="T281" s="45">
        <f t="shared" ca="1" si="239"/>
        <v>0.21950027599805982</v>
      </c>
      <c r="U281" s="45">
        <f t="shared" ca="1" si="239"/>
        <v>0.21944475164320409</v>
      </c>
      <c r="V281" s="45">
        <f t="shared" ca="1" si="239"/>
        <v>0.21931597489210053</v>
      </c>
      <c r="W281" s="45">
        <f t="shared" ca="1" si="239"/>
        <v>0.21918915122500357</v>
      </c>
      <c r="X281" s="45">
        <f t="shared" ca="1" si="239"/>
        <v>0.21898410826180081</v>
      </c>
      <c r="Y281" s="45">
        <f t="shared" ca="1" si="239"/>
        <v>0.21869436394026764</v>
      </c>
      <c r="Z281" s="45">
        <f t="shared" ca="1" si="239"/>
        <v>0.21831666496535695</v>
      </c>
      <c r="AA281" s="45">
        <f t="shared" ca="1" si="239"/>
        <v>0.2178493680768705</v>
      </c>
      <c r="AB281" s="45">
        <f t="shared" ca="1" si="239"/>
        <v>0.2173297941505872</v>
      </c>
      <c r="AC281" s="45">
        <f t="shared" ca="1" si="239"/>
        <v>0.21671448862537071</v>
      </c>
      <c r="AD281" s="45">
        <f t="shared" ca="1" si="239"/>
        <v>0.21599605657901474</v>
      </c>
      <c r="AE281" s="45">
        <f t="shared" ca="1" si="239"/>
        <v>0.2151707647110688</v>
      </c>
      <c r="AF281" s="45">
        <f t="shared" ca="1" si="239"/>
        <v>0.21298051601994242</v>
      </c>
      <c r="AG281" s="11"/>
      <c r="AH281" s="11"/>
    </row>
    <row r="282" spans="1:34">
      <c r="A282" s="15"/>
      <c r="B282" s="48" t="s">
        <v>132</v>
      </c>
      <c r="C282" s="158"/>
      <c r="D282" s="45">
        <f ca="1">D150</f>
        <v>3.8020882920134125</v>
      </c>
      <c r="E282" s="45">
        <f t="shared" ref="E282:AF282" ca="1" si="240">E150</f>
        <v>3.7697219907176405</v>
      </c>
      <c r="F282" s="45">
        <f t="shared" ca="1" si="240"/>
        <v>3.7397504540996742</v>
      </c>
      <c r="G282" s="45">
        <f t="shared" ca="1" si="240"/>
        <v>3.7122133905310561</v>
      </c>
      <c r="H282" s="45">
        <f t="shared" ca="1" si="240"/>
        <v>3.7040409134983756</v>
      </c>
      <c r="I282" s="45">
        <f t="shared" ca="1" si="240"/>
        <v>3.6976188566309789</v>
      </c>
      <c r="J282" s="45">
        <f t="shared" ca="1" si="240"/>
        <v>3.6924132376249079</v>
      </c>
      <c r="K282" s="45">
        <f t="shared" ca="1" si="240"/>
        <v>3.6881570303182514</v>
      </c>
      <c r="L282" s="45">
        <f t="shared" ca="1" si="240"/>
        <v>3.6847156859004433</v>
      </c>
      <c r="M282" s="45">
        <f t="shared" ca="1" si="240"/>
        <v>3.6787378661145334</v>
      </c>
      <c r="N282" s="45">
        <f t="shared" ca="1" si="240"/>
        <v>3.6735663364836788</v>
      </c>
      <c r="O282" s="45">
        <f t="shared" ca="1" si="240"/>
        <v>3.6693099562717695</v>
      </c>
      <c r="P282" s="45">
        <f t="shared" ca="1" si="240"/>
        <v>3.6660200824356335</v>
      </c>
      <c r="Q282" s="45">
        <f t="shared" ca="1" si="240"/>
        <v>3.6637203754504131</v>
      </c>
      <c r="R282" s="45">
        <f t="shared" ca="1" si="240"/>
        <v>3.6613014589800987</v>
      </c>
      <c r="S282" s="45">
        <f t="shared" ca="1" si="240"/>
        <v>3.6599293084657867</v>
      </c>
      <c r="T282" s="45">
        <f t="shared" ca="1" si="240"/>
        <v>3.6596655262013065</v>
      </c>
      <c r="U282" s="45">
        <f t="shared" ca="1" si="240"/>
        <v>3.660541549864039</v>
      </c>
      <c r="V282" s="45">
        <f t="shared" ca="1" si="240"/>
        <v>3.6625749172555571</v>
      </c>
      <c r="W282" s="45">
        <f t="shared" ca="1" si="240"/>
        <v>3.6645795970478146</v>
      </c>
      <c r="X282" s="45">
        <f t="shared" ca="1" si="240"/>
        <v>3.6678249251869843</v>
      </c>
      <c r="Y282" s="45">
        <f t="shared" ca="1" si="240"/>
        <v>3.6724200726371117</v>
      </c>
      <c r="Z282" s="45">
        <f t="shared" ca="1" si="240"/>
        <v>3.6784263365451602</v>
      </c>
      <c r="AA282" s="45">
        <f t="shared" ca="1" si="240"/>
        <v>3.6858829064831342</v>
      </c>
      <c r="AB282" s="45">
        <f t="shared" ca="1" si="240"/>
        <v>3.6942069711567713</v>
      </c>
      <c r="AC282" s="45">
        <f t="shared" ca="1" si="240"/>
        <v>3.7041103044666017</v>
      </c>
      <c r="AD282" s="45">
        <f t="shared" ca="1" si="240"/>
        <v>3.7157365102541888</v>
      </c>
      <c r="AE282" s="45">
        <f t="shared" ca="1" si="240"/>
        <v>3.7291765791671594</v>
      </c>
      <c r="AF282" s="45">
        <f t="shared" ca="1" si="240"/>
        <v>3.7652891720438273</v>
      </c>
      <c r="AG282" s="11"/>
      <c r="AH282" s="11"/>
    </row>
    <row r="283" spans="1:34">
      <c r="B283" s="48" t="s">
        <v>154</v>
      </c>
      <c r="C283" s="158"/>
      <c r="D283" s="45">
        <f ca="1">D172</f>
        <v>14.917847731712403</v>
      </c>
      <c r="E283" s="45">
        <f t="shared" ref="E283:AF283" ca="1" si="241">E172</f>
        <v>14.909818124261125</v>
      </c>
      <c r="F283" s="45">
        <f t="shared" ca="1" si="241"/>
        <v>14.902257542501941</v>
      </c>
      <c r="G283" s="45">
        <f t="shared" ca="1" si="241"/>
        <v>14.895210290196029</v>
      </c>
      <c r="H283" s="45">
        <f t="shared" ca="1" si="241"/>
        <v>14.893094551360067</v>
      </c>
      <c r="I283" s="45">
        <f t="shared" ca="1" si="241"/>
        <v>14.891429706396307</v>
      </c>
      <c r="J283" s="45">
        <f t="shared" ca="1" si="241"/>
        <v>14.890076295820547</v>
      </c>
      <c r="K283" s="45">
        <f t="shared" ca="1" si="241"/>
        <v>14.888967080117135</v>
      </c>
      <c r="L283" s="45">
        <f t="shared" ca="1" si="241"/>
        <v>14.888068460101117</v>
      </c>
      <c r="M283" s="45">
        <f t="shared" ca="1" si="241"/>
        <v>14.886504928067</v>
      </c>
      <c r="N283" s="45">
        <f t="shared" ca="1" si="241"/>
        <v>14.88514756447964</v>
      </c>
      <c r="O283" s="45">
        <f t="shared" ca="1" si="241"/>
        <v>14.884027638838457</v>
      </c>
      <c r="P283" s="45">
        <f t="shared" ca="1" si="241"/>
        <v>14.883160273963503</v>
      </c>
      <c r="Q283" s="45">
        <f t="shared" ca="1" si="241"/>
        <v>14.882553004750319</v>
      </c>
      <c r="R283" s="45">
        <f t="shared" ca="1" si="241"/>
        <v>14.881913831473721</v>
      </c>
      <c r="S283" s="45">
        <f t="shared" ca="1" si="241"/>
        <v>14.881550572770049</v>
      </c>
      <c r="T283" s="45">
        <f t="shared" ca="1" si="241"/>
        <v>14.881480440294656</v>
      </c>
      <c r="U283" s="45">
        <f t="shared" ca="1" si="241"/>
        <v>14.881711878412917</v>
      </c>
      <c r="V283" s="45">
        <f t="shared" ca="1" si="241"/>
        <v>14.882249121521046</v>
      </c>
      <c r="W283" s="45">
        <f t="shared" ca="1" si="241"/>
        <v>14.882778587321138</v>
      </c>
      <c r="X283" s="45">
        <f t="shared" ca="1" si="241"/>
        <v>14.883634198023397</v>
      </c>
      <c r="Y283" s="45">
        <f t="shared" ca="1" si="241"/>
        <v>14.884843382405217</v>
      </c>
      <c r="Z283" s="45">
        <f t="shared" ca="1" si="241"/>
        <v>14.886419738757997</v>
      </c>
      <c r="AA283" s="45">
        <f t="shared" ca="1" si="241"/>
        <v>14.888370135368268</v>
      </c>
      <c r="AB283" s="45">
        <f t="shared" ca="1" si="241"/>
        <v>14.890538962054645</v>
      </c>
      <c r="AC283" s="45">
        <f t="shared" ca="1" si="241"/>
        <v>14.893107226652591</v>
      </c>
      <c r="AD283" s="45">
        <f t="shared" ca="1" si="241"/>
        <v>14.896105981040698</v>
      </c>
      <c r="AE283" s="45">
        <f t="shared" ca="1" si="241"/>
        <v>14.899550829360535</v>
      </c>
      <c r="AF283" s="45">
        <f t="shared" ca="1" si="241"/>
        <v>14.908687732964593</v>
      </c>
      <c r="AG283" s="11"/>
      <c r="AH283" s="11"/>
    </row>
    <row r="284" spans="1:34">
      <c r="B284" s="48" t="s">
        <v>149</v>
      </c>
      <c r="C284" s="158"/>
      <c r="D284" s="45">
        <f ca="1">D167</f>
        <v>0.16501607012627628</v>
      </c>
      <c r="E284" s="45">
        <f t="shared" ref="E284:AF284" ca="1" si="242">E167</f>
        <v>0.16647007599495947</v>
      </c>
      <c r="F284" s="45">
        <f t="shared" ca="1" si="242"/>
        <v>0.16784009546115561</v>
      </c>
      <c r="G284" s="45">
        <f t="shared" ca="1" si="242"/>
        <v>0.1691183444993723</v>
      </c>
      <c r="H284" s="45">
        <f t="shared" ca="1" si="242"/>
        <v>0.16950204853355658</v>
      </c>
      <c r="I284" s="45">
        <f t="shared" ca="1" si="242"/>
        <v>0.1698042648715713</v>
      </c>
      <c r="J284" s="45">
        <f t="shared" ca="1" si="242"/>
        <v>0.1700500002286319</v>
      </c>
      <c r="K284" s="45">
        <f t="shared" ca="1" si="242"/>
        <v>0.17025143171755242</v>
      </c>
      <c r="L284" s="45">
        <f t="shared" ca="1" si="242"/>
        <v>0.17041464065568487</v>
      </c>
      <c r="M284" s="45">
        <f t="shared" ca="1" si="242"/>
        <v>0.17069872177036641</v>
      </c>
      <c r="N284" s="45">
        <f t="shared" ca="1" si="242"/>
        <v>0.17094534449042606</v>
      </c>
      <c r="O284" s="45">
        <f t="shared" ca="1" si="242"/>
        <v>0.17114885629754428</v>
      </c>
      <c r="P284" s="45">
        <f t="shared" ca="1" si="242"/>
        <v>0.17130648987278047</v>
      </c>
      <c r="Q284" s="45">
        <f t="shared" ca="1" si="242"/>
        <v>0.17141685992521347</v>
      </c>
      <c r="R284" s="45">
        <f t="shared" ca="1" si="242"/>
        <v>0.1715330568114708</v>
      </c>
      <c r="S284" s="45">
        <f t="shared" ca="1" si="242"/>
        <v>0.17159908106101415</v>
      </c>
      <c r="T284" s="45">
        <f t="shared" ca="1" si="242"/>
        <v>0.17161181379474497</v>
      </c>
      <c r="U284" s="45">
        <f t="shared" ca="1" si="242"/>
        <v>0.17156971883608699</v>
      </c>
      <c r="V284" s="45">
        <f t="shared" ca="1" si="242"/>
        <v>0.17147203179170367</v>
      </c>
      <c r="W284" s="45">
        <f t="shared" ca="1" si="242"/>
        <v>0.17137578461079384</v>
      </c>
      <c r="X284" s="45">
        <f t="shared" ca="1" si="242"/>
        <v>0.17122024412677384</v>
      </c>
      <c r="Y284" s="45">
        <f t="shared" ca="1" si="242"/>
        <v>0.17100046491587295</v>
      </c>
      <c r="Z284" s="45">
        <f t="shared" ca="1" si="242"/>
        <v>0.17071400849687135</v>
      </c>
      <c r="AA284" s="45">
        <f t="shared" ca="1" si="242"/>
        <v>0.17035967009928712</v>
      </c>
      <c r="AB284" s="45">
        <f t="shared" ca="1" si="242"/>
        <v>0.16996576942006483</v>
      </c>
      <c r="AC284" s="45">
        <f t="shared" ca="1" si="242"/>
        <v>0.16949946293362941</v>
      </c>
      <c r="AD284" s="45">
        <f t="shared" ca="1" si="242"/>
        <v>0.16895520031525221</v>
      </c>
      <c r="AE284" s="45">
        <f t="shared" ca="1" si="242"/>
        <v>0.1683302466701419</v>
      </c>
      <c r="AF284" s="45">
        <f t="shared" ca="1" si="242"/>
        <v>0.16667378322487073</v>
      </c>
      <c r="AG284" s="11"/>
      <c r="AH284" s="11"/>
    </row>
    <row r="285" spans="1:34">
      <c r="B285" s="48" t="s">
        <v>141</v>
      </c>
      <c r="C285" s="158"/>
      <c r="D285" s="45">
        <f ca="1">D159</f>
        <v>52.046630912890357</v>
      </c>
      <c r="E285" s="45">
        <f t="shared" ref="E285:AF285" ca="1" si="243">E159</f>
        <v>52.5368424577509</v>
      </c>
      <c r="F285" s="45">
        <f t="shared" ca="1" si="243"/>
        <v>53.011771559080465</v>
      </c>
      <c r="G285" s="45">
        <f t="shared" ca="1" si="243"/>
        <v>53.455027866745745</v>
      </c>
      <c r="H285" s="45">
        <f t="shared" ca="1" si="243"/>
        <v>53.596085332296454</v>
      </c>
      <c r="I285" s="45">
        <f t="shared" ca="1" si="243"/>
        <v>53.701458452488822</v>
      </c>
      <c r="J285" s="45">
        <f t="shared" ca="1" si="243"/>
        <v>53.787048127358993</v>
      </c>
      <c r="K285" s="45">
        <f t="shared" ca="1" si="243"/>
        <v>53.857189475413925</v>
      </c>
      <c r="L285" s="45">
        <f t="shared" ca="1" si="243"/>
        <v>53.914043537828505</v>
      </c>
      <c r="M285" s="45">
        <f t="shared" ca="1" si="243"/>
        <v>54.011263061069478</v>
      </c>
      <c r="N285" s="45">
        <f t="shared" ca="1" si="243"/>
        <v>54.096985450377666</v>
      </c>
      <c r="O285" s="45">
        <f t="shared" ca="1" si="243"/>
        <v>54.167838134918178</v>
      </c>
      <c r="P285" s="45">
        <f t="shared" ca="1" si="243"/>
        <v>54.222835595008007</v>
      </c>
      <c r="Q285" s="45">
        <f t="shared" ca="1" si="243"/>
        <v>54.261485051180244</v>
      </c>
      <c r="R285" s="45">
        <f t="shared" ca="1" si="243"/>
        <v>54.301656101236745</v>
      </c>
      <c r="S285" s="45">
        <f t="shared" ca="1" si="243"/>
        <v>54.3249816458571</v>
      </c>
      <c r="T285" s="45">
        <f t="shared" ca="1" si="243"/>
        <v>54.3298880197515</v>
      </c>
      <c r="U285" s="45">
        <f t="shared" ca="1" si="243"/>
        <v>54.315827948174075</v>
      </c>
      <c r="V285" s="45">
        <f t="shared" ca="1" si="243"/>
        <v>54.282529036253763</v>
      </c>
      <c r="W285" s="45">
        <f t="shared" ca="1" si="243"/>
        <v>54.249195453446468</v>
      </c>
      <c r="X285" s="45">
        <f t="shared" ca="1" si="243"/>
        <v>54.195901159240485</v>
      </c>
      <c r="Y285" s="45">
        <f t="shared" ca="1" si="243"/>
        <v>54.120412428859609</v>
      </c>
      <c r="Z285" s="45">
        <f t="shared" ca="1" si="243"/>
        <v>54.021860627346555</v>
      </c>
      <c r="AA285" s="45">
        <f t="shared" ca="1" si="243"/>
        <v>53.899816275970572</v>
      </c>
      <c r="AB285" s="45">
        <f t="shared" ca="1" si="243"/>
        <v>53.763809979672168</v>
      </c>
      <c r="AC285" s="45">
        <f t="shared" ca="1" si="243"/>
        <v>53.603036714420668</v>
      </c>
      <c r="AD285" s="45">
        <f t="shared" ca="1" si="243"/>
        <v>53.41532044093627</v>
      </c>
      <c r="AE285" s="45">
        <f t="shared" ca="1" si="243"/>
        <v>53.199686771509548</v>
      </c>
      <c r="AF285" s="45">
        <f t="shared" ca="1" si="243"/>
        <v>52.635516482014559</v>
      </c>
      <c r="AG285" s="11"/>
      <c r="AH285" s="11"/>
    </row>
    <row r="286" spans="1:34">
      <c r="B286" s="170" t="s">
        <v>32</v>
      </c>
      <c r="C286" s="158"/>
      <c r="D286" s="173">
        <f ca="1">EXP(SUMPRODUCT($D$260:$D$265,D280:D285))/(1+EXP(SUMPRODUCT($D$260:$D$265,D280:D285)))</f>
        <v>0.99999722439172012</v>
      </c>
      <c r="E286" s="173">
        <f t="shared" ref="E286:AF286" ca="1" si="244">EXP(SUMPRODUCT($D$260:$D$265,E280:E285))/(1+EXP(SUMPRODUCT($D$260:$D$265,E280:E285)))</f>
        <v>0.99999743168025357</v>
      </c>
      <c r="F286" s="173">
        <f t="shared" ca="1" si="244"/>
        <v>0.99999761892405425</v>
      </c>
      <c r="G286" s="173">
        <f t="shared" ca="1" si="244"/>
        <v>0.99999778169759124</v>
      </c>
      <c r="H286" s="173">
        <f t="shared" ca="1" si="244"/>
        <v>0.99999783158608413</v>
      </c>
      <c r="I286" s="173">
        <f t="shared" ca="1" si="244"/>
        <v>0.99999786787766032</v>
      </c>
      <c r="J286" s="173">
        <f t="shared" ca="1" si="244"/>
        <v>0.99999789691629215</v>
      </c>
      <c r="K286" s="173">
        <f t="shared" ca="1" si="244"/>
        <v>0.99999792042594937</v>
      </c>
      <c r="L286" s="173">
        <f t="shared" ca="1" si="244"/>
        <v>0.99999793929541791</v>
      </c>
      <c r="M286" s="173">
        <f t="shared" ca="1" si="244"/>
        <v>0.99999797109776201</v>
      </c>
      <c r="N286" s="173">
        <f t="shared" ca="1" si="244"/>
        <v>0.99999799880325724</v>
      </c>
      <c r="O286" s="173">
        <f t="shared" ca="1" si="244"/>
        <v>0.99999802142988248</v>
      </c>
      <c r="P286" s="173">
        <f t="shared" ca="1" si="244"/>
        <v>0.99999803882645588</v>
      </c>
      <c r="Q286" s="173">
        <f t="shared" ca="1" si="244"/>
        <v>0.99999805096869143</v>
      </c>
      <c r="R286" s="173">
        <f t="shared" ca="1" si="244"/>
        <v>0.9999980634877913</v>
      </c>
      <c r="S286" s="173">
        <f t="shared" ca="1" si="244"/>
        <v>0.99999807074166758</v>
      </c>
      <c r="T286" s="173">
        <f t="shared" ca="1" si="244"/>
        <v>0.99999807227951987</v>
      </c>
      <c r="U286" s="173">
        <f t="shared" ca="1" si="244"/>
        <v>0.99999806794435686</v>
      </c>
      <c r="V286" s="173">
        <f t="shared" ca="1" si="244"/>
        <v>0.99999805761246074</v>
      </c>
      <c r="W286" s="173">
        <f t="shared" ca="1" si="244"/>
        <v>0.99999804719187824</v>
      </c>
      <c r="X286" s="173">
        <f t="shared" ca="1" si="244"/>
        <v>0.99999803044550339</v>
      </c>
      <c r="Y286" s="173">
        <f t="shared" ca="1" si="244"/>
        <v>0.99999800647942072</v>
      </c>
      <c r="Z286" s="173">
        <f t="shared" ca="1" si="244"/>
        <v>0.99999797475850105</v>
      </c>
      <c r="AA286" s="173">
        <f t="shared" ca="1" si="244"/>
        <v>0.99999793479062526</v>
      </c>
      <c r="AB286" s="173">
        <f t="shared" ca="1" si="244"/>
        <v>0.99999788933179812</v>
      </c>
      <c r="AC286" s="173">
        <f t="shared" ca="1" si="244"/>
        <v>0.99999783435350975</v>
      </c>
      <c r="AD286" s="173">
        <f t="shared" ca="1" si="244"/>
        <v>0.99999776839955445</v>
      </c>
      <c r="AE286" s="173">
        <f t="shared" ca="1" si="244"/>
        <v>0.99999769022681584</v>
      </c>
      <c r="AF286" s="173">
        <f t="shared" ca="1" si="244"/>
        <v>0.99999747337334899</v>
      </c>
      <c r="AG286" s="12"/>
      <c r="AH286" s="12"/>
    </row>
    <row r="287" spans="1:34">
      <c r="B287" s="25"/>
      <c r="C287" s="155"/>
    </row>
    <row r="288" spans="1:34">
      <c r="B288" s="25"/>
      <c r="C288" s="155"/>
    </row>
    <row r="289" spans="2:3">
      <c r="B289" s="25"/>
      <c r="C289" s="155"/>
    </row>
    <row r="290" spans="2:3">
      <c r="B290" s="25"/>
      <c r="C290" s="155"/>
    </row>
    <row r="291" spans="2:3">
      <c r="B291" s="25"/>
      <c r="C291" s="155"/>
    </row>
    <row r="292" spans="2:3">
      <c r="B292" s="25"/>
      <c r="C292" s="155"/>
    </row>
    <row r="293" spans="2:3">
      <c r="B293" s="25"/>
      <c r="C293" s="155"/>
    </row>
    <row r="294" spans="2:3">
      <c r="B294" s="25"/>
      <c r="C294" s="155"/>
    </row>
    <row r="295" spans="2:3">
      <c r="B295" s="25"/>
      <c r="C295" s="155"/>
    </row>
    <row r="296" spans="2:3">
      <c r="B296" s="25"/>
      <c r="C296" s="155"/>
    </row>
    <row r="297" spans="2:3">
      <c r="B297" s="25"/>
      <c r="C297" s="155"/>
    </row>
    <row r="298" spans="2:3">
      <c r="B298" s="25"/>
      <c r="C298" s="155"/>
    </row>
    <row r="299" spans="2:3">
      <c r="B299" s="25"/>
      <c r="C299" s="155"/>
    </row>
    <row r="300" spans="2:3">
      <c r="B300" s="25"/>
      <c r="C300" s="155"/>
    </row>
    <row r="301" spans="2:3">
      <c r="B301" s="25"/>
      <c r="C301" s="155"/>
    </row>
    <row r="302" spans="2:3">
      <c r="B302" s="25"/>
      <c r="C302" s="155"/>
    </row>
    <row r="303" spans="2:3">
      <c r="B303" s="25"/>
      <c r="C303" s="155"/>
    </row>
    <row r="304" spans="2:3">
      <c r="B304" s="25"/>
      <c r="C304" s="155"/>
    </row>
    <row r="305" spans="2:3">
      <c r="B305" s="25"/>
      <c r="C305" s="155"/>
    </row>
    <row r="306" spans="2:3">
      <c r="B306" s="25"/>
      <c r="C306" s="155"/>
    </row>
    <row r="307" spans="2:3">
      <c r="B307" s="25"/>
      <c r="C307" s="155"/>
    </row>
    <row r="308" spans="2:3">
      <c r="B308" s="25"/>
      <c r="C308" s="155"/>
    </row>
    <row r="309" spans="2:3">
      <c r="B309" s="25"/>
      <c r="C309" s="155"/>
    </row>
    <row r="310" spans="2:3">
      <c r="B310" s="25"/>
      <c r="C310" s="155"/>
    </row>
    <row r="311" spans="2:3">
      <c r="B311" s="25"/>
      <c r="C311" s="155"/>
    </row>
    <row r="312" spans="2:3">
      <c r="B312" s="25"/>
      <c r="C312" s="155"/>
    </row>
    <row r="313" spans="2:3">
      <c r="B313" s="25"/>
      <c r="C313" s="155"/>
    </row>
    <row r="314" spans="2:3">
      <c r="B314" s="25"/>
      <c r="C314" s="155"/>
    </row>
    <row r="315" spans="2:3">
      <c r="B315" s="25" t="s">
        <v>204</v>
      </c>
      <c r="C315" s="155"/>
    </row>
    <row r="316" spans="2:3">
      <c r="B316" s="25"/>
      <c r="C316" s="155"/>
    </row>
    <row r="317" spans="2:3">
      <c r="B317" s="25"/>
      <c r="C317" s="155"/>
    </row>
    <row r="318" spans="2:3">
      <c r="B318" s="25"/>
      <c r="C318" s="155"/>
    </row>
    <row r="319" spans="2:3">
      <c r="B319" s="25"/>
      <c r="C319" s="155"/>
    </row>
  </sheetData>
  <mergeCells count="12">
    <mergeCell ref="C102:C103"/>
    <mergeCell ref="B247:C247"/>
    <mergeCell ref="B248:C248"/>
    <mergeCell ref="B249:C249"/>
    <mergeCell ref="B235:C235"/>
    <mergeCell ref="B255:C255"/>
    <mergeCell ref="B256:C256"/>
    <mergeCell ref="B250:C250"/>
    <mergeCell ref="B251:C251"/>
    <mergeCell ref="B252:C252"/>
    <mergeCell ref="B253:C253"/>
    <mergeCell ref="B254:C254"/>
  </mergeCells>
  <phoneticPr fontId="9" type="noConversion"/>
  <dataValidations count="2">
    <dataValidation type="list" allowBlank="1" showInputMessage="1" showErrorMessage="1" sqref="B247:C256" xr:uid="{B3653554-246C-4CC3-BCFB-A5B983EE9788}">
      <formula1>$B$193:$B$235</formula1>
    </dataValidation>
    <dataValidation type="list" allowBlank="1" showInputMessage="1" showErrorMessage="1" sqref="C239 C128 C124:C125 C119:C122 C111:C112 C109 C106:C107" xr:uid="{00000000-0002-0000-0000-000024000000}">
      <formula1>#REF!</formula1>
    </dataValidation>
  </dataValidations>
  <pageMargins left="0.7" right="0.7" top="0.75" bottom="0.75" header="0.3" footer="0.3"/>
  <pageSetup orientation="portrait" r:id="rId1"/>
  <ignoredErrors>
    <ignoredError sqref="E50:AF50 G42:AF42 F45:AF45 E47:F47 D186:E186 E109:AF109 H47:AF47" 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3ADFDFA-237E-40D0-A1B3-9A42353C93E3}">
          <x14:formula1>
            <xm:f>Admin!$E$2:$E$101</xm:f>
          </x14:formula1>
          <xm:sqref>C5</xm:sqref>
        </x14:dataValidation>
        <x14:dataValidation type="list" allowBlank="1" showInputMessage="1" showErrorMessage="1" xr:uid="{9DC67612-67C7-42A4-81E1-EB0E6DA744A1}">
          <x14:formula1>
            <xm:f>Admin!$B$2:$B$11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4E06D-352A-4FFC-B3B7-A7BA8C5EFC2B}">
  <sheetPr codeName="Sheet1"/>
  <dimension ref="B3:P6"/>
  <sheetViews>
    <sheetView topLeftCell="A133" zoomScale="74" workbookViewId="0">
      <selection activeCell="A7" sqref="A7"/>
    </sheetView>
  </sheetViews>
  <sheetFormatPr defaultRowHeight="14.45"/>
  <sheetData>
    <row r="3" spans="2:16" ht="17.45" customHeight="1">
      <c r="B3" s="192" t="s">
        <v>205</v>
      </c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</row>
    <row r="4" spans="2:16">
      <c r="B4" s="192"/>
      <c r="C4" s="192"/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  <c r="O4" s="192"/>
      <c r="P4" s="192"/>
    </row>
    <row r="5" spans="2:16">
      <c r="B5" s="192"/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192"/>
    </row>
    <row r="6" spans="2:16" ht="41.45" customHeight="1">
      <c r="B6" s="192"/>
      <c r="C6" s="192"/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</row>
  </sheetData>
  <mergeCells count="1">
    <mergeCell ref="B3:P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89071-1C7E-4ACC-900D-EA96B175B373}">
  <sheetPr codeName="Sheet6"/>
  <dimension ref="B1:AM58"/>
  <sheetViews>
    <sheetView showGridLines="0" zoomScale="70" zoomScaleNormal="80" workbookViewId="0">
      <selection activeCell="D23" sqref="D23"/>
    </sheetView>
  </sheetViews>
  <sheetFormatPr defaultColWidth="8.85546875" defaultRowHeight="14.45"/>
  <cols>
    <col min="2" max="2" width="23.5703125" bestFit="1" customWidth="1"/>
    <col min="3" max="3" width="22.42578125" customWidth="1"/>
    <col min="4" max="4" width="40.5703125" bestFit="1" customWidth="1"/>
    <col min="5" max="5" width="31.5703125" bestFit="1" customWidth="1"/>
    <col min="6" max="6" width="36.140625" customWidth="1"/>
    <col min="7" max="7" width="24.5703125" customWidth="1"/>
    <col min="8" max="8" width="18.85546875" customWidth="1"/>
    <col min="9" max="9" width="12.5703125" customWidth="1"/>
    <col min="10" max="10" width="14.85546875" customWidth="1"/>
    <col min="11" max="36" width="12.5703125" bestFit="1" customWidth="1"/>
  </cols>
  <sheetData>
    <row r="1" spans="2:10">
      <c r="B1" s="38" t="s">
        <v>206</v>
      </c>
      <c r="C1" s="38" t="s">
        <v>207</v>
      </c>
      <c r="D1" s="38" t="s">
        <v>208</v>
      </c>
      <c r="E1" s="38" t="s">
        <v>209</v>
      </c>
      <c r="F1" s="38" t="s">
        <v>210</v>
      </c>
    </row>
    <row r="2" spans="2:10">
      <c r="B2" s="37" t="s">
        <v>211</v>
      </c>
      <c r="C2" s="37"/>
      <c r="D2" s="37"/>
      <c r="E2" s="71"/>
      <c r="F2" s="37"/>
    </row>
    <row r="3" spans="2:10">
      <c r="B3" s="72" t="s">
        <v>87</v>
      </c>
      <c r="C3" s="73"/>
      <c r="D3" s="74"/>
      <c r="E3" s="75"/>
      <c r="F3" s="35" t="s">
        <v>212</v>
      </c>
    </row>
    <row r="4" spans="2:10">
      <c r="B4" s="72" t="s">
        <v>104</v>
      </c>
      <c r="C4" s="76"/>
      <c r="D4" s="77">
        <f>C4*10</f>
        <v>0</v>
      </c>
      <c r="E4" s="71" t="e">
        <f>D4/$C$2</f>
        <v>#DIV/0!</v>
      </c>
      <c r="F4" s="78"/>
      <c r="I4" s="143"/>
    </row>
    <row r="5" spans="2:10">
      <c r="B5" s="72" t="s">
        <v>105</v>
      </c>
      <c r="C5" s="79"/>
      <c r="D5" s="77">
        <f t="shared" ref="D5:D17" si="0">C5*10</f>
        <v>0</v>
      </c>
      <c r="E5" s="71" t="e">
        <f t="shared" ref="E5:E17" si="1">D5/$C$2</f>
        <v>#DIV/0!</v>
      </c>
      <c r="F5" s="35" t="s">
        <v>213</v>
      </c>
      <c r="H5" s="86"/>
      <c r="I5" s="144"/>
    </row>
    <row r="6" spans="2:10" ht="43.5">
      <c r="B6" s="72" t="s">
        <v>107</v>
      </c>
      <c r="C6" s="81"/>
      <c r="D6" s="77">
        <f t="shared" si="0"/>
        <v>0</v>
      </c>
      <c r="E6" s="71" t="e">
        <f t="shared" si="1"/>
        <v>#DIV/0!</v>
      </c>
      <c r="F6" s="82" t="s">
        <v>214</v>
      </c>
      <c r="G6" s="83"/>
      <c r="I6" s="144"/>
    </row>
    <row r="7" spans="2:10" ht="29.1">
      <c r="B7" s="72" t="s">
        <v>109</v>
      </c>
      <c r="C7" s="81"/>
      <c r="D7" s="77">
        <f t="shared" si="0"/>
        <v>0</v>
      </c>
      <c r="E7" s="71" t="e">
        <f t="shared" si="1"/>
        <v>#DIV/0!</v>
      </c>
      <c r="F7" s="84" t="s">
        <v>215</v>
      </c>
      <c r="I7" s="86"/>
    </row>
    <row r="8" spans="2:10">
      <c r="B8" s="72" t="s">
        <v>110</v>
      </c>
      <c r="C8" s="81"/>
      <c r="D8" s="77">
        <f t="shared" si="0"/>
        <v>0</v>
      </c>
      <c r="E8" s="71" t="e">
        <f t="shared" si="1"/>
        <v>#DIV/0!</v>
      </c>
      <c r="F8" s="35" t="s">
        <v>216</v>
      </c>
      <c r="H8" s="187"/>
      <c r="I8" s="187"/>
    </row>
    <row r="9" spans="2:10">
      <c r="B9" s="72" t="s">
        <v>117</v>
      </c>
      <c r="C9" s="79"/>
      <c r="D9" s="77">
        <f>C9*10</f>
        <v>0</v>
      </c>
      <c r="E9" s="71" t="e">
        <f t="shared" si="1"/>
        <v>#DIV/0!</v>
      </c>
      <c r="F9" s="35" t="s">
        <v>217</v>
      </c>
      <c r="H9" s="187"/>
      <c r="I9" s="187"/>
    </row>
    <row r="10" spans="2:10">
      <c r="B10" s="72" t="s">
        <v>118</v>
      </c>
      <c r="C10" s="76"/>
      <c r="D10" s="77">
        <f t="shared" si="0"/>
        <v>0</v>
      </c>
      <c r="E10" s="71" t="e">
        <f t="shared" si="1"/>
        <v>#DIV/0!</v>
      </c>
      <c r="F10" s="35" t="s">
        <v>218</v>
      </c>
      <c r="I10" s="83"/>
    </row>
    <row r="11" spans="2:10">
      <c r="B11" s="72" t="s">
        <v>119</v>
      </c>
      <c r="C11" s="79"/>
      <c r="D11" s="77">
        <f t="shared" si="0"/>
        <v>0</v>
      </c>
      <c r="E11" s="71" t="e">
        <f t="shared" si="1"/>
        <v>#DIV/0!</v>
      </c>
      <c r="F11" s="35"/>
      <c r="H11" s="69"/>
      <c r="I11" s="145"/>
    </row>
    <row r="12" spans="2:10">
      <c r="B12" s="72" t="s">
        <v>120</v>
      </c>
      <c r="C12" s="79"/>
      <c r="D12" s="77">
        <f t="shared" si="0"/>
        <v>0</v>
      </c>
      <c r="E12" s="71" t="e">
        <f t="shared" si="1"/>
        <v>#DIV/0!</v>
      </c>
      <c r="F12" s="35"/>
    </row>
    <row r="13" spans="2:10">
      <c r="B13" s="72" t="s">
        <v>122</v>
      </c>
      <c r="C13" s="79"/>
      <c r="D13" s="77">
        <f t="shared" si="0"/>
        <v>0</v>
      </c>
      <c r="E13" s="71" t="e">
        <f t="shared" si="1"/>
        <v>#DIV/0!</v>
      </c>
      <c r="F13" s="35"/>
    </row>
    <row r="14" spans="2:10">
      <c r="B14" s="85" t="s">
        <v>126</v>
      </c>
      <c r="C14" s="79"/>
      <c r="D14" s="77">
        <f t="shared" si="0"/>
        <v>0</v>
      </c>
      <c r="E14" s="71" t="e">
        <f t="shared" si="1"/>
        <v>#DIV/0!</v>
      </c>
      <c r="F14" s="35" t="s">
        <v>219</v>
      </c>
      <c r="I14" s="140"/>
      <c r="J14" s="140"/>
    </row>
    <row r="15" spans="2:10">
      <c r="B15" s="72" t="s">
        <v>123</v>
      </c>
      <c r="C15" s="79"/>
      <c r="D15" s="77">
        <f t="shared" si="0"/>
        <v>0</v>
      </c>
      <c r="E15" s="71" t="e">
        <f t="shared" si="1"/>
        <v>#DIV/0!</v>
      </c>
      <c r="F15" s="35" t="s">
        <v>220</v>
      </c>
      <c r="I15" s="140"/>
    </row>
    <row r="16" spans="2:10">
      <c r="B16" s="72" t="s">
        <v>221</v>
      </c>
      <c r="C16" s="79"/>
      <c r="D16" s="77">
        <f t="shared" si="0"/>
        <v>0</v>
      </c>
      <c r="E16" s="71" t="e">
        <f t="shared" si="1"/>
        <v>#DIV/0!</v>
      </c>
      <c r="F16" s="35"/>
      <c r="I16" s="141"/>
    </row>
    <row r="17" spans="2:39">
      <c r="B17" s="72" t="s">
        <v>222</v>
      </c>
      <c r="C17" s="79"/>
      <c r="D17" s="77">
        <f t="shared" si="0"/>
        <v>0</v>
      </c>
      <c r="E17" s="71" t="e">
        <f t="shared" si="1"/>
        <v>#DIV/0!</v>
      </c>
      <c r="F17" s="35"/>
      <c r="G17" s="86"/>
      <c r="I17" s="142"/>
    </row>
    <row r="18" spans="2:39">
      <c r="B18" s="72" t="s">
        <v>55</v>
      </c>
      <c r="C18" s="73" t="e">
        <f>C16/C17</f>
        <v>#DIV/0!</v>
      </c>
      <c r="D18" s="74"/>
      <c r="E18" s="75"/>
      <c r="F18" s="35" t="s">
        <v>223</v>
      </c>
    </row>
    <row r="20" spans="2:39">
      <c r="B20" s="70" t="s">
        <v>224</v>
      </c>
      <c r="C20" s="35"/>
      <c r="D20" s="87" t="s">
        <v>225</v>
      </c>
      <c r="E20" s="87" t="s">
        <v>226</v>
      </c>
      <c r="F20" s="87" t="s">
        <v>227</v>
      </c>
    </row>
    <row r="21" spans="2:39">
      <c r="B21" s="37" t="s">
        <v>228</v>
      </c>
      <c r="C21" s="79"/>
      <c r="D21" s="88"/>
      <c r="E21" s="89"/>
      <c r="F21" s="86"/>
      <c r="G21" s="86"/>
    </row>
    <row r="22" spans="2:39">
      <c r="B22" s="37" t="s">
        <v>229</v>
      </c>
      <c r="C22" s="79"/>
      <c r="D22" s="88" t="e">
        <f>(C22+C21)/E4</f>
        <v>#DIV/0!</v>
      </c>
      <c r="E22" s="80"/>
    </row>
    <row r="23" spans="2:39">
      <c r="B23" s="37" t="s">
        <v>230</v>
      </c>
      <c r="C23" s="80"/>
      <c r="D23" s="80"/>
      <c r="E23" s="90" t="e">
        <f>C23/E4</f>
        <v>#DIV/0!</v>
      </c>
    </row>
    <row r="25" spans="2:39">
      <c r="B25" s="91" t="s">
        <v>231</v>
      </c>
      <c r="C25" s="91" t="s">
        <v>232</v>
      </c>
      <c r="D25" s="91" t="s">
        <v>233</v>
      </c>
      <c r="E25" s="91" t="s">
        <v>234</v>
      </c>
      <c r="F25" s="91">
        <v>2022</v>
      </c>
      <c r="G25" s="91">
        <v>2023</v>
      </c>
      <c r="H25" s="91">
        <v>2024</v>
      </c>
      <c r="I25" s="91">
        <v>2025</v>
      </c>
      <c r="J25" s="91">
        <v>2026</v>
      </c>
      <c r="K25" s="91">
        <v>2027</v>
      </c>
      <c r="L25" s="91">
        <v>2028</v>
      </c>
      <c r="M25" s="91">
        <v>2029</v>
      </c>
      <c r="N25" s="91">
        <v>2030</v>
      </c>
      <c r="O25" s="91">
        <v>2031</v>
      </c>
      <c r="P25" s="91">
        <v>2032</v>
      </c>
      <c r="Q25" s="91">
        <v>2033</v>
      </c>
      <c r="R25" s="91">
        <v>2034</v>
      </c>
      <c r="S25" s="91">
        <v>2035</v>
      </c>
      <c r="T25" s="91">
        <v>2036</v>
      </c>
      <c r="U25" s="91">
        <v>2037</v>
      </c>
      <c r="V25" s="91">
        <v>2038</v>
      </c>
      <c r="W25" s="91">
        <v>2039</v>
      </c>
      <c r="X25" s="91">
        <v>2040</v>
      </c>
      <c r="Y25" s="91">
        <v>2041</v>
      </c>
      <c r="Z25" s="91">
        <v>2042</v>
      </c>
      <c r="AA25" s="91">
        <v>2043</v>
      </c>
      <c r="AB25" s="91">
        <v>2044</v>
      </c>
      <c r="AC25" s="91">
        <v>2045</v>
      </c>
      <c r="AD25" s="91">
        <v>2046</v>
      </c>
      <c r="AE25" s="91">
        <v>2047</v>
      </c>
      <c r="AF25" s="91">
        <v>2048</v>
      </c>
      <c r="AG25" s="91">
        <v>2049</v>
      </c>
      <c r="AH25" s="91">
        <v>2050</v>
      </c>
      <c r="AI25" s="91">
        <v>2051</v>
      </c>
      <c r="AJ25" s="91">
        <v>2052</v>
      </c>
      <c r="AK25" s="91">
        <v>2053</v>
      </c>
      <c r="AL25" s="91">
        <v>2054</v>
      </c>
      <c r="AM25" s="91">
        <v>2055</v>
      </c>
    </row>
    <row r="26" spans="2:39">
      <c r="B26" s="92" t="s">
        <v>235</v>
      </c>
      <c r="C26" s="92" t="s">
        <v>236</v>
      </c>
      <c r="D26" s="92" t="s">
        <v>33</v>
      </c>
      <c r="E26" s="92" t="s">
        <v>237</v>
      </c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35"/>
      <c r="AJ26" s="35"/>
      <c r="AK26" s="35"/>
      <c r="AL26" s="35"/>
      <c r="AM26" s="35"/>
    </row>
    <row r="27" spans="2:39">
      <c r="B27" s="92" t="s">
        <v>235</v>
      </c>
      <c r="C27" s="92" t="s">
        <v>236</v>
      </c>
      <c r="D27" s="92" t="s">
        <v>34</v>
      </c>
      <c r="E27" s="92" t="s">
        <v>237</v>
      </c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35"/>
      <c r="AJ27" s="35"/>
      <c r="AK27" s="35"/>
      <c r="AL27" s="35"/>
      <c r="AM27" s="35"/>
    </row>
    <row r="28" spans="2:39">
      <c r="B28" s="92" t="s">
        <v>235</v>
      </c>
      <c r="C28" s="92" t="s">
        <v>236</v>
      </c>
      <c r="D28" s="92" t="s">
        <v>19</v>
      </c>
      <c r="E28" s="92" t="s">
        <v>237</v>
      </c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35"/>
      <c r="AJ28" s="35"/>
      <c r="AK28" s="35"/>
      <c r="AL28" s="35"/>
      <c r="AM28" s="35"/>
    </row>
    <row r="29" spans="2:39">
      <c r="B29" s="92" t="s">
        <v>235</v>
      </c>
      <c r="C29" s="92" t="s">
        <v>236</v>
      </c>
      <c r="D29" s="92" t="s">
        <v>238</v>
      </c>
      <c r="E29" s="92" t="s">
        <v>237</v>
      </c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35"/>
      <c r="AJ29" s="35"/>
      <c r="AK29" s="35"/>
      <c r="AL29" s="35"/>
      <c r="AM29" s="35"/>
    </row>
    <row r="30" spans="2:39">
      <c r="B30" s="92" t="s">
        <v>235</v>
      </c>
      <c r="C30" s="92" t="s">
        <v>236</v>
      </c>
      <c r="D30" s="92" t="s">
        <v>35</v>
      </c>
      <c r="E30" s="92" t="s">
        <v>237</v>
      </c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35"/>
      <c r="AJ30" s="35"/>
      <c r="AK30" s="35"/>
      <c r="AL30" s="35"/>
      <c r="AM30" s="35"/>
    </row>
    <row r="31" spans="2:39">
      <c r="B31" s="92" t="s">
        <v>235</v>
      </c>
      <c r="C31" s="92" t="s">
        <v>236</v>
      </c>
      <c r="D31" s="92" t="s">
        <v>25</v>
      </c>
      <c r="E31" s="92" t="s">
        <v>237</v>
      </c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35"/>
      <c r="AJ31" s="35"/>
      <c r="AK31" s="35"/>
      <c r="AL31" s="35"/>
      <c r="AM31" s="35"/>
    </row>
    <row r="34" spans="2:7">
      <c r="B34" t="s">
        <v>239</v>
      </c>
    </row>
    <row r="35" spans="2:7">
      <c r="B35" s="94"/>
    </row>
    <row r="38" spans="2:7">
      <c r="B38" s="193" t="s">
        <v>240</v>
      </c>
      <c r="C38" s="193"/>
    </row>
    <row r="39" spans="2:7">
      <c r="B39" s="95" t="s">
        <v>241</v>
      </c>
      <c r="C39" s="95" t="s">
        <v>242</v>
      </c>
      <c r="D39" s="95" t="s">
        <v>243</v>
      </c>
    </row>
    <row r="40" spans="2:7">
      <c r="B40" s="35" t="s">
        <v>38</v>
      </c>
      <c r="C40" s="96"/>
      <c r="D40" s="96" t="e">
        <f>C40+E40</f>
        <v>#DIV/0!</v>
      </c>
      <c r="E40" s="97" t="e">
        <f>(C40/SUM($C$40,$C$42:$C$47))*$C$51</f>
        <v>#DIV/0!</v>
      </c>
    </row>
    <row r="41" spans="2:7">
      <c r="B41" s="100" t="s">
        <v>244</v>
      </c>
      <c r="C41" s="96"/>
      <c r="D41" s="96">
        <v>0</v>
      </c>
      <c r="E41" s="97" t="e">
        <f t="shared" ref="E41:E48" si="2">(C41/SUM($C$40,$C$42:$C$47))*$C$51</f>
        <v>#DIV/0!</v>
      </c>
    </row>
    <row r="42" spans="2:7">
      <c r="B42" s="35" t="s">
        <v>245</v>
      </c>
      <c r="C42" s="96"/>
      <c r="D42" s="96" t="e">
        <f t="shared" ref="D42:D47" si="3">C42+E42</f>
        <v>#DIV/0!</v>
      </c>
      <c r="E42" s="97" t="e">
        <f t="shared" si="2"/>
        <v>#DIV/0!</v>
      </c>
      <c r="G42" s="138"/>
    </row>
    <row r="43" spans="2:7">
      <c r="B43" s="35" t="s">
        <v>246</v>
      </c>
      <c r="C43" s="96"/>
      <c r="D43" s="96" t="e">
        <f t="shared" si="3"/>
        <v>#DIV/0!</v>
      </c>
      <c r="E43" s="97" t="e">
        <f t="shared" si="2"/>
        <v>#DIV/0!</v>
      </c>
      <c r="G43" s="139"/>
    </row>
    <row r="44" spans="2:7">
      <c r="B44" s="35" t="s">
        <v>247</v>
      </c>
      <c r="C44" s="96"/>
      <c r="D44" s="96" t="e">
        <f t="shared" si="3"/>
        <v>#DIV/0!</v>
      </c>
      <c r="E44" s="97" t="e">
        <f t="shared" si="2"/>
        <v>#DIV/0!</v>
      </c>
    </row>
    <row r="45" spans="2:7">
      <c r="B45" s="35" t="s">
        <v>248</v>
      </c>
      <c r="C45" s="96"/>
      <c r="D45" s="96" t="e">
        <f t="shared" si="3"/>
        <v>#DIV/0!</v>
      </c>
      <c r="E45" s="97" t="e">
        <f t="shared" si="2"/>
        <v>#DIV/0!</v>
      </c>
      <c r="G45" s="138"/>
    </row>
    <row r="46" spans="2:7">
      <c r="B46" s="35" t="s">
        <v>249</v>
      </c>
      <c r="C46" s="103"/>
      <c r="D46" s="96" t="e">
        <f t="shared" si="3"/>
        <v>#DIV/0!</v>
      </c>
      <c r="E46" s="97" t="e">
        <f t="shared" si="2"/>
        <v>#DIV/0!</v>
      </c>
      <c r="G46" s="139"/>
    </row>
    <row r="47" spans="2:7">
      <c r="B47" s="35" t="s">
        <v>250</v>
      </c>
      <c r="C47" s="103"/>
      <c r="D47" s="96" t="e">
        <f t="shared" si="3"/>
        <v>#DIV/0!</v>
      </c>
      <c r="E47" s="97" t="e">
        <f t="shared" si="2"/>
        <v>#DIV/0!</v>
      </c>
    </row>
    <row r="48" spans="2:7">
      <c r="B48" s="100" t="s">
        <v>251</v>
      </c>
      <c r="C48" s="96"/>
      <c r="D48" s="96">
        <v>0</v>
      </c>
      <c r="E48" s="97" t="e">
        <f t="shared" si="2"/>
        <v>#DIV/0!</v>
      </c>
    </row>
    <row r="49" spans="2:9">
      <c r="B49" s="37" t="s">
        <v>252</v>
      </c>
      <c r="C49" s="105">
        <f>SUM(C40:C48)</f>
        <v>0</v>
      </c>
      <c r="D49" s="105" t="e">
        <f>SUM(D40:D48)</f>
        <v>#DIV/0!</v>
      </c>
      <c r="E49" s="106"/>
    </row>
    <row r="51" spans="2:9">
      <c r="B51" s="107" t="s">
        <v>253</v>
      </c>
      <c r="C51" s="108"/>
      <c r="D51" s="108">
        <f>C51/7</f>
        <v>0</v>
      </c>
    </row>
    <row r="54" spans="2:9">
      <c r="B54" s="109"/>
      <c r="E54" s="98"/>
      <c r="F54" s="110"/>
      <c r="G54" s="110"/>
      <c r="H54" s="110" t="s">
        <v>254</v>
      </c>
      <c r="I54" s="99"/>
    </row>
    <row r="55" spans="2:9">
      <c r="E55" s="101" t="s">
        <v>255</v>
      </c>
      <c r="G55" t="s">
        <v>256</v>
      </c>
      <c r="I55" s="102"/>
    </row>
    <row r="56" spans="2:9">
      <c r="E56" s="101"/>
      <c r="G56" t="s">
        <v>257</v>
      </c>
      <c r="I56" s="102"/>
    </row>
    <row r="57" spans="2:9">
      <c r="E57" s="101"/>
      <c r="G57" t="s">
        <v>258</v>
      </c>
      <c r="I57" s="102"/>
    </row>
    <row r="58" spans="2:9">
      <c r="E58" s="104"/>
      <c r="F58" s="111"/>
      <c r="G58" s="111" t="s">
        <v>259</v>
      </c>
      <c r="H58" s="111"/>
      <c r="I58" s="112"/>
    </row>
  </sheetData>
  <mergeCells count="2">
    <mergeCell ref="H8:I9"/>
    <mergeCell ref="B38:C3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144DC-24D2-41F9-94BF-2D0ABD7C1D51}">
  <sheetPr codeName="Sheet7"/>
  <dimension ref="A2:AJ314"/>
  <sheetViews>
    <sheetView showGridLines="0" zoomScale="70" zoomScaleNormal="70" workbookViewId="0">
      <selection activeCell="C5" sqref="C5"/>
    </sheetView>
  </sheetViews>
  <sheetFormatPr defaultColWidth="8.5703125" defaultRowHeight="14.45"/>
  <cols>
    <col min="1" max="1" width="2.5703125" style="115" customWidth="1"/>
    <col min="2" max="2" width="24" style="115" customWidth="1"/>
    <col min="3" max="3" width="15" style="116" bestFit="1" customWidth="1"/>
    <col min="4" max="4" width="2.5703125" style="115" customWidth="1"/>
    <col min="5" max="5" width="42.140625" style="115" customWidth="1"/>
    <col min="6" max="6" width="8.5703125" style="115"/>
    <col min="7" max="7" width="2.5703125" style="115" customWidth="1"/>
    <col min="8" max="8" width="41.140625" style="115" bestFit="1" customWidth="1"/>
    <col min="9" max="11" width="9.85546875" style="115" bestFit="1" customWidth="1"/>
    <col min="12" max="12" width="25.140625" style="115" bestFit="1" customWidth="1"/>
    <col min="13" max="13" width="9.85546875" style="115" bestFit="1" customWidth="1"/>
    <col min="14" max="15" width="8.5703125" style="115" bestFit="1" customWidth="1"/>
    <col min="16" max="16" width="20.5703125" style="115" bestFit="1" customWidth="1"/>
    <col min="17" max="36" width="8.5703125" style="115" bestFit="1" customWidth="1"/>
    <col min="37" max="16384" width="8.5703125" style="115"/>
  </cols>
  <sheetData>
    <row r="2" spans="2:36" s="113" customFormat="1">
      <c r="B2" s="113" t="s">
        <v>260</v>
      </c>
      <c r="C2" s="114"/>
      <c r="E2" s="113" t="s">
        <v>261</v>
      </c>
      <c r="H2" s="113" t="s">
        <v>262</v>
      </c>
      <c r="L2" s="113" t="s">
        <v>263</v>
      </c>
      <c r="P2" s="113" t="s">
        <v>264</v>
      </c>
    </row>
    <row r="3" spans="2:36">
      <c r="F3" s="113"/>
      <c r="H3" s="113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</row>
    <row r="4" spans="2:36">
      <c r="B4" s="113" t="s">
        <v>148</v>
      </c>
      <c r="E4" s="113" t="s">
        <v>265</v>
      </c>
      <c r="F4" s="113"/>
      <c r="H4" s="113" t="s">
        <v>266</v>
      </c>
      <c r="I4" s="115">
        <v>2023</v>
      </c>
      <c r="J4" s="115">
        <v>2024</v>
      </c>
      <c r="K4" s="115">
        <v>2025</v>
      </c>
      <c r="L4" s="115">
        <v>2026</v>
      </c>
      <c r="M4" s="115">
        <v>2027</v>
      </c>
      <c r="N4" s="115">
        <v>2028</v>
      </c>
      <c r="O4" s="115">
        <v>2029</v>
      </c>
      <c r="P4" s="115">
        <v>2030</v>
      </c>
      <c r="Q4" s="115">
        <v>2031</v>
      </c>
      <c r="R4" s="115">
        <v>2032</v>
      </c>
      <c r="S4" s="115">
        <v>2033</v>
      </c>
      <c r="T4" s="115">
        <v>2034</v>
      </c>
      <c r="U4" s="115">
        <v>2035</v>
      </c>
      <c r="V4" s="115">
        <v>2036</v>
      </c>
      <c r="W4" s="115">
        <v>2037</v>
      </c>
      <c r="X4" s="115">
        <v>2038</v>
      </c>
      <c r="Y4" s="115">
        <v>2039</v>
      </c>
      <c r="Z4" s="115">
        <v>2040</v>
      </c>
      <c r="AA4" s="115">
        <v>2041</v>
      </c>
      <c r="AB4" s="115">
        <v>2042</v>
      </c>
      <c r="AC4" s="115">
        <v>2043</v>
      </c>
      <c r="AD4" s="115">
        <v>2044</v>
      </c>
      <c r="AE4" s="115">
        <v>2045</v>
      </c>
      <c r="AF4" s="115">
        <v>2046</v>
      </c>
      <c r="AG4" s="115">
        <v>2047</v>
      </c>
      <c r="AH4" s="115">
        <v>2048</v>
      </c>
      <c r="AI4" s="115">
        <v>2049</v>
      </c>
      <c r="AJ4" s="115">
        <v>2050</v>
      </c>
    </row>
    <row r="5" spans="2:36">
      <c r="B5" s="117" t="s">
        <v>8</v>
      </c>
      <c r="C5" s="118" t="e">
        <f>#REF!</f>
        <v>#REF!</v>
      </c>
      <c r="E5" s="117" t="s">
        <v>8</v>
      </c>
      <c r="F5" s="147">
        <v>-1</v>
      </c>
      <c r="H5" s="117" t="s">
        <v>8</v>
      </c>
      <c r="I5" s="120"/>
      <c r="J5" s="121">
        <f t="shared" ref="J5:S11" si="0">$I5*($AJ$4-J$4)/27</f>
        <v>0</v>
      </c>
      <c r="K5" s="121">
        <f t="shared" si="0"/>
        <v>0</v>
      </c>
      <c r="L5" s="121">
        <f t="shared" si="0"/>
        <v>0</v>
      </c>
      <c r="M5" s="121">
        <f t="shared" si="0"/>
        <v>0</v>
      </c>
      <c r="N5" s="121">
        <f t="shared" si="0"/>
        <v>0</v>
      </c>
      <c r="O5" s="121">
        <f t="shared" si="0"/>
        <v>0</v>
      </c>
      <c r="P5" s="121">
        <f t="shared" si="0"/>
        <v>0</v>
      </c>
      <c r="Q5" s="121">
        <f t="shared" si="0"/>
        <v>0</v>
      </c>
      <c r="R5" s="121">
        <f t="shared" si="0"/>
        <v>0</v>
      </c>
      <c r="S5" s="121">
        <f t="shared" si="0"/>
        <v>0</v>
      </c>
      <c r="T5" s="121">
        <f t="shared" ref="T5:AC11" si="1">$I5*($AJ$4-T$4)/27</f>
        <v>0</v>
      </c>
      <c r="U5" s="121">
        <f t="shared" si="1"/>
        <v>0</v>
      </c>
      <c r="V5" s="121">
        <f t="shared" si="1"/>
        <v>0</v>
      </c>
      <c r="W5" s="121">
        <f t="shared" si="1"/>
        <v>0</v>
      </c>
      <c r="X5" s="121">
        <f t="shared" si="1"/>
        <v>0</v>
      </c>
      <c r="Y5" s="121">
        <f t="shared" si="1"/>
        <v>0</v>
      </c>
      <c r="Z5" s="121">
        <f t="shared" si="1"/>
        <v>0</v>
      </c>
      <c r="AA5" s="121">
        <f t="shared" si="1"/>
        <v>0</v>
      </c>
      <c r="AB5" s="121">
        <f t="shared" si="1"/>
        <v>0</v>
      </c>
      <c r="AC5" s="121">
        <f t="shared" si="1"/>
        <v>0</v>
      </c>
      <c r="AD5" s="121">
        <f t="shared" ref="AD5:AJ11" si="2">$I5*($AJ$4-AD$4)/27</f>
        <v>0</v>
      </c>
      <c r="AE5" s="121">
        <f t="shared" si="2"/>
        <v>0</v>
      </c>
      <c r="AF5" s="121">
        <f t="shared" si="2"/>
        <v>0</v>
      </c>
      <c r="AG5" s="121">
        <f t="shared" si="2"/>
        <v>0</v>
      </c>
      <c r="AH5" s="121">
        <f t="shared" si="2"/>
        <v>0</v>
      </c>
      <c r="AI5" s="121">
        <f t="shared" si="2"/>
        <v>0</v>
      </c>
      <c r="AJ5" s="121">
        <f t="shared" si="2"/>
        <v>0</v>
      </c>
    </row>
    <row r="6" spans="2:36">
      <c r="B6" s="117" t="s">
        <v>173</v>
      </c>
      <c r="C6" s="122"/>
      <c r="E6" s="35" t="s">
        <v>12</v>
      </c>
      <c r="F6" s="121">
        <f>F$5</f>
        <v>-1</v>
      </c>
      <c r="H6" s="35" t="s">
        <v>12</v>
      </c>
      <c r="I6" s="121">
        <f>I$5</f>
        <v>0</v>
      </c>
      <c r="J6" s="121">
        <f t="shared" si="0"/>
        <v>0</v>
      </c>
      <c r="K6" s="121">
        <f t="shared" si="0"/>
        <v>0</v>
      </c>
      <c r="L6" s="121">
        <f t="shared" si="0"/>
        <v>0</v>
      </c>
      <c r="M6" s="121">
        <f t="shared" si="0"/>
        <v>0</v>
      </c>
      <c r="N6" s="121">
        <f t="shared" si="0"/>
        <v>0</v>
      </c>
      <c r="O6" s="121">
        <f t="shared" si="0"/>
        <v>0</v>
      </c>
      <c r="P6" s="121">
        <f t="shared" si="0"/>
        <v>0</v>
      </c>
      <c r="Q6" s="121">
        <f t="shared" si="0"/>
        <v>0</v>
      </c>
      <c r="R6" s="121">
        <f t="shared" si="0"/>
        <v>0</v>
      </c>
      <c r="S6" s="121">
        <f t="shared" si="0"/>
        <v>0</v>
      </c>
      <c r="T6" s="121">
        <f t="shared" si="1"/>
        <v>0</v>
      </c>
      <c r="U6" s="121">
        <f t="shared" si="1"/>
        <v>0</v>
      </c>
      <c r="V6" s="121">
        <f t="shared" si="1"/>
        <v>0</v>
      </c>
      <c r="W6" s="121">
        <f t="shared" si="1"/>
        <v>0</v>
      </c>
      <c r="X6" s="121">
        <f t="shared" si="1"/>
        <v>0</v>
      </c>
      <c r="Y6" s="121">
        <f t="shared" si="1"/>
        <v>0</v>
      </c>
      <c r="Z6" s="121">
        <f t="shared" si="1"/>
        <v>0</v>
      </c>
      <c r="AA6" s="121">
        <f t="shared" si="1"/>
        <v>0</v>
      </c>
      <c r="AB6" s="121">
        <f t="shared" si="1"/>
        <v>0</v>
      </c>
      <c r="AC6" s="121">
        <f t="shared" si="1"/>
        <v>0</v>
      </c>
      <c r="AD6" s="121">
        <f t="shared" si="2"/>
        <v>0</v>
      </c>
      <c r="AE6" s="121">
        <f t="shared" si="2"/>
        <v>0</v>
      </c>
      <c r="AF6" s="121">
        <f t="shared" si="2"/>
        <v>0</v>
      </c>
      <c r="AG6" s="121">
        <f t="shared" si="2"/>
        <v>0</v>
      </c>
      <c r="AH6" s="121">
        <f t="shared" si="2"/>
        <v>0</v>
      </c>
      <c r="AI6" s="121">
        <f t="shared" si="2"/>
        <v>0</v>
      </c>
      <c r="AJ6" s="121">
        <f t="shared" si="2"/>
        <v>0</v>
      </c>
    </row>
    <row r="7" spans="2:36">
      <c r="B7" s="117" t="s">
        <v>173</v>
      </c>
      <c r="C7" s="122"/>
      <c r="E7" s="35" t="s">
        <v>15</v>
      </c>
      <c r="F7" s="121">
        <f>F$5</f>
        <v>-1</v>
      </c>
      <c r="H7" s="35" t="s">
        <v>15</v>
      </c>
      <c r="I7" s="121">
        <f>I$5</f>
        <v>0</v>
      </c>
      <c r="J7" s="121">
        <f t="shared" si="0"/>
        <v>0</v>
      </c>
      <c r="K7" s="121">
        <f t="shared" si="0"/>
        <v>0</v>
      </c>
      <c r="L7" s="121">
        <f t="shared" si="0"/>
        <v>0</v>
      </c>
      <c r="M7" s="121">
        <f t="shared" si="0"/>
        <v>0</v>
      </c>
      <c r="N7" s="121">
        <f t="shared" si="0"/>
        <v>0</v>
      </c>
      <c r="O7" s="121">
        <f t="shared" si="0"/>
        <v>0</v>
      </c>
      <c r="P7" s="121">
        <f t="shared" si="0"/>
        <v>0</v>
      </c>
      <c r="Q7" s="121">
        <f t="shared" si="0"/>
        <v>0</v>
      </c>
      <c r="R7" s="121">
        <f t="shared" si="0"/>
        <v>0</v>
      </c>
      <c r="S7" s="121">
        <f t="shared" si="0"/>
        <v>0</v>
      </c>
      <c r="T7" s="121">
        <f t="shared" si="1"/>
        <v>0</v>
      </c>
      <c r="U7" s="121">
        <f t="shared" si="1"/>
        <v>0</v>
      </c>
      <c r="V7" s="121">
        <f t="shared" si="1"/>
        <v>0</v>
      </c>
      <c r="W7" s="121">
        <f t="shared" si="1"/>
        <v>0</v>
      </c>
      <c r="X7" s="121">
        <f t="shared" si="1"/>
        <v>0</v>
      </c>
      <c r="Y7" s="121">
        <f t="shared" si="1"/>
        <v>0</v>
      </c>
      <c r="Z7" s="121">
        <f t="shared" si="1"/>
        <v>0</v>
      </c>
      <c r="AA7" s="121">
        <f t="shared" si="1"/>
        <v>0</v>
      </c>
      <c r="AB7" s="121">
        <f t="shared" si="1"/>
        <v>0</v>
      </c>
      <c r="AC7" s="121">
        <f t="shared" si="1"/>
        <v>0</v>
      </c>
      <c r="AD7" s="121">
        <f t="shared" si="2"/>
        <v>0</v>
      </c>
      <c r="AE7" s="121">
        <f t="shared" si="2"/>
        <v>0</v>
      </c>
      <c r="AF7" s="121">
        <f t="shared" si="2"/>
        <v>0</v>
      </c>
      <c r="AG7" s="121">
        <f t="shared" si="2"/>
        <v>0</v>
      </c>
      <c r="AH7" s="121">
        <f t="shared" si="2"/>
        <v>0</v>
      </c>
      <c r="AI7" s="121">
        <f t="shared" si="2"/>
        <v>0</v>
      </c>
      <c r="AJ7" s="121">
        <f t="shared" si="2"/>
        <v>0</v>
      </c>
    </row>
    <row r="8" spans="2:36">
      <c r="B8" s="117" t="s">
        <v>173</v>
      </c>
      <c r="C8" s="122"/>
      <c r="E8" s="35" t="s">
        <v>19</v>
      </c>
      <c r="F8" s="121">
        <f t="shared" ref="F8:F11" si="3">F$5</f>
        <v>-1</v>
      </c>
      <c r="H8" s="35" t="s">
        <v>19</v>
      </c>
      <c r="I8" s="121">
        <f>I$5</f>
        <v>0</v>
      </c>
      <c r="J8" s="121">
        <f t="shared" si="0"/>
        <v>0</v>
      </c>
      <c r="K8" s="121">
        <f t="shared" si="0"/>
        <v>0</v>
      </c>
      <c r="L8" s="121">
        <f t="shared" si="0"/>
        <v>0</v>
      </c>
      <c r="M8" s="121">
        <f t="shared" si="0"/>
        <v>0</v>
      </c>
      <c r="N8" s="121">
        <f t="shared" si="0"/>
        <v>0</v>
      </c>
      <c r="O8" s="121">
        <f t="shared" si="0"/>
        <v>0</v>
      </c>
      <c r="P8" s="121">
        <f t="shared" si="0"/>
        <v>0</v>
      </c>
      <c r="Q8" s="121">
        <f t="shared" si="0"/>
        <v>0</v>
      </c>
      <c r="R8" s="121">
        <f t="shared" si="0"/>
        <v>0</v>
      </c>
      <c r="S8" s="121">
        <f t="shared" si="0"/>
        <v>0</v>
      </c>
      <c r="T8" s="121">
        <f t="shared" si="1"/>
        <v>0</v>
      </c>
      <c r="U8" s="121">
        <f t="shared" si="1"/>
        <v>0</v>
      </c>
      <c r="V8" s="121">
        <f t="shared" si="1"/>
        <v>0</v>
      </c>
      <c r="W8" s="121">
        <f t="shared" si="1"/>
        <v>0</v>
      </c>
      <c r="X8" s="121">
        <f t="shared" si="1"/>
        <v>0</v>
      </c>
      <c r="Y8" s="121">
        <f t="shared" si="1"/>
        <v>0</v>
      </c>
      <c r="Z8" s="121">
        <f t="shared" si="1"/>
        <v>0</v>
      </c>
      <c r="AA8" s="121">
        <f t="shared" si="1"/>
        <v>0</v>
      </c>
      <c r="AB8" s="121">
        <f t="shared" si="1"/>
        <v>0</v>
      </c>
      <c r="AC8" s="121">
        <f t="shared" si="1"/>
        <v>0</v>
      </c>
      <c r="AD8" s="121">
        <f t="shared" si="2"/>
        <v>0</v>
      </c>
      <c r="AE8" s="121">
        <f t="shared" si="2"/>
        <v>0</v>
      </c>
      <c r="AF8" s="121">
        <f t="shared" si="2"/>
        <v>0</v>
      </c>
      <c r="AG8" s="121">
        <f t="shared" si="2"/>
        <v>0</v>
      </c>
      <c r="AH8" s="121">
        <f t="shared" si="2"/>
        <v>0</v>
      </c>
      <c r="AI8" s="121">
        <f t="shared" si="2"/>
        <v>0</v>
      </c>
      <c r="AJ8" s="121">
        <f t="shared" si="2"/>
        <v>0</v>
      </c>
    </row>
    <row r="9" spans="2:36">
      <c r="B9" s="117" t="s">
        <v>173</v>
      </c>
      <c r="C9" s="122"/>
      <c r="E9" s="35" t="s">
        <v>22</v>
      </c>
      <c r="F9" s="121">
        <f t="shared" si="3"/>
        <v>-1</v>
      </c>
      <c r="H9" s="35" t="s">
        <v>22</v>
      </c>
      <c r="I9" s="121">
        <f>I$5</f>
        <v>0</v>
      </c>
      <c r="J9" s="121">
        <f t="shared" si="0"/>
        <v>0</v>
      </c>
      <c r="K9" s="121">
        <f t="shared" si="0"/>
        <v>0</v>
      </c>
      <c r="L9" s="121">
        <f t="shared" si="0"/>
        <v>0</v>
      </c>
      <c r="M9" s="121">
        <f t="shared" si="0"/>
        <v>0</v>
      </c>
      <c r="N9" s="121">
        <f t="shared" si="0"/>
        <v>0</v>
      </c>
      <c r="O9" s="121">
        <f t="shared" si="0"/>
        <v>0</v>
      </c>
      <c r="P9" s="121">
        <f t="shared" si="0"/>
        <v>0</v>
      </c>
      <c r="Q9" s="121">
        <f t="shared" si="0"/>
        <v>0</v>
      </c>
      <c r="R9" s="121">
        <f t="shared" si="0"/>
        <v>0</v>
      </c>
      <c r="S9" s="121">
        <f t="shared" si="0"/>
        <v>0</v>
      </c>
      <c r="T9" s="121">
        <f t="shared" si="1"/>
        <v>0</v>
      </c>
      <c r="U9" s="121">
        <f t="shared" si="1"/>
        <v>0</v>
      </c>
      <c r="V9" s="121">
        <f t="shared" si="1"/>
        <v>0</v>
      </c>
      <c r="W9" s="121">
        <f t="shared" si="1"/>
        <v>0</v>
      </c>
      <c r="X9" s="121">
        <f t="shared" si="1"/>
        <v>0</v>
      </c>
      <c r="Y9" s="121">
        <f t="shared" si="1"/>
        <v>0</v>
      </c>
      <c r="Z9" s="121">
        <f t="shared" si="1"/>
        <v>0</v>
      </c>
      <c r="AA9" s="121">
        <f t="shared" si="1"/>
        <v>0</v>
      </c>
      <c r="AB9" s="121">
        <f t="shared" si="1"/>
        <v>0</v>
      </c>
      <c r="AC9" s="121">
        <f t="shared" si="1"/>
        <v>0</v>
      </c>
      <c r="AD9" s="121">
        <f t="shared" si="2"/>
        <v>0</v>
      </c>
      <c r="AE9" s="121">
        <f t="shared" si="2"/>
        <v>0</v>
      </c>
      <c r="AF9" s="121">
        <f t="shared" si="2"/>
        <v>0</v>
      </c>
      <c r="AG9" s="121">
        <f t="shared" si="2"/>
        <v>0</v>
      </c>
      <c r="AH9" s="121">
        <f t="shared" si="2"/>
        <v>0</v>
      </c>
      <c r="AI9" s="121">
        <f t="shared" si="2"/>
        <v>0</v>
      </c>
      <c r="AJ9" s="121">
        <f t="shared" si="2"/>
        <v>0</v>
      </c>
    </row>
    <row r="10" spans="2:36">
      <c r="B10" s="117" t="s">
        <v>173</v>
      </c>
      <c r="C10" s="122"/>
      <c r="E10" s="35" t="s">
        <v>24</v>
      </c>
      <c r="F10" s="121">
        <f t="shared" si="3"/>
        <v>-1</v>
      </c>
      <c r="H10" s="35" t="s">
        <v>24</v>
      </c>
      <c r="I10" s="78">
        <f>MAX(I$5, $I$5/2)</f>
        <v>0</v>
      </c>
      <c r="J10" s="121">
        <f t="shared" si="0"/>
        <v>0</v>
      </c>
      <c r="K10" s="121">
        <f t="shared" si="0"/>
        <v>0</v>
      </c>
      <c r="L10" s="121">
        <f t="shared" si="0"/>
        <v>0</v>
      </c>
      <c r="M10" s="121">
        <f t="shared" si="0"/>
        <v>0</v>
      </c>
      <c r="N10" s="121">
        <f t="shared" si="0"/>
        <v>0</v>
      </c>
      <c r="O10" s="121">
        <f t="shared" si="0"/>
        <v>0</v>
      </c>
      <c r="P10" s="121">
        <f t="shared" si="0"/>
        <v>0</v>
      </c>
      <c r="Q10" s="121">
        <f t="shared" si="0"/>
        <v>0</v>
      </c>
      <c r="R10" s="121">
        <f t="shared" si="0"/>
        <v>0</v>
      </c>
      <c r="S10" s="121">
        <f t="shared" si="0"/>
        <v>0</v>
      </c>
      <c r="T10" s="121">
        <f t="shared" si="1"/>
        <v>0</v>
      </c>
      <c r="U10" s="121">
        <f t="shared" si="1"/>
        <v>0</v>
      </c>
      <c r="V10" s="121">
        <f t="shared" si="1"/>
        <v>0</v>
      </c>
      <c r="W10" s="121">
        <f t="shared" si="1"/>
        <v>0</v>
      </c>
      <c r="X10" s="121">
        <f t="shared" si="1"/>
        <v>0</v>
      </c>
      <c r="Y10" s="121">
        <f t="shared" si="1"/>
        <v>0</v>
      </c>
      <c r="Z10" s="121">
        <f t="shared" si="1"/>
        <v>0</v>
      </c>
      <c r="AA10" s="121">
        <f t="shared" si="1"/>
        <v>0</v>
      </c>
      <c r="AB10" s="121">
        <f t="shared" si="1"/>
        <v>0</v>
      </c>
      <c r="AC10" s="121">
        <f t="shared" si="1"/>
        <v>0</v>
      </c>
      <c r="AD10" s="121">
        <f t="shared" si="2"/>
        <v>0</v>
      </c>
      <c r="AE10" s="121">
        <f t="shared" si="2"/>
        <v>0</v>
      </c>
      <c r="AF10" s="121">
        <f t="shared" si="2"/>
        <v>0</v>
      </c>
      <c r="AG10" s="121">
        <f t="shared" si="2"/>
        <v>0</v>
      </c>
      <c r="AH10" s="121">
        <f t="shared" si="2"/>
        <v>0</v>
      </c>
      <c r="AI10" s="121">
        <f t="shared" si="2"/>
        <v>0</v>
      </c>
      <c r="AJ10" s="121">
        <f t="shared" si="2"/>
        <v>0</v>
      </c>
    </row>
    <row r="11" spans="2:36">
      <c r="B11" s="117" t="s">
        <v>173</v>
      </c>
      <c r="C11" s="122"/>
      <c r="E11" s="35" t="s">
        <v>25</v>
      </c>
      <c r="F11" s="121">
        <f t="shared" si="3"/>
        <v>-1</v>
      </c>
      <c r="H11" s="35" t="s">
        <v>25</v>
      </c>
      <c r="I11" s="78">
        <f>MAX(I$5, $I$5/2)</f>
        <v>0</v>
      </c>
      <c r="J11" s="121">
        <f t="shared" si="0"/>
        <v>0</v>
      </c>
      <c r="K11" s="121">
        <f t="shared" si="0"/>
        <v>0</v>
      </c>
      <c r="L11" s="121">
        <f t="shared" si="0"/>
        <v>0</v>
      </c>
      <c r="M11" s="121">
        <f t="shared" si="0"/>
        <v>0</v>
      </c>
      <c r="N11" s="121">
        <f t="shared" si="0"/>
        <v>0</v>
      </c>
      <c r="O11" s="121">
        <f t="shared" si="0"/>
        <v>0</v>
      </c>
      <c r="P11" s="121">
        <f t="shared" si="0"/>
        <v>0</v>
      </c>
      <c r="Q11" s="121">
        <f t="shared" si="0"/>
        <v>0</v>
      </c>
      <c r="R11" s="121">
        <f t="shared" si="0"/>
        <v>0</v>
      </c>
      <c r="S11" s="121">
        <f t="shared" si="0"/>
        <v>0</v>
      </c>
      <c r="T11" s="121">
        <f t="shared" si="1"/>
        <v>0</v>
      </c>
      <c r="U11" s="121">
        <f t="shared" si="1"/>
        <v>0</v>
      </c>
      <c r="V11" s="121">
        <f t="shared" si="1"/>
        <v>0</v>
      </c>
      <c r="W11" s="121">
        <f t="shared" si="1"/>
        <v>0</v>
      </c>
      <c r="X11" s="121">
        <f t="shared" si="1"/>
        <v>0</v>
      </c>
      <c r="Y11" s="121">
        <f t="shared" si="1"/>
        <v>0</v>
      </c>
      <c r="Z11" s="121">
        <f t="shared" si="1"/>
        <v>0</v>
      </c>
      <c r="AA11" s="121">
        <f t="shared" si="1"/>
        <v>0</v>
      </c>
      <c r="AB11" s="121">
        <f t="shared" si="1"/>
        <v>0</v>
      </c>
      <c r="AC11" s="121">
        <f t="shared" si="1"/>
        <v>0</v>
      </c>
      <c r="AD11" s="121">
        <f t="shared" si="2"/>
        <v>0</v>
      </c>
      <c r="AE11" s="121">
        <f t="shared" si="2"/>
        <v>0</v>
      </c>
      <c r="AF11" s="121">
        <f t="shared" si="2"/>
        <v>0</v>
      </c>
      <c r="AG11" s="121">
        <f t="shared" si="2"/>
        <v>0</v>
      </c>
      <c r="AH11" s="121">
        <f t="shared" si="2"/>
        <v>0</v>
      </c>
      <c r="AI11" s="121">
        <f t="shared" si="2"/>
        <v>0</v>
      </c>
      <c r="AJ11" s="121">
        <f t="shared" si="2"/>
        <v>0</v>
      </c>
    </row>
    <row r="12" spans="2:36">
      <c r="B12" s="117" t="s">
        <v>173</v>
      </c>
      <c r="C12" s="122"/>
      <c r="E12" s="117"/>
      <c r="F12" s="121"/>
      <c r="H12" s="117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</row>
    <row r="13" spans="2:36">
      <c r="B13" s="117" t="s">
        <v>173</v>
      </c>
      <c r="C13" s="122"/>
      <c r="E13" s="117"/>
      <c r="F13" s="121"/>
      <c r="H13" s="117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</row>
    <row r="14" spans="2:36">
      <c r="B14" s="117" t="s">
        <v>173</v>
      </c>
      <c r="C14" s="122"/>
      <c r="E14" s="117"/>
      <c r="F14" s="121"/>
      <c r="H14" s="117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</row>
    <row r="15" spans="2:36"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</row>
    <row r="16" spans="2:36">
      <c r="B16" s="113" t="s">
        <v>168</v>
      </c>
      <c r="E16" s="113" t="s">
        <v>267</v>
      </c>
      <c r="H16" s="113" t="s">
        <v>65</v>
      </c>
      <c r="I16" s="115">
        <v>2023</v>
      </c>
      <c r="J16" s="115">
        <v>2024</v>
      </c>
      <c r="K16" s="115">
        <v>2025</v>
      </c>
      <c r="L16" s="115">
        <v>2026</v>
      </c>
      <c r="M16" s="115">
        <v>2027</v>
      </c>
      <c r="N16" s="115">
        <v>2028</v>
      </c>
      <c r="O16" s="115">
        <v>2029</v>
      </c>
      <c r="P16" s="115">
        <v>2030</v>
      </c>
      <c r="Q16" s="115">
        <v>2031</v>
      </c>
      <c r="R16" s="115">
        <v>2032</v>
      </c>
      <c r="S16" s="115">
        <v>2033</v>
      </c>
      <c r="T16" s="115">
        <v>2034</v>
      </c>
      <c r="U16" s="115">
        <v>2035</v>
      </c>
      <c r="V16" s="115">
        <v>2036</v>
      </c>
      <c r="W16" s="115">
        <v>2037</v>
      </c>
      <c r="X16" s="115">
        <v>2038</v>
      </c>
      <c r="Y16" s="115">
        <v>2039</v>
      </c>
      <c r="Z16" s="115">
        <v>2040</v>
      </c>
      <c r="AA16" s="115">
        <v>2041</v>
      </c>
      <c r="AB16" s="115">
        <v>2042</v>
      </c>
      <c r="AC16" s="115">
        <v>2043</v>
      </c>
      <c r="AD16" s="115">
        <v>2044</v>
      </c>
      <c r="AE16" s="115">
        <v>2045</v>
      </c>
      <c r="AF16" s="115">
        <v>2046</v>
      </c>
      <c r="AG16" s="115">
        <v>2047</v>
      </c>
      <c r="AH16" s="115">
        <v>2048</v>
      </c>
      <c r="AI16" s="115">
        <v>2049</v>
      </c>
      <c r="AJ16" s="115">
        <v>2050</v>
      </c>
    </row>
    <row r="17" spans="2:36">
      <c r="B17" s="117" t="s">
        <v>8</v>
      </c>
      <c r="C17" s="124" t="e">
        <f>#REF!</f>
        <v>#REF!</v>
      </c>
      <c r="E17" s="117" t="s">
        <v>8</v>
      </c>
      <c r="F17" s="119">
        <v>1.5</v>
      </c>
      <c r="H17" s="117" t="s">
        <v>8</v>
      </c>
      <c r="I17" s="125"/>
      <c r="J17" s="121">
        <f t="shared" ref="J17:AJ17" si="4">$I17*($AJ$16-J$16)/27</f>
        <v>0</v>
      </c>
      <c r="K17" s="121">
        <f t="shared" si="4"/>
        <v>0</v>
      </c>
      <c r="L17" s="121">
        <f t="shared" si="4"/>
        <v>0</v>
      </c>
      <c r="M17" s="121">
        <f t="shared" si="4"/>
        <v>0</v>
      </c>
      <c r="N17" s="121">
        <f t="shared" si="4"/>
        <v>0</v>
      </c>
      <c r="O17" s="121">
        <f t="shared" si="4"/>
        <v>0</v>
      </c>
      <c r="P17" s="121">
        <f t="shared" si="4"/>
        <v>0</v>
      </c>
      <c r="Q17" s="121">
        <f t="shared" si="4"/>
        <v>0</v>
      </c>
      <c r="R17" s="121">
        <f t="shared" si="4"/>
        <v>0</v>
      </c>
      <c r="S17" s="121">
        <f t="shared" si="4"/>
        <v>0</v>
      </c>
      <c r="T17" s="121">
        <f t="shared" si="4"/>
        <v>0</v>
      </c>
      <c r="U17" s="121">
        <f t="shared" si="4"/>
        <v>0</v>
      </c>
      <c r="V17" s="121">
        <f t="shared" si="4"/>
        <v>0</v>
      </c>
      <c r="W17" s="121">
        <f t="shared" si="4"/>
        <v>0</v>
      </c>
      <c r="X17" s="121">
        <f t="shared" si="4"/>
        <v>0</v>
      </c>
      <c r="Y17" s="121">
        <f t="shared" si="4"/>
        <v>0</v>
      </c>
      <c r="Z17" s="121">
        <f t="shared" si="4"/>
        <v>0</v>
      </c>
      <c r="AA17" s="121">
        <f t="shared" si="4"/>
        <v>0</v>
      </c>
      <c r="AB17" s="121">
        <f t="shared" si="4"/>
        <v>0</v>
      </c>
      <c r="AC17" s="121">
        <f t="shared" si="4"/>
        <v>0</v>
      </c>
      <c r="AD17" s="121">
        <f t="shared" si="4"/>
        <v>0</v>
      </c>
      <c r="AE17" s="121">
        <f t="shared" si="4"/>
        <v>0</v>
      </c>
      <c r="AF17" s="121">
        <f t="shared" si="4"/>
        <v>0</v>
      </c>
      <c r="AG17" s="121">
        <f t="shared" si="4"/>
        <v>0</v>
      </c>
      <c r="AH17" s="121">
        <f t="shared" si="4"/>
        <v>0</v>
      </c>
      <c r="AI17" s="121">
        <f t="shared" si="4"/>
        <v>0</v>
      </c>
      <c r="AJ17" s="121">
        <f t="shared" si="4"/>
        <v>0</v>
      </c>
    </row>
    <row r="18" spans="2:36">
      <c r="B18" s="117" t="s">
        <v>173</v>
      </c>
      <c r="C18" s="122"/>
      <c r="E18" s="35" t="s">
        <v>12</v>
      </c>
      <c r="F18" s="121">
        <f>F$17</f>
        <v>1.5</v>
      </c>
      <c r="H18" s="35" t="s">
        <v>12</v>
      </c>
      <c r="I18" s="123">
        <f t="shared" ref="I18:X23" si="5">I$17</f>
        <v>0</v>
      </c>
      <c r="J18" s="121">
        <f t="shared" si="5"/>
        <v>0</v>
      </c>
      <c r="K18" s="121">
        <f t="shared" si="5"/>
        <v>0</v>
      </c>
      <c r="L18" s="121">
        <f t="shared" si="5"/>
        <v>0</v>
      </c>
      <c r="M18" s="121">
        <f t="shared" si="5"/>
        <v>0</v>
      </c>
      <c r="N18" s="121">
        <f t="shared" si="5"/>
        <v>0</v>
      </c>
      <c r="O18" s="121">
        <f t="shared" si="5"/>
        <v>0</v>
      </c>
      <c r="P18" s="121">
        <f t="shared" si="5"/>
        <v>0</v>
      </c>
      <c r="Q18" s="121">
        <f t="shared" si="5"/>
        <v>0</v>
      </c>
      <c r="R18" s="121">
        <f t="shared" si="5"/>
        <v>0</v>
      </c>
      <c r="S18" s="121">
        <f t="shared" si="5"/>
        <v>0</v>
      </c>
      <c r="T18" s="121">
        <f t="shared" si="5"/>
        <v>0</v>
      </c>
      <c r="U18" s="121">
        <f t="shared" si="5"/>
        <v>0</v>
      </c>
      <c r="V18" s="121">
        <f t="shared" si="5"/>
        <v>0</v>
      </c>
      <c r="W18" s="121">
        <f t="shared" si="5"/>
        <v>0</v>
      </c>
      <c r="X18" s="121">
        <f t="shared" si="5"/>
        <v>0</v>
      </c>
      <c r="Y18" s="121">
        <f t="shared" ref="Y18:AJ23" si="6">Y$17</f>
        <v>0</v>
      </c>
      <c r="Z18" s="121">
        <f t="shared" si="6"/>
        <v>0</v>
      </c>
      <c r="AA18" s="121">
        <f t="shared" si="6"/>
        <v>0</v>
      </c>
      <c r="AB18" s="121">
        <f t="shared" si="6"/>
        <v>0</v>
      </c>
      <c r="AC18" s="121">
        <f t="shared" si="6"/>
        <v>0</v>
      </c>
      <c r="AD18" s="121">
        <f t="shared" si="6"/>
        <v>0</v>
      </c>
      <c r="AE18" s="121">
        <f t="shared" si="6"/>
        <v>0</v>
      </c>
      <c r="AF18" s="121">
        <f t="shared" si="6"/>
        <v>0</v>
      </c>
      <c r="AG18" s="121">
        <f t="shared" si="6"/>
        <v>0</v>
      </c>
      <c r="AH18" s="121">
        <f t="shared" si="6"/>
        <v>0</v>
      </c>
      <c r="AI18" s="121">
        <f t="shared" si="6"/>
        <v>0</v>
      </c>
      <c r="AJ18" s="121">
        <f t="shared" si="6"/>
        <v>0</v>
      </c>
    </row>
    <row r="19" spans="2:36">
      <c r="B19" s="117" t="s">
        <v>173</v>
      </c>
      <c r="C19" s="122"/>
      <c r="E19" s="35" t="s">
        <v>15</v>
      </c>
      <c r="F19" s="121">
        <f t="shared" ref="F19:F22" si="7">F$17</f>
        <v>1.5</v>
      </c>
      <c r="H19" s="35" t="s">
        <v>15</v>
      </c>
      <c r="I19" s="123">
        <f t="shared" si="5"/>
        <v>0</v>
      </c>
      <c r="J19" s="121">
        <f t="shared" si="5"/>
        <v>0</v>
      </c>
      <c r="K19" s="121">
        <f t="shared" si="5"/>
        <v>0</v>
      </c>
      <c r="L19" s="121">
        <f t="shared" si="5"/>
        <v>0</v>
      </c>
      <c r="M19" s="121">
        <f t="shared" si="5"/>
        <v>0</v>
      </c>
      <c r="N19" s="121">
        <f t="shared" si="5"/>
        <v>0</v>
      </c>
      <c r="O19" s="121">
        <f t="shared" si="5"/>
        <v>0</v>
      </c>
      <c r="P19" s="121">
        <f t="shared" si="5"/>
        <v>0</v>
      </c>
      <c r="Q19" s="121">
        <f t="shared" si="5"/>
        <v>0</v>
      </c>
      <c r="R19" s="121">
        <f t="shared" si="5"/>
        <v>0</v>
      </c>
      <c r="S19" s="121">
        <f t="shared" si="5"/>
        <v>0</v>
      </c>
      <c r="T19" s="121">
        <f t="shared" si="5"/>
        <v>0</v>
      </c>
      <c r="U19" s="121">
        <f t="shared" si="5"/>
        <v>0</v>
      </c>
      <c r="V19" s="121">
        <f t="shared" si="5"/>
        <v>0</v>
      </c>
      <c r="W19" s="121">
        <f t="shared" si="5"/>
        <v>0</v>
      </c>
      <c r="X19" s="121">
        <f t="shared" si="5"/>
        <v>0</v>
      </c>
      <c r="Y19" s="121">
        <f t="shared" si="6"/>
        <v>0</v>
      </c>
      <c r="Z19" s="121">
        <f t="shared" si="6"/>
        <v>0</v>
      </c>
      <c r="AA19" s="121">
        <f t="shared" si="6"/>
        <v>0</v>
      </c>
      <c r="AB19" s="121">
        <f t="shared" si="6"/>
        <v>0</v>
      </c>
      <c r="AC19" s="121">
        <f t="shared" si="6"/>
        <v>0</v>
      </c>
      <c r="AD19" s="121">
        <f t="shared" si="6"/>
        <v>0</v>
      </c>
      <c r="AE19" s="121">
        <f t="shared" si="6"/>
        <v>0</v>
      </c>
      <c r="AF19" s="121">
        <f t="shared" si="6"/>
        <v>0</v>
      </c>
      <c r="AG19" s="121">
        <f t="shared" si="6"/>
        <v>0</v>
      </c>
      <c r="AH19" s="121">
        <f t="shared" si="6"/>
        <v>0</v>
      </c>
      <c r="AI19" s="121">
        <f t="shared" si="6"/>
        <v>0</v>
      </c>
      <c r="AJ19" s="121">
        <f t="shared" si="6"/>
        <v>0</v>
      </c>
    </row>
    <row r="20" spans="2:36">
      <c r="B20" s="117" t="s">
        <v>173</v>
      </c>
      <c r="C20" s="122"/>
      <c r="E20" s="35" t="s">
        <v>19</v>
      </c>
      <c r="F20" s="121">
        <f t="shared" si="7"/>
        <v>1.5</v>
      </c>
      <c r="H20" s="35" t="s">
        <v>19</v>
      </c>
      <c r="I20" s="123">
        <f t="shared" si="5"/>
        <v>0</v>
      </c>
      <c r="J20" s="121">
        <f t="shared" si="5"/>
        <v>0</v>
      </c>
      <c r="K20" s="121">
        <f t="shared" si="5"/>
        <v>0</v>
      </c>
      <c r="L20" s="121">
        <f t="shared" si="5"/>
        <v>0</v>
      </c>
      <c r="M20" s="121">
        <f t="shared" si="5"/>
        <v>0</v>
      </c>
      <c r="N20" s="121">
        <f t="shared" si="5"/>
        <v>0</v>
      </c>
      <c r="O20" s="121">
        <f t="shared" si="5"/>
        <v>0</v>
      </c>
      <c r="P20" s="121">
        <f t="shared" si="5"/>
        <v>0</v>
      </c>
      <c r="Q20" s="121">
        <f t="shared" si="5"/>
        <v>0</v>
      </c>
      <c r="R20" s="121">
        <f t="shared" si="5"/>
        <v>0</v>
      </c>
      <c r="S20" s="121">
        <f t="shared" si="5"/>
        <v>0</v>
      </c>
      <c r="T20" s="121">
        <f t="shared" si="5"/>
        <v>0</v>
      </c>
      <c r="U20" s="121">
        <f t="shared" si="5"/>
        <v>0</v>
      </c>
      <c r="V20" s="121">
        <f t="shared" si="5"/>
        <v>0</v>
      </c>
      <c r="W20" s="121">
        <f t="shared" si="5"/>
        <v>0</v>
      </c>
      <c r="X20" s="121">
        <f t="shared" si="5"/>
        <v>0</v>
      </c>
      <c r="Y20" s="121">
        <f t="shared" si="6"/>
        <v>0</v>
      </c>
      <c r="Z20" s="121">
        <f t="shared" si="6"/>
        <v>0</v>
      </c>
      <c r="AA20" s="121">
        <f t="shared" si="6"/>
        <v>0</v>
      </c>
      <c r="AB20" s="121">
        <f t="shared" si="6"/>
        <v>0</v>
      </c>
      <c r="AC20" s="121">
        <f t="shared" si="6"/>
        <v>0</v>
      </c>
      <c r="AD20" s="121">
        <f t="shared" si="6"/>
        <v>0</v>
      </c>
      <c r="AE20" s="121">
        <f t="shared" si="6"/>
        <v>0</v>
      </c>
      <c r="AF20" s="121">
        <f t="shared" si="6"/>
        <v>0</v>
      </c>
      <c r="AG20" s="121">
        <f t="shared" si="6"/>
        <v>0</v>
      </c>
      <c r="AH20" s="121">
        <f t="shared" si="6"/>
        <v>0</v>
      </c>
      <c r="AI20" s="121">
        <f t="shared" si="6"/>
        <v>0</v>
      </c>
      <c r="AJ20" s="121">
        <f t="shared" si="6"/>
        <v>0</v>
      </c>
    </row>
    <row r="21" spans="2:36">
      <c r="B21" s="117" t="s">
        <v>173</v>
      </c>
      <c r="C21" s="122"/>
      <c r="E21" s="35" t="s">
        <v>22</v>
      </c>
      <c r="F21" s="121">
        <f t="shared" si="7"/>
        <v>1.5</v>
      </c>
      <c r="H21" s="35" t="s">
        <v>22</v>
      </c>
      <c r="I21" s="123">
        <f t="shared" si="5"/>
        <v>0</v>
      </c>
      <c r="J21" s="121">
        <f t="shared" si="5"/>
        <v>0</v>
      </c>
      <c r="K21" s="121">
        <f t="shared" si="5"/>
        <v>0</v>
      </c>
      <c r="L21" s="121">
        <f t="shared" si="5"/>
        <v>0</v>
      </c>
      <c r="M21" s="121">
        <f t="shared" si="5"/>
        <v>0</v>
      </c>
      <c r="N21" s="121">
        <f t="shared" si="5"/>
        <v>0</v>
      </c>
      <c r="O21" s="121">
        <f t="shared" si="5"/>
        <v>0</v>
      </c>
      <c r="P21" s="121">
        <f t="shared" si="5"/>
        <v>0</v>
      </c>
      <c r="Q21" s="121">
        <f t="shared" si="5"/>
        <v>0</v>
      </c>
      <c r="R21" s="121">
        <f t="shared" si="5"/>
        <v>0</v>
      </c>
      <c r="S21" s="121">
        <f t="shared" si="5"/>
        <v>0</v>
      </c>
      <c r="T21" s="121">
        <f t="shared" si="5"/>
        <v>0</v>
      </c>
      <c r="U21" s="121">
        <f t="shared" si="5"/>
        <v>0</v>
      </c>
      <c r="V21" s="121">
        <f t="shared" si="5"/>
        <v>0</v>
      </c>
      <c r="W21" s="121">
        <f t="shared" si="5"/>
        <v>0</v>
      </c>
      <c r="X21" s="121">
        <f t="shared" si="5"/>
        <v>0</v>
      </c>
      <c r="Y21" s="121">
        <f t="shared" si="6"/>
        <v>0</v>
      </c>
      <c r="Z21" s="121">
        <f t="shared" si="6"/>
        <v>0</v>
      </c>
      <c r="AA21" s="121">
        <f t="shared" si="6"/>
        <v>0</v>
      </c>
      <c r="AB21" s="121">
        <f t="shared" si="6"/>
        <v>0</v>
      </c>
      <c r="AC21" s="121">
        <f t="shared" si="6"/>
        <v>0</v>
      </c>
      <c r="AD21" s="121">
        <f t="shared" si="6"/>
        <v>0</v>
      </c>
      <c r="AE21" s="121">
        <f t="shared" si="6"/>
        <v>0</v>
      </c>
      <c r="AF21" s="121">
        <f t="shared" si="6"/>
        <v>0</v>
      </c>
      <c r="AG21" s="121">
        <f t="shared" si="6"/>
        <v>0</v>
      </c>
      <c r="AH21" s="121">
        <f t="shared" si="6"/>
        <v>0</v>
      </c>
      <c r="AI21" s="121">
        <f t="shared" si="6"/>
        <v>0</v>
      </c>
      <c r="AJ21" s="121">
        <f t="shared" si="6"/>
        <v>0</v>
      </c>
    </row>
    <row r="22" spans="2:36">
      <c r="B22" s="117" t="s">
        <v>173</v>
      </c>
      <c r="C22" s="122"/>
      <c r="E22" s="35" t="s">
        <v>24</v>
      </c>
      <c r="F22" s="121">
        <f t="shared" si="7"/>
        <v>1.5</v>
      </c>
      <c r="H22" s="35" t="s">
        <v>24</v>
      </c>
      <c r="I22" s="123">
        <f t="shared" si="5"/>
        <v>0</v>
      </c>
      <c r="J22" s="121">
        <f t="shared" si="5"/>
        <v>0</v>
      </c>
      <c r="K22" s="121">
        <f t="shared" si="5"/>
        <v>0</v>
      </c>
      <c r="L22" s="121">
        <f t="shared" si="5"/>
        <v>0</v>
      </c>
      <c r="M22" s="121">
        <f t="shared" si="5"/>
        <v>0</v>
      </c>
      <c r="N22" s="121">
        <f t="shared" si="5"/>
        <v>0</v>
      </c>
      <c r="O22" s="121">
        <f t="shared" si="5"/>
        <v>0</v>
      </c>
      <c r="P22" s="121">
        <f t="shared" si="5"/>
        <v>0</v>
      </c>
      <c r="Q22" s="121">
        <f t="shared" si="5"/>
        <v>0</v>
      </c>
      <c r="R22" s="121">
        <f t="shared" si="5"/>
        <v>0</v>
      </c>
      <c r="S22" s="121">
        <f t="shared" si="5"/>
        <v>0</v>
      </c>
      <c r="T22" s="121">
        <f t="shared" si="5"/>
        <v>0</v>
      </c>
      <c r="U22" s="121">
        <f t="shared" si="5"/>
        <v>0</v>
      </c>
      <c r="V22" s="121">
        <f t="shared" si="5"/>
        <v>0</v>
      </c>
      <c r="W22" s="121">
        <f t="shared" si="5"/>
        <v>0</v>
      </c>
      <c r="X22" s="121">
        <f t="shared" si="5"/>
        <v>0</v>
      </c>
      <c r="Y22" s="121">
        <f t="shared" si="6"/>
        <v>0</v>
      </c>
      <c r="Z22" s="121">
        <f t="shared" si="6"/>
        <v>0</v>
      </c>
      <c r="AA22" s="121">
        <f t="shared" si="6"/>
        <v>0</v>
      </c>
      <c r="AB22" s="121">
        <f t="shared" si="6"/>
        <v>0</v>
      </c>
      <c r="AC22" s="121">
        <f t="shared" si="6"/>
        <v>0</v>
      </c>
      <c r="AD22" s="121">
        <f t="shared" si="6"/>
        <v>0</v>
      </c>
      <c r="AE22" s="121">
        <f t="shared" si="6"/>
        <v>0</v>
      </c>
      <c r="AF22" s="121">
        <f t="shared" si="6"/>
        <v>0</v>
      </c>
      <c r="AG22" s="121">
        <f t="shared" si="6"/>
        <v>0</v>
      </c>
      <c r="AH22" s="121">
        <f t="shared" si="6"/>
        <v>0</v>
      </c>
      <c r="AI22" s="121">
        <f t="shared" si="6"/>
        <v>0</v>
      </c>
      <c r="AJ22" s="121">
        <f t="shared" si="6"/>
        <v>0</v>
      </c>
    </row>
    <row r="23" spans="2:36">
      <c r="B23" s="117" t="s">
        <v>173</v>
      </c>
      <c r="C23" s="122"/>
      <c r="E23" s="35" t="s">
        <v>25</v>
      </c>
      <c r="F23" s="121">
        <f>F$17</f>
        <v>1.5</v>
      </c>
      <c r="H23" s="35" t="s">
        <v>25</v>
      </c>
      <c r="I23" s="123">
        <f t="shared" si="5"/>
        <v>0</v>
      </c>
      <c r="J23" s="121">
        <f t="shared" si="5"/>
        <v>0</v>
      </c>
      <c r="K23" s="121">
        <f t="shared" si="5"/>
        <v>0</v>
      </c>
      <c r="L23" s="121">
        <f t="shared" si="5"/>
        <v>0</v>
      </c>
      <c r="M23" s="121">
        <f t="shared" si="5"/>
        <v>0</v>
      </c>
      <c r="N23" s="121">
        <f t="shared" si="5"/>
        <v>0</v>
      </c>
      <c r="O23" s="121">
        <f t="shared" si="5"/>
        <v>0</v>
      </c>
      <c r="P23" s="121">
        <f t="shared" si="5"/>
        <v>0</v>
      </c>
      <c r="Q23" s="121">
        <f t="shared" si="5"/>
        <v>0</v>
      </c>
      <c r="R23" s="121">
        <f t="shared" si="5"/>
        <v>0</v>
      </c>
      <c r="S23" s="121">
        <f t="shared" si="5"/>
        <v>0</v>
      </c>
      <c r="T23" s="121">
        <f t="shared" si="5"/>
        <v>0</v>
      </c>
      <c r="U23" s="121">
        <f t="shared" si="5"/>
        <v>0</v>
      </c>
      <c r="V23" s="121">
        <f t="shared" si="5"/>
        <v>0</v>
      </c>
      <c r="W23" s="121">
        <f t="shared" si="5"/>
        <v>0</v>
      </c>
      <c r="X23" s="121">
        <f t="shared" si="5"/>
        <v>0</v>
      </c>
      <c r="Y23" s="121">
        <f t="shared" si="6"/>
        <v>0</v>
      </c>
      <c r="Z23" s="121">
        <f t="shared" si="6"/>
        <v>0</v>
      </c>
      <c r="AA23" s="121">
        <f t="shared" si="6"/>
        <v>0</v>
      </c>
      <c r="AB23" s="121">
        <f t="shared" si="6"/>
        <v>0</v>
      </c>
      <c r="AC23" s="121">
        <f t="shared" si="6"/>
        <v>0</v>
      </c>
      <c r="AD23" s="121">
        <f t="shared" si="6"/>
        <v>0</v>
      </c>
      <c r="AE23" s="121">
        <f t="shared" si="6"/>
        <v>0</v>
      </c>
      <c r="AF23" s="121">
        <f t="shared" si="6"/>
        <v>0</v>
      </c>
      <c r="AG23" s="121">
        <f t="shared" si="6"/>
        <v>0</v>
      </c>
      <c r="AH23" s="121">
        <f t="shared" si="6"/>
        <v>0</v>
      </c>
      <c r="AI23" s="121">
        <f t="shared" si="6"/>
        <v>0</v>
      </c>
      <c r="AJ23" s="121">
        <f t="shared" si="6"/>
        <v>0</v>
      </c>
    </row>
    <row r="24" spans="2:36">
      <c r="B24" s="117" t="s">
        <v>173</v>
      </c>
      <c r="C24" s="122"/>
      <c r="E24" s="117"/>
      <c r="F24" s="121"/>
      <c r="H24" s="126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</row>
    <row r="25" spans="2:36">
      <c r="B25" s="117" t="s">
        <v>173</v>
      </c>
      <c r="C25" s="122"/>
      <c r="E25" s="117"/>
      <c r="F25" s="121"/>
      <c r="H25" s="117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</row>
    <row r="26" spans="2:36">
      <c r="B26" s="117" t="s">
        <v>173</v>
      </c>
      <c r="C26" s="122"/>
      <c r="E26" s="117"/>
      <c r="F26" s="121"/>
      <c r="H26" s="117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</row>
    <row r="28" spans="2:36">
      <c r="B28" s="113" t="s">
        <v>167</v>
      </c>
      <c r="E28" s="113" t="s">
        <v>268</v>
      </c>
      <c r="H28" s="113" t="s">
        <v>66</v>
      </c>
      <c r="I28" s="115">
        <v>2023</v>
      </c>
      <c r="J28" s="115">
        <v>2024</v>
      </c>
      <c r="K28" s="115">
        <v>2025</v>
      </c>
      <c r="L28" s="115">
        <v>2026</v>
      </c>
      <c r="M28" s="115">
        <v>2027</v>
      </c>
      <c r="N28" s="115">
        <v>2028</v>
      </c>
      <c r="O28" s="115">
        <v>2029</v>
      </c>
      <c r="P28" s="115">
        <v>2030</v>
      </c>
      <c r="Q28" s="115">
        <v>2031</v>
      </c>
      <c r="R28" s="115">
        <v>2032</v>
      </c>
      <c r="S28" s="115">
        <v>2033</v>
      </c>
      <c r="T28" s="115">
        <v>2034</v>
      </c>
      <c r="U28" s="115">
        <v>2035</v>
      </c>
      <c r="V28" s="115">
        <v>2036</v>
      </c>
      <c r="W28" s="115">
        <v>2037</v>
      </c>
      <c r="X28" s="115">
        <v>2038</v>
      </c>
      <c r="Y28" s="115">
        <v>2039</v>
      </c>
      <c r="Z28" s="115">
        <v>2040</v>
      </c>
      <c r="AA28" s="115">
        <v>2041</v>
      </c>
      <c r="AB28" s="115">
        <v>2042</v>
      </c>
      <c r="AC28" s="115">
        <v>2043</v>
      </c>
      <c r="AD28" s="115">
        <v>2044</v>
      </c>
      <c r="AE28" s="115">
        <v>2045</v>
      </c>
      <c r="AF28" s="115">
        <v>2046</v>
      </c>
      <c r="AG28" s="115">
        <v>2047</v>
      </c>
      <c r="AH28" s="115">
        <v>2048</v>
      </c>
      <c r="AI28" s="115">
        <v>2049</v>
      </c>
      <c r="AJ28" s="115">
        <v>2050</v>
      </c>
    </row>
    <row r="29" spans="2:36">
      <c r="B29" s="117" t="s">
        <v>8</v>
      </c>
      <c r="C29" s="124" t="e">
        <f>#REF!</f>
        <v>#REF!</v>
      </c>
      <c r="E29" s="117" t="s">
        <v>8</v>
      </c>
      <c r="F29" s="121">
        <v>1.5</v>
      </c>
      <c r="H29" s="117" t="s">
        <v>8</v>
      </c>
      <c r="I29" s="124"/>
      <c r="J29" s="121">
        <f t="shared" ref="J29:AJ29" si="8">$I29*($AJ$4-J$4)/27</f>
        <v>0</v>
      </c>
      <c r="K29" s="121">
        <f t="shared" si="8"/>
        <v>0</v>
      </c>
      <c r="L29" s="121">
        <f t="shared" si="8"/>
        <v>0</v>
      </c>
      <c r="M29" s="121">
        <f t="shared" si="8"/>
        <v>0</v>
      </c>
      <c r="N29" s="121">
        <f t="shared" si="8"/>
        <v>0</v>
      </c>
      <c r="O29" s="121">
        <f t="shared" si="8"/>
        <v>0</v>
      </c>
      <c r="P29" s="121">
        <f t="shared" si="8"/>
        <v>0</v>
      </c>
      <c r="Q29" s="121">
        <f t="shared" si="8"/>
        <v>0</v>
      </c>
      <c r="R29" s="121">
        <f t="shared" si="8"/>
        <v>0</v>
      </c>
      <c r="S29" s="121">
        <f t="shared" si="8"/>
        <v>0</v>
      </c>
      <c r="T29" s="121">
        <f t="shared" si="8"/>
        <v>0</v>
      </c>
      <c r="U29" s="121">
        <f t="shared" si="8"/>
        <v>0</v>
      </c>
      <c r="V29" s="121">
        <f t="shared" si="8"/>
        <v>0</v>
      </c>
      <c r="W29" s="121">
        <f t="shared" si="8"/>
        <v>0</v>
      </c>
      <c r="X29" s="121">
        <f t="shared" si="8"/>
        <v>0</v>
      </c>
      <c r="Y29" s="121">
        <f t="shared" si="8"/>
        <v>0</v>
      </c>
      <c r="Z29" s="121">
        <f t="shared" si="8"/>
        <v>0</v>
      </c>
      <c r="AA29" s="121">
        <f t="shared" si="8"/>
        <v>0</v>
      </c>
      <c r="AB29" s="121">
        <f t="shared" si="8"/>
        <v>0</v>
      </c>
      <c r="AC29" s="121">
        <f t="shared" si="8"/>
        <v>0</v>
      </c>
      <c r="AD29" s="121">
        <f t="shared" si="8"/>
        <v>0</v>
      </c>
      <c r="AE29" s="121">
        <f t="shared" si="8"/>
        <v>0</v>
      </c>
      <c r="AF29" s="121">
        <f t="shared" si="8"/>
        <v>0</v>
      </c>
      <c r="AG29" s="121">
        <f t="shared" si="8"/>
        <v>0</v>
      </c>
      <c r="AH29" s="121">
        <f t="shared" si="8"/>
        <v>0</v>
      </c>
      <c r="AI29" s="121">
        <f t="shared" si="8"/>
        <v>0</v>
      </c>
      <c r="AJ29" s="121">
        <f t="shared" si="8"/>
        <v>0</v>
      </c>
    </row>
    <row r="30" spans="2:36">
      <c r="B30" s="117" t="s">
        <v>173</v>
      </c>
      <c r="C30" s="122"/>
      <c r="E30" s="35" t="s">
        <v>12</v>
      </c>
      <c r="F30" s="121">
        <f>F$29</f>
        <v>1.5</v>
      </c>
      <c r="H30" s="35" t="s">
        <v>12</v>
      </c>
      <c r="I30" s="121">
        <f t="shared" ref="I30:X35" si="9">I$29</f>
        <v>0</v>
      </c>
      <c r="J30" s="121">
        <f t="shared" si="9"/>
        <v>0</v>
      </c>
      <c r="K30" s="121">
        <f t="shared" si="9"/>
        <v>0</v>
      </c>
      <c r="L30" s="121">
        <f t="shared" si="9"/>
        <v>0</v>
      </c>
      <c r="M30" s="121">
        <f t="shared" si="9"/>
        <v>0</v>
      </c>
      <c r="N30" s="121">
        <f t="shared" si="9"/>
        <v>0</v>
      </c>
      <c r="O30" s="121">
        <f t="shared" si="9"/>
        <v>0</v>
      </c>
      <c r="P30" s="121">
        <f t="shared" si="9"/>
        <v>0</v>
      </c>
      <c r="Q30" s="121">
        <f t="shared" si="9"/>
        <v>0</v>
      </c>
      <c r="R30" s="121">
        <f t="shared" si="9"/>
        <v>0</v>
      </c>
      <c r="S30" s="121">
        <f t="shared" si="9"/>
        <v>0</v>
      </c>
      <c r="T30" s="121">
        <f t="shared" si="9"/>
        <v>0</v>
      </c>
      <c r="U30" s="121">
        <f t="shared" si="9"/>
        <v>0</v>
      </c>
      <c r="V30" s="121">
        <f t="shared" si="9"/>
        <v>0</v>
      </c>
      <c r="W30" s="121">
        <f t="shared" si="9"/>
        <v>0</v>
      </c>
      <c r="X30" s="121">
        <f t="shared" si="9"/>
        <v>0</v>
      </c>
      <c r="Y30" s="121">
        <f t="shared" ref="Y30:AJ35" si="10">Y$29</f>
        <v>0</v>
      </c>
      <c r="Z30" s="121">
        <f t="shared" si="10"/>
        <v>0</v>
      </c>
      <c r="AA30" s="121">
        <f t="shared" si="10"/>
        <v>0</v>
      </c>
      <c r="AB30" s="121">
        <f t="shared" si="10"/>
        <v>0</v>
      </c>
      <c r="AC30" s="121">
        <f t="shared" si="10"/>
        <v>0</v>
      </c>
      <c r="AD30" s="121">
        <f t="shared" si="10"/>
        <v>0</v>
      </c>
      <c r="AE30" s="121">
        <f t="shared" si="10"/>
        <v>0</v>
      </c>
      <c r="AF30" s="121">
        <f t="shared" si="10"/>
        <v>0</v>
      </c>
      <c r="AG30" s="121">
        <f t="shared" si="10"/>
        <v>0</v>
      </c>
      <c r="AH30" s="121">
        <f t="shared" si="10"/>
        <v>0</v>
      </c>
      <c r="AI30" s="121">
        <f t="shared" si="10"/>
        <v>0</v>
      </c>
      <c r="AJ30" s="121">
        <f t="shared" si="10"/>
        <v>0</v>
      </c>
    </row>
    <row r="31" spans="2:36">
      <c r="B31" s="117" t="s">
        <v>173</v>
      </c>
      <c r="C31" s="122"/>
      <c r="E31" s="35" t="s">
        <v>15</v>
      </c>
      <c r="F31" s="121">
        <f t="shared" ref="F31:F35" si="11">F$29</f>
        <v>1.5</v>
      </c>
      <c r="H31" s="35" t="s">
        <v>15</v>
      </c>
      <c r="I31" s="121">
        <f t="shared" si="9"/>
        <v>0</v>
      </c>
      <c r="J31" s="121">
        <f t="shared" si="9"/>
        <v>0</v>
      </c>
      <c r="K31" s="121">
        <f t="shared" si="9"/>
        <v>0</v>
      </c>
      <c r="L31" s="121">
        <f t="shared" si="9"/>
        <v>0</v>
      </c>
      <c r="M31" s="121">
        <f t="shared" si="9"/>
        <v>0</v>
      </c>
      <c r="N31" s="121">
        <f t="shared" si="9"/>
        <v>0</v>
      </c>
      <c r="O31" s="121">
        <f t="shared" si="9"/>
        <v>0</v>
      </c>
      <c r="P31" s="121">
        <f t="shared" si="9"/>
        <v>0</v>
      </c>
      <c r="Q31" s="121">
        <f t="shared" si="9"/>
        <v>0</v>
      </c>
      <c r="R31" s="121">
        <f t="shared" si="9"/>
        <v>0</v>
      </c>
      <c r="S31" s="121">
        <f t="shared" si="9"/>
        <v>0</v>
      </c>
      <c r="T31" s="121">
        <f t="shared" si="9"/>
        <v>0</v>
      </c>
      <c r="U31" s="121">
        <f t="shared" si="9"/>
        <v>0</v>
      </c>
      <c r="V31" s="121">
        <f t="shared" si="9"/>
        <v>0</v>
      </c>
      <c r="W31" s="121">
        <f t="shared" si="9"/>
        <v>0</v>
      </c>
      <c r="X31" s="121">
        <f t="shared" si="9"/>
        <v>0</v>
      </c>
      <c r="Y31" s="121">
        <f t="shared" si="10"/>
        <v>0</v>
      </c>
      <c r="Z31" s="121">
        <f t="shared" si="10"/>
        <v>0</v>
      </c>
      <c r="AA31" s="121">
        <f t="shared" si="10"/>
        <v>0</v>
      </c>
      <c r="AB31" s="121">
        <f t="shared" si="10"/>
        <v>0</v>
      </c>
      <c r="AC31" s="121">
        <f t="shared" si="10"/>
        <v>0</v>
      </c>
      <c r="AD31" s="121">
        <f t="shared" si="10"/>
        <v>0</v>
      </c>
      <c r="AE31" s="121">
        <f t="shared" si="10"/>
        <v>0</v>
      </c>
      <c r="AF31" s="121">
        <f t="shared" si="10"/>
        <v>0</v>
      </c>
      <c r="AG31" s="121">
        <f t="shared" si="10"/>
        <v>0</v>
      </c>
      <c r="AH31" s="121">
        <f t="shared" si="10"/>
        <v>0</v>
      </c>
      <c r="AI31" s="121">
        <f t="shared" si="10"/>
        <v>0</v>
      </c>
      <c r="AJ31" s="121">
        <f t="shared" si="10"/>
        <v>0</v>
      </c>
    </row>
    <row r="32" spans="2:36">
      <c r="B32" s="117" t="s">
        <v>173</v>
      </c>
      <c r="C32" s="122"/>
      <c r="E32" s="35" t="s">
        <v>19</v>
      </c>
      <c r="F32" s="121">
        <f t="shared" si="11"/>
        <v>1.5</v>
      </c>
      <c r="H32" s="35" t="s">
        <v>19</v>
      </c>
      <c r="I32" s="121">
        <f t="shared" si="9"/>
        <v>0</v>
      </c>
      <c r="J32" s="121">
        <f t="shared" si="9"/>
        <v>0</v>
      </c>
      <c r="K32" s="121">
        <f t="shared" si="9"/>
        <v>0</v>
      </c>
      <c r="L32" s="121">
        <f t="shared" si="9"/>
        <v>0</v>
      </c>
      <c r="M32" s="121">
        <f t="shared" si="9"/>
        <v>0</v>
      </c>
      <c r="N32" s="121">
        <f t="shared" si="9"/>
        <v>0</v>
      </c>
      <c r="O32" s="121">
        <f t="shared" si="9"/>
        <v>0</v>
      </c>
      <c r="P32" s="121">
        <f t="shared" si="9"/>
        <v>0</v>
      </c>
      <c r="Q32" s="121">
        <f t="shared" si="9"/>
        <v>0</v>
      </c>
      <c r="R32" s="121">
        <f t="shared" si="9"/>
        <v>0</v>
      </c>
      <c r="S32" s="121">
        <f t="shared" si="9"/>
        <v>0</v>
      </c>
      <c r="T32" s="121">
        <f t="shared" si="9"/>
        <v>0</v>
      </c>
      <c r="U32" s="121">
        <f t="shared" si="9"/>
        <v>0</v>
      </c>
      <c r="V32" s="121">
        <f t="shared" si="9"/>
        <v>0</v>
      </c>
      <c r="W32" s="121">
        <f t="shared" si="9"/>
        <v>0</v>
      </c>
      <c r="X32" s="121">
        <f t="shared" si="9"/>
        <v>0</v>
      </c>
      <c r="Y32" s="121">
        <f t="shared" si="10"/>
        <v>0</v>
      </c>
      <c r="Z32" s="121">
        <f t="shared" si="10"/>
        <v>0</v>
      </c>
      <c r="AA32" s="121">
        <f t="shared" si="10"/>
        <v>0</v>
      </c>
      <c r="AB32" s="121">
        <f t="shared" si="10"/>
        <v>0</v>
      </c>
      <c r="AC32" s="121">
        <f t="shared" si="10"/>
        <v>0</v>
      </c>
      <c r="AD32" s="121">
        <f t="shared" si="10"/>
        <v>0</v>
      </c>
      <c r="AE32" s="121">
        <f t="shared" si="10"/>
        <v>0</v>
      </c>
      <c r="AF32" s="121">
        <f t="shared" si="10"/>
        <v>0</v>
      </c>
      <c r="AG32" s="121">
        <f t="shared" si="10"/>
        <v>0</v>
      </c>
      <c r="AH32" s="121">
        <f t="shared" si="10"/>
        <v>0</v>
      </c>
      <c r="AI32" s="121">
        <f t="shared" si="10"/>
        <v>0</v>
      </c>
      <c r="AJ32" s="121">
        <f t="shared" si="10"/>
        <v>0</v>
      </c>
    </row>
    <row r="33" spans="1:36">
      <c r="B33" s="117" t="s">
        <v>173</v>
      </c>
      <c r="C33" s="122"/>
      <c r="E33" s="35" t="s">
        <v>22</v>
      </c>
      <c r="F33" s="121">
        <f t="shared" si="11"/>
        <v>1.5</v>
      </c>
      <c r="H33" s="35" t="s">
        <v>22</v>
      </c>
      <c r="I33" s="121">
        <f t="shared" si="9"/>
        <v>0</v>
      </c>
      <c r="J33" s="121">
        <f t="shared" si="9"/>
        <v>0</v>
      </c>
      <c r="K33" s="121">
        <f t="shared" si="9"/>
        <v>0</v>
      </c>
      <c r="L33" s="121">
        <f t="shared" si="9"/>
        <v>0</v>
      </c>
      <c r="M33" s="121">
        <f t="shared" si="9"/>
        <v>0</v>
      </c>
      <c r="N33" s="121">
        <f t="shared" si="9"/>
        <v>0</v>
      </c>
      <c r="O33" s="121">
        <f t="shared" si="9"/>
        <v>0</v>
      </c>
      <c r="P33" s="121">
        <f t="shared" si="9"/>
        <v>0</v>
      </c>
      <c r="Q33" s="121">
        <f t="shared" si="9"/>
        <v>0</v>
      </c>
      <c r="R33" s="121">
        <f t="shared" si="9"/>
        <v>0</v>
      </c>
      <c r="S33" s="121">
        <f t="shared" si="9"/>
        <v>0</v>
      </c>
      <c r="T33" s="121">
        <f t="shared" si="9"/>
        <v>0</v>
      </c>
      <c r="U33" s="121">
        <f t="shared" si="9"/>
        <v>0</v>
      </c>
      <c r="V33" s="121">
        <f t="shared" si="9"/>
        <v>0</v>
      </c>
      <c r="W33" s="121">
        <f t="shared" si="9"/>
        <v>0</v>
      </c>
      <c r="X33" s="121">
        <f t="shared" si="9"/>
        <v>0</v>
      </c>
      <c r="Y33" s="121">
        <f t="shared" si="10"/>
        <v>0</v>
      </c>
      <c r="Z33" s="121">
        <f t="shared" si="10"/>
        <v>0</v>
      </c>
      <c r="AA33" s="121">
        <f t="shared" si="10"/>
        <v>0</v>
      </c>
      <c r="AB33" s="121">
        <f t="shared" si="10"/>
        <v>0</v>
      </c>
      <c r="AC33" s="121">
        <f t="shared" si="10"/>
        <v>0</v>
      </c>
      <c r="AD33" s="121">
        <f t="shared" si="10"/>
        <v>0</v>
      </c>
      <c r="AE33" s="121">
        <f t="shared" si="10"/>
        <v>0</v>
      </c>
      <c r="AF33" s="121">
        <f t="shared" si="10"/>
        <v>0</v>
      </c>
      <c r="AG33" s="121">
        <f t="shared" si="10"/>
        <v>0</v>
      </c>
      <c r="AH33" s="121">
        <f t="shared" si="10"/>
        <v>0</v>
      </c>
      <c r="AI33" s="121">
        <f t="shared" si="10"/>
        <v>0</v>
      </c>
      <c r="AJ33" s="121">
        <f t="shared" si="10"/>
        <v>0</v>
      </c>
    </row>
    <row r="34" spans="1:36">
      <c r="B34" s="117" t="s">
        <v>173</v>
      </c>
      <c r="C34" s="122"/>
      <c r="E34" s="35" t="s">
        <v>24</v>
      </c>
      <c r="F34" s="121">
        <f t="shared" si="11"/>
        <v>1.5</v>
      </c>
      <c r="H34" s="35" t="s">
        <v>24</v>
      </c>
      <c r="I34" s="121">
        <f t="shared" si="9"/>
        <v>0</v>
      </c>
      <c r="J34" s="121">
        <f t="shared" si="9"/>
        <v>0</v>
      </c>
      <c r="K34" s="121">
        <f t="shared" si="9"/>
        <v>0</v>
      </c>
      <c r="L34" s="121">
        <f t="shared" si="9"/>
        <v>0</v>
      </c>
      <c r="M34" s="121">
        <f t="shared" si="9"/>
        <v>0</v>
      </c>
      <c r="N34" s="121">
        <f t="shared" si="9"/>
        <v>0</v>
      </c>
      <c r="O34" s="121">
        <f t="shared" si="9"/>
        <v>0</v>
      </c>
      <c r="P34" s="121">
        <f t="shared" si="9"/>
        <v>0</v>
      </c>
      <c r="Q34" s="121">
        <f t="shared" si="9"/>
        <v>0</v>
      </c>
      <c r="R34" s="121">
        <f t="shared" si="9"/>
        <v>0</v>
      </c>
      <c r="S34" s="121">
        <f t="shared" si="9"/>
        <v>0</v>
      </c>
      <c r="T34" s="121">
        <f t="shared" si="9"/>
        <v>0</v>
      </c>
      <c r="U34" s="121">
        <f t="shared" si="9"/>
        <v>0</v>
      </c>
      <c r="V34" s="121">
        <f t="shared" si="9"/>
        <v>0</v>
      </c>
      <c r="W34" s="121">
        <f t="shared" si="9"/>
        <v>0</v>
      </c>
      <c r="X34" s="121">
        <f t="shared" si="9"/>
        <v>0</v>
      </c>
      <c r="Y34" s="121">
        <f t="shared" si="10"/>
        <v>0</v>
      </c>
      <c r="Z34" s="121">
        <f t="shared" si="10"/>
        <v>0</v>
      </c>
      <c r="AA34" s="121">
        <f t="shared" si="10"/>
        <v>0</v>
      </c>
      <c r="AB34" s="121">
        <f t="shared" si="10"/>
        <v>0</v>
      </c>
      <c r="AC34" s="121">
        <f t="shared" si="10"/>
        <v>0</v>
      </c>
      <c r="AD34" s="121">
        <f t="shared" si="10"/>
        <v>0</v>
      </c>
      <c r="AE34" s="121">
        <f t="shared" si="10"/>
        <v>0</v>
      </c>
      <c r="AF34" s="121">
        <f t="shared" si="10"/>
        <v>0</v>
      </c>
      <c r="AG34" s="121">
        <f t="shared" si="10"/>
        <v>0</v>
      </c>
      <c r="AH34" s="121">
        <f t="shared" si="10"/>
        <v>0</v>
      </c>
      <c r="AI34" s="121">
        <f t="shared" si="10"/>
        <v>0</v>
      </c>
      <c r="AJ34" s="121">
        <f t="shared" si="10"/>
        <v>0</v>
      </c>
    </row>
    <row r="35" spans="1:36">
      <c r="B35" s="117" t="s">
        <v>173</v>
      </c>
      <c r="C35" s="122"/>
      <c r="E35" s="35" t="s">
        <v>25</v>
      </c>
      <c r="F35" s="121">
        <f t="shared" si="11"/>
        <v>1.5</v>
      </c>
      <c r="H35" s="35" t="s">
        <v>25</v>
      </c>
      <c r="I35" s="121">
        <f t="shared" si="9"/>
        <v>0</v>
      </c>
      <c r="J35" s="121">
        <f t="shared" si="9"/>
        <v>0</v>
      </c>
      <c r="K35" s="121">
        <f t="shared" si="9"/>
        <v>0</v>
      </c>
      <c r="L35" s="121">
        <f t="shared" si="9"/>
        <v>0</v>
      </c>
      <c r="M35" s="121">
        <f t="shared" si="9"/>
        <v>0</v>
      </c>
      <c r="N35" s="121">
        <f t="shared" si="9"/>
        <v>0</v>
      </c>
      <c r="O35" s="121">
        <f t="shared" si="9"/>
        <v>0</v>
      </c>
      <c r="P35" s="121">
        <f t="shared" si="9"/>
        <v>0</v>
      </c>
      <c r="Q35" s="121">
        <f t="shared" si="9"/>
        <v>0</v>
      </c>
      <c r="R35" s="121">
        <f t="shared" si="9"/>
        <v>0</v>
      </c>
      <c r="S35" s="121">
        <f t="shared" si="9"/>
        <v>0</v>
      </c>
      <c r="T35" s="121">
        <f t="shared" si="9"/>
        <v>0</v>
      </c>
      <c r="U35" s="121">
        <f t="shared" si="9"/>
        <v>0</v>
      </c>
      <c r="V35" s="121">
        <f t="shared" si="9"/>
        <v>0</v>
      </c>
      <c r="W35" s="121">
        <f t="shared" si="9"/>
        <v>0</v>
      </c>
      <c r="X35" s="121">
        <f t="shared" si="9"/>
        <v>0</v>
      </c>
      <c r="Y35" s="121">
        <f t="shared" si="10"/>
        <v>0</v>
      </c>
      <c r="Z35" s="121">
        <f t="shared" si="10"/>
        <v>0</v>
      </c>
      <c r="AA35" s="121">
        <f t="shared" si="10"/>
        <v>0</v>
      </c>
      <c r="AB35" s="121">
        <f t="shared" si="10"/>
        <v>0</v>
      </c>
      <c r="AC35" s="121">
        <f t="shared" si="10"/>
        <v>0</v>
      </c>
      <c r="AD35" s="121">
        <f t="shared" si="10"/>
        <v>0</v>
      </c>
      <c r="AE35" s="121">
        <f t="shared" si="10"/>
        <v>0</v>
      </c>
      <c r="AF35" s="121">
        <f t="shared" si="10"/>
        <v>0</v>
      </c>
      <c r="AG35" s="121">
        <f t="shared" si="10"/>
        <v>0</v>
      </c>
      <c r="AH35" s="121">
        <f t="shared" si="10"/>
        <v>0</v>
      </c>
      <c r="AI35" s="121">
        <f t="shared" si="10"/>
        <v>0</v>
      </c>
      <c r="AJ35" s="121">
        <f t="shared" si="10"/>
        <v>0</v>
      </c>
    </row>
    <row r="36" spans="1:36" customFormat="1">
      <c r="A36" s="115"/>
      <c r="B36" s="117" t="s">
        <v>173</v>
      </c>
      <c r="C36" s="122"/>
      <c r="D36" s="115"/>
      <c r="E36" s="35"/>
      <c r="F36" s="121"/>
      <c r="G36" s="115"/>
      <c r="H36" s="117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</row>
    <row r="37" spans="1:36" customFormat="1">
      <c r="A37" s="115"/>
      <c r="B37" s="117" t="s">
        <v>173</v>
      </c>
      <c r="C37" s="122"/>
      <c r="D37" s="115"/>
      <c r="E37" s="117"/>
      <c r="F37" s="121"/>
      <c r="G37" s="115"/>
      <c r="H37" s="117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</row>
    <row r="38" spans="1:36">
      <c r="B38" s="117" t="s">
        <v>173</v>
      </c>
      <c r="C38" s="122"/>
      <c r="E38" s="117"/>
      <c r="F38" s="121"/>
      <c r="H38" s="117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</row>
    <row r="39" spans="1:36">
      <c r="F39" s="127"/>
    </row>
    <row r="40" spans="1:36">
      <c r="B40" s="113" t="s">
        <v>40</v>
      </c>
      <c r="E40" s="113" t="s">
        <v>266</v>
      </c>
      <c r="H40" s="113" t="s">
        <v>67</v>
      </c>
      <c r="I40" s="115">
        <v>2023</v>
      </c>
      <c r="J40" s="115">
        <v>2024</v>
      </c>
      <c r="K40" s="115">
        <v>2025</v>
      </c>
      <c r="L40" s="115">
        <v>2026</v>
      </c>
      <c r="M40" s="115">
        <v>2027</v>
      </c>
      <c r="N40" s="115">
        <v>2028</v>
      </c>
      <c r="O40" s="115">
        <v>2029</v>
      </c>
      <c r="P40" s="115">
        <v>2030</v>
      </c>
      <c r="Q40" s="115">
        <v>2031</v>
      </c>
      <c r="R40" s="115">
        <v>2032</v>
      </c>
      <c r="S40" s="115">
        <v>2033</v>
      </c>
      <c r="T40" s="115">
        <v>2034</v>
      </c>
      <c r="U40" s="115">
        <v>2035</v>
      </c>
      <c r="V40" s="115">
        <v>2036</v>
      </c>
      <c r="W40" s="115">
        <v>2037</v>
      </c>
      <c r="X40" s="115">
        <v>2038</v>
      </c>
      <c r="Y40" s="115">
        <v>2039</v>
      </c>
      <c r="Z40" s="115">
        <v>2040</v>
      </c>
      <c r="AA40" s="115">
        <v>2041</v>
      </c>
      <c r="AB40" s="115">
        <v>2042</v>
      </c>
      <c r="AC40" s="115">
        <v>2043</v>
      </c>
      <c r="AD40" s="115">
        <v>2044</v>
      </c>
      <c r="AE40" s="115">
        <v>2045</v>
      </c>
      <c r="AF40" s="115">
        <v>2046</v>
      </c>
      <c r="AG40" s="115">
        <v>2047</v>
      </c>
      <c r="AH40" s="115">
        <v>2048</v>
      </c>
      <c r="AI40" s="115">
        <v>2049</v>
      </c>
      <c r="AJ40" s="115">
        <v>2050</v>
      </c>
    </row>
    <row r="41" spans="1:36">
      <c r="B41" s="117" t="s">
        <v>8</v>
      </c>
      <c r="C41" s="124" t="e">
        <f>#REF!</f>
        <v>#REF!</v>
      </c>
      <c r="E41" s="117"/>
      <c r="F41" s="121"/>
      <c r="H41" s="117" t="s">
        <v>8</v>
      </c>
      <c r="I41" s="124"/>
      <c r="J41" s="121">
        <f t="shared" ref="J41:AJ41" si="12">$I41*($AJ$4-J$4)/27</f>
        <v>0</v>
      </c>
      <c r="K41" s="121">
        <f t="shared" si="12"/>
        <v>0</v>
      </c>
      <c r="L41" s="121">
        <f t="shared" si="12"/>
        <v>0</v>
      </c>
      <c r="M41" s="121">
        <f t="shared" si="12"/>
        <v>0</v>
      </c>
      <c r="N41" s="121">
        <f t="shared" si="12"/>
        <v>0</v>
      </c>
      <c r="O41" s="121">
        <f t="shared" si="12"/>
        <v>0</v>
      </c>
      <c r="P41" s="121">
        <f t="shared" si="12"/>
        <v>0</v>
      </c>
      <c r="Q41" s="121">
        <f t="shared" si="12"/>
        <v>0</v>
      </c>
      <c r="R41" s="121">
        <f t="shared" si="12"/>
        <v>0</v>
      </c>
      <c r="S41" s="121">
        <f t="shared" si="12"/>
        <v>0</v>
      </c>
      <c r="T41" s="121">
        <f t="shared" si="12"/>
        <v>0</v>
      </c>
      <c r="U41" s="121">
        <f t="shared" si="12"/>
        <v>0</v>
      </c>
      <c r="V41" s="121">
        <f t="shared" si="12"/>
        <v>0</v>
      </c>
      <c r="W41" s="121">
        <f t="shared" si="12"/>
        <v>0</v>
      </c>
      <c r="X41" s="121">
        <f t="shared" si="12"/>
        <v>0</v>
      </c>
      <c r="Y41" s="121">
        <f t="shared" si="12"/>
        <v>0</v>
      </c>
      <c r="Z41" s="121">
        <f t="shared" si="12"/>
        <v>0</v>
      </c>
      <c r="AA41" s="121">
        <f t="shared" si="12"/>
        <v>0</v>
      </c>
      <c r="AB41" s="121">
        <f t="shared" si="12"/>
        <v>0</v>
      </c>
      <c r="AC41" s="121">
        <f t="shared" si="12"/>
        <v>0</v>
      </c>
      <c r="AD41" s="121">
        <f t="shared" si="12"/>
        <v>0</v>
      </c>
      <c r="AE41" s="121">
        <f t="shared" si="12"/>
        <v>0</v>
      </c>
      <c r="AF41" s="121">
        <f t="shared" si="12"/>
        <v>0</v>
      </c>
      <c r="AG41" s="121">
        <f t="shared" si="12"/>
        <v>0</v>
      </c>
      <c r="AH41" s="121">
        <f t="shared" si="12"/>
        <v>0</v>
      </c>
      <c r="AI41" s="121">
        <f t="shared" si="12"/>
        <v>0</v>
      </c>
      <c r="AJ41" s="121">
        <f t="shared" si="12"/>
        <v>0</v>
      </c>
    </row>
    <row r="42" spans="1:36">
      <c r="B42" s="117" t="s">
        <v>173</v>
      </c>
      <c r="C42" s="122"/>
      <c r="E42" s="117"/>
      <c r="F42" s="121"/>
      <c r="H42" s="35" t="s">
        <v>12</v>
      </c>
      <c r="I42" s="121">
        <f t="shared" ref="I42:X47" si="13">I$41</f>
        <v>0</v>
      </c>
      <c r="J42" s="121">
        <f t="shared" si="13"/>
        <v>0</v>
      </c>
      <c r="K42" s="121">
        <f t="shared" si="13"/>
        <v>0</v>
      </c>
      <c r="L42" s="121">
        <f t="shared" si="13"/>
        <v>0</v>
      </c>
      <c r="M42" s="121">
        <f t="shared" si="13"/>
        <v>0</v>
      </c>
      <c r="N42" s="121">
        <f t="shared" si="13"/>
        <v>0</v>
      </c>
      <c r="O42" s="121">
        <f t="shared" si="13"/>
        <v>0</v>
      </c>
      <c r="P42" s="121">
        <f t="shared" si="13"/>
        <v>0</v>
      </c>
      <c r="Q42" s="121">
        <f t="shared" si="13"/>
        <v>0</v>
      </c>
      <c r="R42" s="121">
        <f t="shared" si="13"/>
        <v>0</v>
      </c>
      <c r="S42" s="121">
        <f t="shared" si="13"/>
        <v>0</v>
      </c>
      <c r="T42" s="121">
        <f t="shared" si="13"/>
        <v>0</v>
      </c>
      <c r="U42" s="121">
        <f t="shared" si="13"/>
        <v>0</v>
      </c>
      <c r="V42" s="121">
        <f t="shared" si="13"/>
        <v>0</v>
      </c>
      <c r="W42" s="121">
        <f t="shared" si="13"/>
        <v>0</v>
      </c>
      <c r="X42" s="121">
        <f t="shared" si="13"/>
        <v>0</v>
      </c>
      <c r="Y42" s="121">
        <f t="shared" ref="Y42:AJ47" si="14">Y$41</f>
        <v>0</v>
      </c>
      <c r="Z42" s="121">
        <f t="shared" si="14"/>
        <v>0</v>
      </c>
      <c r="AA42" s="121">
        <f t="shared" si="14"/>
        <v>0</v>
      </c>
      <c r="AB42" s="121">
        <f t="shared" si="14"/>
        <v>0</v>
      </c>
      <c r="AC42" s="121">
        <f t="shared" si="14"/>
        <v>0</v>
      </c>
      <c r="AD42" s="121">
        <f t="shared" si="14"/>
        <v>0</v>
      </c>
      <c r="AE42" s="121">
        <f t="shared" si="14"/>
        <v>0</v>
      </c>
      <c r="AF42" s="121">
        <f t="shared" si="14"/>
        <v>0</v>
      </c>
      <c r="AG42" s="121">
        <f t="shared" si="14"/>
        <v>0</v>
      </c>
      <c r="AH42" s="121">
        <f t="shared" si="14"/>
        <v>0</v>
      </c>
      <c r="AI42" s="121">
        <f t="shared" si="14"/>
        <v>0</v>
      </c>
      <c r="AJ42" s="121">
        <f t="shared" si="14"/>
        <v>0</v>
      </c>
    </row>
    <row r="43" spans="1:36">
      <c r="B43" s="117" t="s">
        <v>173</v>
      </c>
      <c r="C43" s="122"/>
      <c r="E43" s="117"/>
      <c r="F43" s="121"/>
      <c r="H43" s="35" t="s">
        <v>15</v>
      </c>
      <c r="I43" s="121">
        <f t="shared" si="13"/>
        <v>0</v>
      </c>
      <c r="J43" s="121">
        <f t="shared" si="13"/>
        <v>0</v>
      </c>
      <c r="K43" s="121">
        <f t="shared" si="13"/>
        <v>0</v>
      </c>
      <c r="L43" s="121">
        <f t="shared" si="13"/>
        <v>0</v>
      </c>
      <c r="M43" s="121">
        <f t="shared" si="13"/>
        <v>0</v>
      </c>
      <c r="N43" s="121">
        <f t="shared" si="13"/>
        <v>0</v>
      </c>
      <c r="O43" s="121">
        <f t="shared" si="13"/>
        <v>0</v>
      </c>
      <c r="P43" s="121">
        <f t="shared" si="13"/>
        <v>0</v>
      </c>
      <c r="Q43" s="121">
        <f t="shared" si="13"/>
        <v>0</v>
      </c>
      <c r="R43" s="121">
        <f t="shared" si="13"/>
        <v>0</v>
      </c>
      <c r="S43" s="121">
        <f t="shared" si="13"/>
        <v>0</v>
      </c>
      <c r="T43" s="121">
        <f t="shared" si="13"/>
        <v>0</v>
      </c>
      <c r="U43" s="121">
        <f t="shared" si="13"/>
        <v>0</v>
      </c>
      <c r="V43" s="121">
        <f t="shared" si="13"/>
        <v>0</v>
      </c>
      <c r="W43" s="121">
        <f t="shared" si="13"/>
        <v>0</v>
      </c>
      <c r="X43" s="121">
        <f t="shared" si="13"/>
        <v>0</v>
      </c>
      <c r="Y43" s="121">
        <f t="shared" si="14"/>
        <v>0</v>
      </c>
      <c r="Z43" s="121">
        <f t="shared" si="14"/>
        <v>0</v>
      </c>
      <c r="AA43" s="121">
        <f t="shared" si="14"/>
        <v>0</v>
      </c>
      <c r="AB43" s="121">
        <f t="shared" si="14"/>
        <v>0</v>
      </c>
      <c r="AC43" s="121">
        <f t="shared" si="14"/>
        <v>0</v>
      </c>
      <c r="AD43" s="121">
        <f t="shared" si="14"/>
        <v>0</v>
      </c>
      <c r="AE43" s="121">
        <f t="shared" si="14"/>
        <v>0</v>
      </c>
      <c r="AF43" s="121">
        <f t="shared" si="14"/>
        <v>0</v>
      </c>
      <c r="AG43" s="121">
        <f t="shared" si="14"/>
        <v>0</v>
      </c>
      <c r="AH43" s="121">
        <f t="shared" si="14"/>
        <v>0</v>
      </c>
      <c r="AI43" s="121">
        <f t="shared" si="14"/>
        <v>0</v>
      </c>
      <c r="AJ43" s="121">
        <f t="shared" si="14"/>
        <v>0</v>
      </c>
    </row>
    <row r="44" spans="1:36">
      <c r="B44" s="117" t="s">
        <v>173</v>
      </c>
      <c r="C44" s="122"/>
      <c r="E44" s="117"/>
      <c r="F44" s="121"/>
      <c r="H44" s="35" t="s">
        <v>19</v>
      </c>
      <c r="I44" s="121">
        <f t="shared" si="13"/>
        <v>0</v>
      </c>
      <c r="J44" s="121">
        <f t="shared" si="13"/>
        <v>0</v>
      </c>
      <c r="K44" s="121">
        <f t="shared" si="13"/>
        <v>0</v>
      </c>
      <c r="L44" s="121">
        <f t="shared" si="13"/>
        <v>0</v>
      </c>
      <c r="M44" s="121">
        <f t="shared" si="13"/>
        <v>0</v>
      </c>
      <c r="N44" s="121">
        <f t="shared" si="13"/>
        <v>0</v>
      </c>
      <c r="O44" s="121">
        <f t="shared" si="13"/>
        <v>0</v>
      </c>
      <c r="P44" s="121">
        <f t="shared" si="13"/>
        <v>0</v>
      </c>
      <c r="Q44" s="121">
        <f t="shared" si="13"/>
        <v>0</v>
      </c>
      <c r="R44" s="121">
        <f t="shared" si="13"/>
        <v>0</v>
      </c>
      <c r="S44" s="121">
        <f t="shared" si="13"/>
        <v>0</v>
      </c>
      <c r="T44" s="121">
        <f t="shared" si="13"/>
        <v>0</v>
      </c>
      <c r="U44" s="121">
        <f t="shared" si="13"/>
        <v>0</v>
      </c>
      <c r="V44" s="121">
        <f t="shared" si="13"/>
        <v>0</v>
      </c>
      <c r="W44" s="121">
        <f t="shared" si="13"/>
        <v>0</v>
      </c>
      <c r="X44" s="121">
        <f t="shared" si="13"/>
        <v>0</v>
      </c>
      <c r="Y44" s="121">
        <f t="shared" si="14"/>
        <v>0</v>
      </c>
      <c r="Z44" s="121">
        <f t="shared" si="14"/>
        <v>0</v>
      </c>
      <c r="AA44" s="121">
        <f t="shared" si="14"/>
        <v>0</v>
      </c>
      <c r="AB44" s="121">
        <f t="shared" si="14"/>
        <v>0</v>
      </c>
      <c r="AC44" s="121">
        <f t="shared" si="14"/>
        <v>0</v>
      </c>
      <c r="AD44" s="121">
        <f t="shared" si="14"/>
        <v>0</v>
      </c>
      <c r="AE44" s="121">
        <f t="shared" si="14"/>
        <v>0</v>
      </c>
      <c r="AF44" s="121">
        <f t="shared" si="14"/>
        <v>0</v>
      </c>
      <c r="AG44" s="121">
        <f t="shared" si="14"/>
        <v>0</v>
      </c>
      <c r="AH44" s="121">
        <f t="shared" si="14"/>
        <v>0</v>
      </c>
      <c r="AI44" s="121">
        <f t="shared" si="14"/>
        <v>0</v>
      </c>
      <c r="AJ44" s="121">
        <f t="shared" si="14"/>
        <v>0</v>
      </c>
    </row>
    <row r="45" spans="1:36">
      <c r="B45" s="117" t="s">
        <v>173</v>
      </c>
      <c r="C45" s="122"/>
      <c r="E45" s="117"/>
      <c r="F45" s="121"/>
      <c r="H45" s="35" t="s">
        <v>22</v>
      </c>
      <c r="I45" s="121">
        <f t="shared" si="13"/>
        <v>0</v>
      </c>
      <c r="J45" s="121">
        <f t="shared" si="13"/>
        <v>0</v>
      </c>
      <c r="K45" s="121">
        <f t="shared" si="13"/>
        <v>0</v>
      </c>
      <c r="L45" s="121">
        <f t="shared" si="13"/>
        <v>0</v>
      </c>
      <c r="M45" s="121">
        <f t="shared" si="13"/>
        <v>0</v>
      </c>
      <c r="N45" s="121">
        <f t="shared" si="13"/>
        <v>0</v>
      </c>
      <c r="O45" s="121">
        <f t="shared" si="13"/>
        <v>0</v>
      </c>
      <c r="P45" s="121">
        <f t="shared" si="13"/>
        <v>0</v>
      </c>
      <c r="Q45" s="121">
        <f t="shared" si="13"/>
        <v>0</v>
      </c>
      <c r="R45" s="121">
        <f t="shared" si="13"/>
        <v>0</v>
      </c>
      <c r="S45" s="121">
        <f t="shared" si="13"/>
        <v>0</v>
      </c>
      <c r="T45" s="121">
        <f t="shared" si="13"/>
        <v>0</v>
      </c>
      <c r="U45" s="121">
        <f t="shared" si="13"/>
        <v>0</v>
      </c>
      <c r="V45" s="121">
        <f t="shared" si="13"/>
        <v>0</v>
      </c>
      <c r="W45" s="121">
        <f t="shared" si="13"/>
        <v>0</v>
      </c>
      <c r="X45" s="121">
        <f t="shared" si="13"/>
        <v>0</v>
      </c>
      <c r="Y45" s="121">
        <f t="shared" si="14"/>
        <v>0</v>
      </c>
      <c r="Z45" s="121">
        <f t="shared" si="14"/>
        <v>0</v>
      </c>
      <c r="AA45" s="121">
        <f t="shared" si="14"/>
        <v>0</v>
      </c>
      <c r="AB45" s="121">
        <f t="shared" si="14"/>
        <v>0</v>
      </c>
      <c r="AC45" s="121">
        <f t="shared" si="14"/>
        <v>0</v>
      </c>
      <c r="AD45" s="121">
        <f t="shared" si="14"/>
        <v>0</v>
      </c>
      <c r="AE45" s="121">
        <f t="shared" si="14"/>
        <v>0</v>
      </c>
      <c r="AF45" s="121">
        <f t="shared" si="14"/>
        <v>0</v>
      </c>
      <c r="AG45" s="121">
        <f t="shared" si="14"/>
        <v>0</v>
      </c>
      <c r="AH45" s="121">
        <f t="shared" si="14"/>
        <v>0</v>
      </c>
      <c r="AI45" s="121">
        <f t="shared" si="14"/>
        <v>0</v>
      </c>
      <c r="AJ45" s="121">
        <f t="shared" si="14"/>
        <v>0</v>
      </c>
    </row>
    <row r="46" spans="1:36">
      <c r="B46" s="117" t="s">
        <v>173</v>
      </c>
      <c r="C46" s="122"/>
      <c r="E46" s="117"/>
      <c r="F46" s="121"/>
      <c r="H46" s="35" t="s">
        <v>24</v>
      </c>
      <c r="I46" s="121">
        <f t="shared" si="13"/>
        <v>0</v>
      </c>
      <c r="J46" s="121">
        <f t="shared" si="13"/>
        <v>0</v>
      </c>
      <c r="K46" s="121">
        <f t="shared" si="13"/>
        <v>0</v>
      </c>
      <c r="L46" s="121">
        <f t="shared" si="13"/>
        <v>0</v>
      </c>
      <c r="M46" s="121">
        <f t="shared" si="13"/>
        <v>0</v>
      </c>
      <c r="N46" s="121">
        <f t="shared" si="13"/>
        <v>0</v>
      </c>
      <c r="O46" s="121">
        <f t="shared" si="13"/>
        <v>0</v>
      </c>
      <c r="P46" s="121">
        <f t="shared" si="13"/>
        <v>0</v>
      </c>
      <c r="Q46" s="121">
        <f t="shared" si="13"/>
        <v>0</v>
      </c>
      <c r="R46" s="121">
        <f t="shared" si="13"/>
        <v>0</v>
      </c>
      <c r="S46" s="121">
        <f t="shared" si="13"/>
        <v>0</v>
      </c>
      <c r="T46" s="121">
        <f t="shared" si="13"/>
        <v>0</v>
      </c>
      <c r="U46" s="121">
        <f t="shared" si="13"/>
        <v>0</v>
      </c>
      <c r="V46" s="121">
        <f t="shared" si="13"/>
        <v>0</v>
      </c>
      <c r="W46" s="121">
        <f t="shared" si="13"/>
        <v>0</v>
      </c>
      <c r="X46" s="121">
        <f t="shared" si="13"/>
        <v>0</v>
      </c>
      <c r="Y46" s="121">
        <f t="shared" si="14"/>
        <v>0</v>
      </c>
      <c r="Z46" s="121">
        <f t="shared" si="14"/>
        <v>0</v>
      </c>
      <c r="AA46" s="121">
        <f t="shared" si="14"/>
        <v>0</v>
      </c>
      <c r="AB46" s="121">
        <f t="shared" si="14"/>
        <v>0</v>
      </c>
      <c r="AC46" s="121">
        <f t="shared" si="14"/>
        <v>0</v>
      </c>
      <c r="AD46" s="121">
        <f t="shared" si="14"/>
        <v>0</v>
      </c>
      <c r="AE46" s="121">
        <f t="shared" si="14"/>
        <v>0</v>
      </c>
      <c r="AF46" s="121">
        <f t="shared" si="14"/>
        <v>0</v>
      </c>
      <c r="AG46" s="121">
        <f t="shared" si="14"/>
        <v>0</v>
      </c>
      <c r="AH46" s="121">
        <f t="shared" si="14"/>
        <v>0</v>
      </c>
      <c r="AI46" s="121">
        <f t="shared" si="14"/>
        <v>0</v>
      </c>
      <c r="AJ46" s="121">
        <f t="shared" si="14"/>
        <v>0</v>
      </c>
    </row>
    <row r="47" spans="1:36">
      <c r="B47" s="117" t="s">
        <v>173</v>
      </c>
      <c r="C47" s="122"/>
      <c r="E47" s="117"/>
      <c r="F47" s="121"/>
      <c r="H47" s="35" t="s">
        <v>25</v>
      </c>
      <c r="I47" s="121">
        <f t="shared" si="13"/>
        <v>0</v>
      </c>
      <c r="J47" s="121">
        <f t="shared" si="13"/>
        <v>0</v>
      </c>
      <c r="K47" s="121">
        <f t="shared" si="13"/>
        <v>0</v>
      </c>
      <c r="L47" s="121">
        <f t="shared" si="13"/>
        <v>0</v>
      </c>
      <c r="M47" s="121">
        <f t="shared" si="13"/>
        <v>0</v>
      </c>
      <c r="N47" s="121">
        <f t="shared" si="13"/>
        <v>0</v>
      </c>
      <c r="O47" s="121">
        <f t="shared" si="13"/>
        <v>0</v>
      </c>
      <c r="P47" s="121">
        <f t="shared" si="13"/>
        <v>0</v>
      </c>
      <c r="Q47" s="121">
        <f t="shared" si="13"/>
        <v>0</v>
      </c>
      <c r="R47" s="121">
        <f t="shared" si="13"/>
        <v>0</v>
      </c>
      <c r="S47" s="121">
        <f t="shared" si="13"/>
        <v>0</v>
      </c>
      <c r="T47" s="121">
        <f t="shared" si="13"/>
        <v>0</v>
      </c>
      <c r="U47" s="121">
        <f t="shared" si="13"/>
        <v>0</v>
      </c>
      <c r="V47" s="121">
        <f t="shared" si="13"/>
        <v>0</v>
      </c>
      <c r="W47" s="121">
        <f t="shared" si="13"/>
        <v>0</v>
      </c>
      <c r="X47" s="121">
        <f t="shared" si="13"/>
        <v>0</v>
      </c>
      <c r="Y47" s="121">
        <f t="shared" si="14"/>
        <v>0</v>
      </c>
      <c r="Z47" s="121">
        <f t="shared" si="14"/>
        <v>0</v>
      </c>
      <c r="AA47" s="121">
        <f t="shared" si="14"/>
        <v>0</v>
      </c>
      <c r="AB47" s="121">
        <f t="shared" si="14"/>
        <v>0</v>
      </c>
      <c r="AC47" s="121">
        <f t="shared" si="14"/>
        <v>0</v>
      </c>
      <c r="AD47" s="121">
        <f t="shared" si="14"/>
        <v>0</v>
      </c>
      <c r="AE47" s="121">
        <f t="shared" si="14"/>
        <v>0</v>
      </c>
      <c r="AF47" s="121">
        <f t="shared" si="14"/>
        <v>0</v>
      </c>
      <c r="AG47" s="121">
        <f t="shared" si="14"/>
        <v>0</v>
      </c>
      <c r="AH47" s="121">
        <f t="shared" si="14"/>
        <v>0</v>
      </c>
      <c r="AI47" s="121">
        <f t="shared" si="14"/>
        <v>0</v>
      </c>
      <c r="AJ47" s="121">
        <f t="shared" si="14"/>
        <v>0</v>
      </c>
    </row>
    <row r="48" spans="1:36">
      <c r="B48" s="117" t="s">
        <v>173</v>
      </c>
      <c r="C48" s="122"/>
      <c r="E48" s="117"/>
      <c r="F48" s="121"/>
      <c r="H48" s="117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</row>
    <row r="49" spans="2:36">
      <c r="B49" s="117" t="s">
        <v>173</v>
      </c>
      <c r="C49" s="122"/>
      <c r="E49" s="117"/>
      <c r="F49" s="121"/>
      <c r="H49" s="117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</row>
    <row r="50" spans="2:36">
      <c r="B50" s="117" t="s">
        <v>173</v>
      </c>
      <c r="C50" s="122"/>
      <c r="E50" s="117"/>
      <c r="F50" s="121"/>
      <c r="H50" s="117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</row>
    <row r="51" spans="2:36"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</row>
    <row r="52" spans="2:36">
      <c r="B52" s="113" t="s">
        <v>41</v>
      </c>
      <c r="E52" s="113" t="s">
        <v>65</v>
      </c>
      <c r="H52" s="113" t="s">
        <v>68</v>
      </c>
      <c r="I52" s="115">
        <v>2023</v>
      </c>
      <c r="J52" s="115">
        <v>2024</v>
      </c>
      <c r="K52" s="115">
        <v>2025</v>
      </c>
      <c r="L52" s="115">
        <v>2026</v>
      </c>
      <c r="M52" s="115">
        <v>2027</v>
      </c>
      <c r="N52" s="115">
        <v>2028</v>
      </c>
      <c r="O52" s="115">
        <v>2029</v>
      </c>
      <c r="P52" s="115">
        <v>2030</v>
      </c>
      <c r="Q52" s="115">
        <v>2031</v>
      </c>
      <c r="R52" s="115">
        <v>2032</v>
      </c>
      <c r="S52" s="115">
        <v>2033</v>
      </c>
      <c r="T52" s="115">
        <v>2034</v>
      </c>
      <c r="U52" s="115">
        <v>2035</v>
      </c>
      <c r="V52" s="115">
        <v>2036</v>
      </c>
      <c r="W52" s="115">
        <v>2037</v>
      </c>
      <c r="X52" s="115">
        <v>2038</v>
      </c>
      <c r="Y52" s="115">
        <v>2039</v>
      </c>
      <c r="Z52" s="115">
        <v>2040</v>
      </c>
      <c r="AA52" s="115">
        <v>2041</v>
      </c>
      <c r="AB52" s="115">
        <v>2042</v>
      </c>
      <c r="AC52" s="115">
        <v>2043</v>
      </c>
      <c r="AD52" s="115">
        <v>2044</v>
      </c>
      <c r="AE52" s="115">
        <v>2045</v>
      </c>
      <c r="AF52" s="115">
        <v>2046</v>
      </c>
      <c r="AG52" s="115">
        <v>2047</v>
      </c>
      <c r="AH52" s="115">
        <v>2048</v>
      </c>
      <c r="AI52" s="115">
        <v>2049</v>
      </c>
      <c r="AJ52" s="115">
        <v>2050</v>
      </c>
    </row>
    <row r="53" spans="2:36">
      <c r="B53" s="117" t="s">
        <v>8</v>
      </c>
      <c r="C53" s="80" t="e">
        <f>#REF!</f>
        <v>#REF!</v>
      </c>
      <c r="E53" s="117"/>
      <c r="F53" s="121"/>
      <c r="H53" s="117" t="s">
        <v>8</v>
      </c>
      <c r="I53" s="121">
        <f>I137</f>
        <v>0</v>
      </c>
      <c r="J53" s="121">
        <f t="shared" ref="J53:AJ53" si="15">J137</f>
        <v>0</v>
      </c>
      <c r="K53" s="121">
        <f t="shared" si="15"/>
        <v>0</v>
      </c>
      <c r="L53" s="121">
        <f t="shared" si="15"/>
        <v>0</v>
      </c>
      <c r="M53" s="121">
        <f t="shared" si="15"/>
        <v>0</v>
      </c>
      <c r="N53" s="121">
        <f t="shared" si="15"/>
        <v>0</v>
      </c>
      <c r="O53" s="121">
        <f t="shared" si="15"/>
        <v>0</v>
      </c>
      <c r="P53" s="121">
        <f t="shared" si="15"/>
        <v>0</v>
      </c>
      <c r="Q53" s="121">
        <f t="shared" si="15"/>
        <v>0</v>
      </c>
      <c r="R53" s="121">
        <f t="shared" si="15"/>
        <v>0</v>
      </c>
      <c r="S53" s="121">
        <f t="shared" si="15"/>
        <v>0</v>
      </c>
      <c r="T53" s="121">
        <f t="shared" si="15"/>
        <v>0</v>
      </c>
      <c r="U53" s="121">
        <f t="shared" si="15"/>
        <v>0</v>
      </c>
      <c r="V53" s="121">
        <f t="shared" si="15"/>
        <v>0</v>
      </c>
      <c r="W53" s="121">
        <f t="shared" si="15"/>
        <v>0</v>
      </c>
      <c r="X53" s="121">
        <f t="shared" si="15"/>
        <v>0</v>
      </c>
      <c r="Y53" s="121">
        <f t="shared" si="15"/>
        <v>0</v>
      </c>
      <c r="Z53" s="121">
        <f t="shared" si="15"/>
        <v>0</v>
      </c>
      <c r="AA53" s="121">
        <f t="shared" si="15"/>
        <v>0</v>
      </c>
      <c r="AB53" s="121">
        <f t="shared" si="15"/>
        <v>0</v>
      </c>
      <c r="AC53" s="121">
        <f t="shared" si="15"/>
        <v>0</v>
      </c>
      <c r="AD53" s="121">
        <f t="shared" si="15"/>
        <v>0</v>
      </c>
      <c r="AE53" s="121">
        <f t="shared" si="15"/>
        <v>0</v>
      </c>
      <c r="AF53" s="121">
        <f t="shared" si="15"/>
        <v>0</v>
      </c>
      <c r="AG53" s="121">
        <f t="shared" si="15"/>
        <v>0</v>
      </c>
      <c r="AH53" s="121">
        <f t="shared" si="15"/>
        <v>0</v>
      </c>
      <c r="AI53" s="121">
        <f t="shared" si="15"/>
        <v>0</v>
      </c>
      <c r="AJ53" s="121">
        <f t="shared" si="15"/>
        <v>0</v>
      </c>
    </row>
    <row r="54" spans="2:36">
      <c r="B54" s="117" t="s">
        <v>173</v>
      </c>
      <c r="C54" s="122"/>
      <c r="E54" s="117"/>
      <c r="F54" s="121"/>
      <c r="H54" s="35" t="s">
        <v>12</v>
      </c>
      <c r="I54" s="121">
        <f t="shared" ref="I54:AJ59" si="16">I138</f>
        <v>0</v>
      </c>
      <c r="J54" s="121">
        <f t="shared" si="16"/>
        <v>0</v>
      </c>
      <c r="K54" s="121">
        <f t="shared" si="16"/>
        <v>0</v>
      </c>
      <c r="L54" s="121">
        <f t="shared" si="16"/>
        <v>0</v>
      </c>
      <c r="M54" s="121">
        <f t="shared" si="16"/>
        <v>0</v>
      </c>
      <c r="N54" s="121">
        <f t="shared" si="16"/>
        <v>0</v>
      </c>
      <c r="O54" s="121">
        <f t="shared" si="16"/>
        <v>0</v>
      </c>
      <c r="P54" s="121">
        <f t="shared" si="16"/>
        <v>0</v>
      </c>
      <c r="Q54" s="121">
        <f t="shared" si="16"/>
        <v>0</v>
      </c>
      <c r="R54" s="121">
        <f t="shared" si="16"/>
        <v>0</v>
      </c>
      <c r="S54" s="121">
        <f t="shared" si="16"/>
        <v>0</v>
      </c>
      <c r="T54" s="121">
        <f t="shared" si="16"/>
        <v>0</v>
      </c>
      <c r="U54" s="121">
        <f t="shared" si="16"/>
        <v>0</v>
      </c>
      <c r="V54" s="121">
        <f t="shared" si="16"/>
        <v>0</v>
      </c>
      <c r="W54" s="121">
        <f t="shared" si="16"/>
        <v>0</v>
      </c>
      <c r="X54" s="121">
        <f t="shared" si="16"/>
        <v>0</v>
      </c>
      <c r="Y54" s="121">
        <f t="shared" si="16"/>
        <v>0</v>
      </c>
      <c r="Z54" s="121">
        <f t="shared" si="16"/>
        <v>0</v>
      </c>
      <c r="AA54" s="121">
        <f t="shared" si="16"/>
        <v>0</v>
      </c>
      <c r="AB54" s="121">
        <f t="shared" si="16"/>
        <v>0</v>
      </c>
      <c r="AC54" s="121">
        <f t="shared" si="16"/>
        <v>0</v>
      </c>
      <c r="AD54" s="121">
        <f t="shared" si="16"/>
        <v>0</v>
      </c>
      <c r="AE54" s="121">
        <f t="shared" si="16"/>
        <v>0</v>
      </c>
      <c r="AF54" s="121">
        <f t="shared" si="16"/>
        <v>0</v>
      </c>
      <c r="AG54" s="121">
        <f t="shared" si="16"/>
        <v>0</v>
      </c>
      <c r="AH54" s="121">
        <f t="shared" si="16"/>
        <v>0</v>
      </c>
      <c r="AI54" s="121">
        <f t="shared" si="16"/>
        <v>0</v>
      </c>
      <c r="AJ54" s="121">
        <f t="shared" si="16"/>
        <v>0</v>
      </c>
    </row>
    <row r="55" spans="2:36">
      <c r="B55" s="117" t="s">
        <v>173</v>
      </c>
      <c r="C55" s="122"/>
      <c r="E55" s="117"/>
      <c r="F55" s="121"/>
      <c r="H55" s="35" t="s">
        <v>15</v>
      </c>
      <c r="I55" s="121">
        <f t="shared" si="16"/>
        <v>0</v>
      </c>
      <c r="J55" s="121">
        <f t="shared" si="16"/>
        <v>0</v>
      </c>
      <c r="K55" s="121">
        <f t="shared" si="16"/>
        <v>0</v>
      </c>
      <c r="L55" s="121">
        <f t="shared" si="16"/>
        <v>0</v>
      </c>
      <c r="M55" s="121">
        <f t="shared" si="16"/>
        <v>0</v>
      </c>
      <c r="N55" s="121">
        <f t="shared" si="16"/>
        <v>0</v>
      </c>
      <c r="O55" s="121">
        <f t="shared" si="16"/>
        <v>0</v>
      </c>
      <c r="P55" s="121">
        <f t="shared" si="16"/>
        <v>0</v>
      </c>
      <c r="Q55" s="121">
        <f t="shared" si="16"/>
        <v>0</v>
      </c>
      <c r="R55" s="121">
        <f t="shared" si="16"/>
        <v>0</v>
      </c>
      <c r="S55" s="121">
        <f t="shared" si="16"/>
        <v>0</v>
      </c>
      <c r="T55" s="121">
        <f t="shared" si="16"/>
        <v>0</v>
      </c>
      <c r="U55" s="121">
        <f t="shared" si="16"/>
        <v>0</v>
      </c>
      <c r="V55" s="121">
        <f t="shared" si="16"/>
        <v>0</v>
      </c>
      <c r="W55" s="121">
        <f t="shared" si="16"/>
        <v>0</v>
      </c>
      <c r="X55" s="121">
        <f t="shared" si="16"/>
        <v>0</v>
      </c>
      <c r="Y55" s="121">
        <f t="shared" si="16"/>
        <v>0</v>
      </c>
      <c r="Z55" s="121">
        <f t="shared" si="16"/>
        <v>0</v>
      </c>
      <c r="AA55" s="121">
        <f t="shared" si="16"/>
        <v>0</v>
      </c>
      <c r="AB55" s="121">
        <f t="shared" si="16"/>
        <v>0</v>
      </c>
      <c r="AC55" s="121">
        <f t="shared" si="16"/>
        <v>0</v>
      </c>
      <c r="AD55" s="121">
        <f t="shared" si="16"/>
        <v>0</v>
      </c>
      <c r="AE55" s="121">
        <f t="shared" si="16"/>
        <v>0</v>
      </c>
      <c r="AF55" s="121">
        <f t="shared" si="16"/>
        <v>0</v>
      </c>
      <c r="AG55" s="121">
        <f t="shared" si="16"/>
        <v>0</v>
      </c>
      <c r="AH55" s="121">
        <f t="shared" si="16"/>
        <v>0</v>
      </c>
      <c r="AI55" s="121">
        <f t="shared" si="16"/>
        <v>0</v>
      </c>
      <c r="AJ55" s="121">
        <f t="shared" si="16"/>
        <v>0</v>
      </c>
    </row>
    <row r="56" spans="2:36">
      <c r="B56" s="117" t="s">
        <v>173</v>
      </c>
      <c r="C56" s="122"/>
      <c r="E56" s="117"/>
      <c r="F56" s="121"/>
      <c r="H56" s="35" t="s">
        <v>19</v>
      </c>
      <c r="I56" s="121">
        <f t="shared" si="16"/>
        <v>0</v>
      </c>
      <c r="J56" s="121">
        <f t="shared" si="16"/>
        <v>0</v>
      </c>
      <c r="K56" s="121">
        <f t="shared" si="16"/>
        <v>0</v>
      </c>
      <c r="L56" s="121">
        <f t="shared" si="16"/>
        <v>0</v>
      </c>
      <c r="M56" s="121">
        <f t="shared" si="16"/>
        <v>0</v>
      </c>
      <c r="N56" s="121">
        <f t="shared" si="16"/>
        <v>0</v>
      </c>
      <c r="O56" s="121">
        <f t="shared" si="16"/>
        <v>0</v>
      </c>
      <c r="P56" s="121">
        <f t="shared" si="16"/>
        <v>0</v>
      </c>
      <c r="Q56" s="121">
        <f t="shared" si="16"/>
        <v>0</v>
      </c>
      <c r="R56" s="121">
        <f t="shared" si="16"/>
        <v>0</v>
      </c>
      <c r="S56" s="121">
        <f t="shared" si="16"/>
        <v>0</v>
      </c>
      <c r="T56" s="121">
        <f t="shared" si="16"/>
        <v>0</v>
      </c>
      <c r="U56" s="121">
        <f t="shared" si="16"/>
        <v>0</v>
      </c>
      <c r="V56" s="121">
        <f t="shared" si="16"/>
        <v>0</v>
      </c>
      <c r="W56" s="121">
        <f t="shared" si="16"/>
        <v>0</v>
      </c>
      <c r="X56" s="121">
        <f t="shared" si="16"/>
        <v>0</v>
      </c>
      <c r="Y56" s="121">
        <f t="shared" si="16"/>
        <v>0</v>
      </c>
      <c r="Z56" s="121">
        <f t="shared" si="16"/>
        <v>0</v>
      </c>
      <c r="AA56" s="121">
        <f t="shared" si="16"/>
        <v>0</v>
      </c>
      <c r="AB56" s="121">
        <f t="shared" si="16"/>
        <v>0</v>
      </c>
      <c r="AC56" s="121">
        <f t="shared" si="16"/>
        <v>0</v>
      </c>
      <c r="AD56" s="121">
        <f t="shared" si="16"/>
        <v>0</v>
      </c>
      <c r="AE56" s="121">
        <f t="shared" si="16"/>
        <v>0</v>
      </c>
      <c r="AF56" s="121">
        <f t="shared" si="16"/>
        <v>0</v>
      </c>
      <c r="AG56" s="121">
        <f t="shared" si="16"/>
        <v>0</v>
      </c>
      <c r="AH56" s="121">
        <f t="shared" si="16"/>
        <v>0</v>
      </c>
      <c r="AI56" s="121">
        <f t="shared" si="16"/>
        <v>0</v>
      </c>
      <c r="AJ56" s="121">
        <f t="shared" si="16"/>
        <v>0</v>
      </c>
    </row>
    <row r="57" spans="2:36">
      <c r="B57" s="117" t="s">
        <v>173</v>
      </c>
      <c r="C57" s="122"/>
      <c r="E57" s="117"/>
      <c r="F57" s="121"/>
      <c r="H57" s="35" t="s">
        <v>22</v>
      </c>
      <c r="I57" s="121">
        <f t="shared" si="16"/>
        <v>0</v>
      </c>
      <c r="J57" s="121">
        <f t="shared" si="16"/>
        <v>0</v>
      </c>
      <c r="K57" s="121">
        <f t="shared" si="16"/>
        <v>0</v>
      </c>
      <c r="L57" s="121">
        <f t="shared" si="16"/>
        <v>0</v>
      </c>
      <c r="M57" s="121">
        <f t="shared" si="16"/>
        <v>0</v>
      </c>
      <c r="N57" s="121">
        <f t="shared" si="16"/>
        <v>0</v>
      </c>
      <c r="O57" s="121">
        <f t="shared" si="16"/>
        <v>0</v>
      </c>
      <c r="P57" s="121">
        <f t="shared" si="16"/>
        <v>0</v>
      </c>
      <c r="Q57" s="121">
        <f t="shared" si="16"/>
        <v>0</v>
      </c>
      <c r="R57" s="121">
        <f t="shared" si="16"/>
        <v>0</v>
      </c>
      <c r="S57" s="121">
        <f t="shared" si="16"/>
        <v>0</v>
      </c>
      <c r="T57" s="121">
        <f t="shared" si="16"/>
        <v>0</v>
      </c>
      <c r="U57" s="121">
        <f t="shared" si="16"/>
        <v>0</v>
      </c>
      <c r="V57" s="121">
        <f t="shared" si="16"/>
        <v>0</v>
      </c>
      <c r="W57" s="121">
        <f t="shared" si="16"/>
        <v>0</v>
      </c>
      <c r="X57" s="121">
        <f t="shared" si="16"/>
        <v>0</v>
      </c>
      <c r="Y57" s="121">
        <f t="shared" si="16"/>
        <v>0</v>
      </c>
      <c r="Z57" s="121">
        <f t="shared" si="16"/>
        <v>0</v>
      </c>
      <c r="AA57" s="121">
        <f t="shared" si="16"/>
        <v>0</v>
      </c>
      <c r="AB57" s="121">
        <f t="shared" si="16"/>
        <v>0</v>
      </c>
      <c r="AC57" s="121">
        <f t="shared" si="16"/>
        <v>0</v>
      </c>
      <c r="AD57" s="121">
        <f t="shared" si="16"/>
        <v>0</v>
      </c>
      <c r="AE57" s="121">
        <f t="shared" si="16"/>
        <v>0</v>
      </c>
      <c r="AF57" s="121">
        <f t="shared" si="16"/>
        <v>0</v>
      </c>
      <c r="AG57" s="121">
        <f t="shared" si="16"/>
        <v>0</v>
      </c>
      <c r="AH57" s="121">
        <f t="shared" si="16"/>
        <v>0</v>
      </c>
      <c r="AI57" s="121">
        <f t="shared" si="16"/>
        <v>0</v>
      </c>
      <c r="AJ57" s="121">
        <f t="shared" si="16"/>
        <v>0</v>
      </c>
    </row>
    <row r="58" spans="2:36">
      <c r="B58" s="117" t="s">
        <v>173</v>
      </c>
      <c r="C58" s="122"/>
      <c r="E58" s="117"/>
      <c r="F58" s="121"/>
      <c r="H58" s="35" t="s">
        <v>24</v>
      </c>
      <c r="I58" s="121">
        <f t="shared" si="16"/>
        <v>0</v>
      </c>
      <c r="J58" s="121">
        <f t="shared" si="16"/>
        <v>0</v>
      </c>
      <c r="K58" s="121">
        <f t="shared" si="16"/>
        <v>0</v>
      </c>
      <c r="L58" s="121">
        <f t="shared" si="16"/>
        <v>0</v>
      </c>
      <c r="M58" s="121">
        <f t="shared" si="16"/>
        <v>0</v>
      </c>
      <c r="N58" s="121">
        <f t="shared" si="16"/>
        <v>0</v>
      </c>
      <c r="O58" s="121">
        <f t="shared" si="16"/>
        <v>0</v>
      </c>
      <c r="P58" s="121">
        <f t="shared" si="16"/>
        <v>0</v>
      </c>
      <c r="Q58" s="121">
        <f t="shared" si="16"/>
        <v>0</v>
      </c>
      <c r="R58" s="121">
        <f t="shared" si="16"/>
        <v>0</v>
      </c>
      <c r="S58" s="121">
        <f t="shared" si="16"/>
        <v>0</v>
      </c>
      <c r="T58" s="121">
        <f t="shared" si="16"/>
        <v>0</v>
      </c>
      <c r="U58" s="121">
        <f t="shared" si="16"/>
        <v>0</v>
      </c>
      <c r="V58" s="121">
        <f t="shared" si="16"/>
        <v>0</v>
      </c>
      <c r="W58" s="121">
        <f t="shared" si="16"/>
        <v>0</v>
      </c>
      <c r="X58" s="121">
        <f t="shared" si="16"/>
        <v>0</v>
      </c>
      <c r="Y58" s="121">
        <f t="shared" si="16"/>
        <v>0</v>
      </c>
      <c r="Z58" s="121">
        <f t="shared" si="16"/>
        <v>0</v>
      </c>
      <c r="AA58" s="121">
        <f t="shared" si="16"/>
        <v>0</v>
      </c>
      <c r="AB58" s="121">
        <f t="shared" si="16"/>
        <v>0</v>
      </c>
      <c r="AC58" s="121">
        <f t="shared" si="16"/>
        <v>0</v>
      </c>
      <c r="AD58" s="121">
        <f t="shared" si="16"/>
        <v>0</v>
      </c>
      <c r="AE58" s="121">
        <f t="shared" si="16"/>
        <v>0</v>
      </c>
      <c r="AF58" s="121">
        <f t="shared" si="16"/>
        <v>0</v>
      </c>
      <c r="AG58" s="121">
        <f t="shared" si="16"/>
        <v>0</v>
      </c>
      <c r="AH58" s="121">
        <f t="shared" si="16"/>
        <v>0</v>
      </c>
      <c r="AI58" s="121">
        <f t="shared" si="16"/>
        <v>0</v>
      </c>
      <c r="AJ58" s="121">
        <f t="shared" si="16"/>
        <v>0</v>
      </c>
    </row>
    <row r="59" spans="2:36">
      <c r="B59" s="117" t="s">
        <v>173</v>
      </c>
      <c r="C59" s="122"/>
      <c r="E59" s="117"/>
      <c r="F59" s="121"/>
      <c r="H59" s="35" t="s">
        <v>25</v>
      </c>
      <c r="I59" s="121">
        <f t="shared" si="16"/>
        <v>0</v>
      </c>
      <c r="J59" s="121">
        <f t="shared" si="16"/>
        <v>0</v>
      </c>
      <c r="K59" s="121">
        <f t="shared" si="16"/>
        <v>0</v>
      </c>
      <c r="L59" s="121">
        <f t="shared" si="16"/>
        <v>0</v>
      </c>
      <c r="M59" s="121">
        <f t="shared" si="16"/>
        <v>0</v>
      </c>
      <c r="N59" s="121">
        <f t="shared" si="16"/>
        <v>0</v>
      </c>
      <c r="O59" s="121">
        <f t="shared" si="16"/>
        <v>0</v>
      </c>
      <c r="P59" s="121">
        <f t="shared" si="16"/>
        <v>0</v>
      </c>
      <c r="Q59" s="121">
        <f t="shared" si="16"/>
        <v>0</v>
      </c>
      <c r="R59" s="121">
        <f t="shared" si="16"/>
        <v>0</v>
      </c>
      <c r="S59" s="121">
        <f t="shared" si="16"/>
        <v>0</v>
      </c>
      <c r="T59" s="121">
        <f t="shared" si="16"/>
        <v>0</v>
      </c>
      <c r="U59" s="121">
        <f t="shared" si="16"/>
        <v>0</v>
      </c>
      <c r="V59" s="121">
        <f t="shared" si="16"/>
        <v>0</v>
      </c>
      <c r="W59" s="121">
        <f t="shared" si="16"/>
        <v>0</v>
      </c>
      <c r="X59" s="121">
        <f t="shared" si="16"/>
        <v>0</v>
      </c>
      <c r="Y59" s="121">
        <f t="shared" si="16"/>
        <v>0</v>
      </c>
      <c r="Z59" s="121">
        <f t="shared" si="16"/>
        <v>0</v>
      </c>
      <c r="AA59" s="121">
        <f t="shared" si="16"/>
        <v>0</v>
      </c>
      <c r="AB59" s="121">
        <f t="shared" si="16"/>
        <v>0</v>
      </c>
      <c r="AC59" s="121">
        <f t="shared" si="16"/>
        <v>0</v>
      </c>
      <c r="AD59" s="121">
        <f t="shared" si="16"/>
        <v>0</v>
      </c>
      <c r="AE59" s="121">
        <f t="shared" si="16"/>
        <v>0</v>
      </c>
      <c r="AF59" s="121">
        <f t="shared" si="16"/>
        <v>0</v>
      </c>
      <c r="AG59" s="121">
        <f t="shared" si="16"/>
        <v>0</v>
      </c>
      <c r="AH59" s="121">
        <f t="shared" si="16"/>
        <v>0</v>
      </c>
      <c r="AI59" s="121">
        <f t="shared" si="16"/>
        <v>0</v>
      </c>
      <c r="AJ59" s="121">
        <f t="shared" si="16"/>
        <v>0</v>
      </c>
    </row>
    <row r="60" spans="2:36">
      <c r="B60" s="117" t="s">
        <v>173</v>
      </c>
      <c r="C60" s="122"/>
      <c r="E60" s="117"/>
      <c r="F60" s="121"/>
      <c r="H60" s="117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</row>
    <row r="61" spans="2:36">
      <c r="B61" s="117" t="s">
        <v>173</v>
      </c>
      <c r="C61" s="122"/>
      <c r="E61" s="117"/>
      <c r="F61" s="121"/>
      <c r="H61" s="117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</row>
    <row r="62" spans="2:36">
      <c r="B62" s="117" t="s">
        <v>173</v>
      </c>
      <c r="C62" s="122"/>
      <c r="E62" s="117"/>
      <c r="F62" s="121"/>
      <c r="H62" s="117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</row>
    <row r="64" spans="2:36">
      <c r="B64" s="113" t="s">
        <v>269</v>
      </c>
      <c r="E64" s="113" t="s">
        <v>66</v>
      </c>
      <c r="H64" s="113" t="s">
        <v>69</v>
      </c>
      <c r="I64" s="115">
        <v>2023</v>
      </c>
      <c r="J64" s="115">
        <v>2024</v>
      </c>
      <c r="K64" s="115">
        <v>2025</v>
      </c>
      <c r="L64" s="115">
        <v>2026</v>
      </c>
      <c r="M64" s="115">
        <v>2027</v>
      </c>
      <c r="N64" s="115">
        <v>2028</v>
      </c>
      <c r="O64" s="115">
        <v>2029</v>
      </c>
      <c r="P64" s="115">
        <v>2030</v>
      </c>
      <c r="Q64" s="115">
        <v>2031</v>
      </c>
      <c r="R64" s="115">
        <v>2032</v>
      </c>
      <c r="S64" s="115">
        <v>2033</v>
      </c>
      <c r="T64" s="115">
        <v>2034</v>
      </c>
      <c r="U64" s="115">
        <v>2035</v>
      </c>
      <c r="V64" s="115">
        <v>2036</v>
      </c>
      <c r="W64" s="115">
        <v>2037</v>
      </c>
      <c r="X64" s="115">
        <v>2038</v>
      </c>
      <c r="Y64" s="115">
        <v>2039</v>
      </c>
      <c r="Z64" s="115">
        <v>2040</v>
      </c>
      <c r="AA64" s="115">
        <v>2041</v>
      </c>
      <c r="AB64" s="115">
        <v>2042</v>
      </c>
      <c r="AC64" s="115">
        <v>2043</v>
      </c>
      <c r="AD64" s="115">
        <v>2044</v>
      </c>
      <c r="AE64" s="115">
        <v>2045</v>
      </c>
      <c r="AF64" s="115">
        <v>2046</v>
      </c>
      <c r="AG64" s="115">
        <v>2047</v>
      </c>
      <c r="AH64" s="115">
        <v>2048</v>
      </c>
      <c r="AI64" s="115">
        <v>2049</v>
      </c>
      <c r="AJ64" s="115">
        <v>2050</v>
      </c>
    </row>
    <row r="65" spans="2:36">
      <c r="B65" s="117" t="s">
        <v>173</v>
      </c>
      <c r="C65" s="122"/>
      <c r="E65" s="117"/>
      <c r="F65" s="121"/>
      <c r="H65" s="117" t="s">
        <v>8</v>
      </c>
      <c r="I65" s="121">
        <f>I137</f>
        <v>0</v>
      </c>
      <c r="J65" s="121">
        <f t="shared" ref="J65:AJ65" si="17">J137</f>
        <v>0</v>
      </c>
      <c r="K65" s="121">
        <f t="shared" si="17"/>
        <v>0</v>
      </c>
      <c r="L65" s="121">
        <f t="shared" si="17"/>
        <v>0</v>
      </c>
      <c r="M65" s="121">
        <f t="shared" si="17"/>
        <v>0</v>
      </c>
      <c r="N65" s="121">
        <f t="shared" si="17"/>
        <v>0</v>
      </c>
      <c r="O65" s="121">
        <f t="shared" si="17"/>
        <v>0</v>
      </c>
      <c r="P65" s="121">
        <f t="shared" si="17"/>
        <v>0</v>
      </c>
      <c r="Q65" s="121">
        <f t="shared" si="17"/>
        <v>0</v>
      </c>
      <c r="R65" s="121">
        <f t="shared" si="17"/>
        <v>0</v>
      </c>
      <c r="S65" s="121">
        <f t="shared" si="17"/>
        <v>0</v>
      </c>
      <c r="T65" s="121">
        <f t="shared" si="17"/>
        <v>0</v>
      </c>
      <c r="U65" s="121">
        <f t="shared" si="17"/>
        <v>0</v>
      </c>
      <c r="V65" s="121">
        <f t="shared" si="17"/>
        <v>0</v>
      </c>
      <c r="W65" s="121">
        <f t="shared" si="17"/>
        <v>0</v>
      </c>
      <c r="X65" s="121">
        <f t="shared" si="17"/>
        <v>0</v>
      </c>
      <c r="Y65" s="121">
        <f t="shared" si="17"/>
        <v>0</v>
      </c>
      <c r="Z65" s="121">
        <f t="shared" si="17"/>
        <v>0</v>
      </c>
      <c r="AA65" s="121">
        <f t="shared" si="17"/>
        <v>0</v>
      </c>
      <c r="AB65" s="121">
        <f t="shared" si="17"/>
        <v>0</v>
      </c>
      <c r="AC65" s="121">
        <f t="shared" si="17"/>
        <v>0</v>
      </c>
      <c r="AD65" s="121">
        <f t="shared" si="17"/>
        <v>0</v>
      </c>
      <c r="AE65" s="121">
        <f t="shared" si="17"/>
        <v>0</v>
      </c>
      <c r="AF65" s="121">
        <f t="shared" si="17"/>
        <v>0</v>
      </c>
      <c r="AG65" s="121">
        <f t="shared" si="17"/>
        <v>0</v>
      </c>
      <c r="AH65" s="121">
        <f t="shared" si="17"/>
        <v>0</v>
      </c>
      <c r="AI65" s="121">
        <f t="shared" si="17"/>
        <v>0</v>
      </c>
      <c r="AJ65" s="121">
        <f t="shared" si="17"/>
        <v>0</v>
      </c>
    </row>
    <row r="66" spans="2:36">
      <c r="B66" s="117" t="s">
        <v>173</v>
      </c>
      <c r="C66" s="122"/>
      <c r="E66" s="117"/>
      <c r="F66" s="121"/>
      <c r="H66" s="35" t="s">
        <v>12</v>
      </c>
      <c r="I66" s="121">
        <f t="shared" ref="I66:AJ71" si="18">I138</f>
        <v>0</v>
      </c>
      <c r="J66" s="121">
        <f t="shared" si="18"/>
        <v>0</v>
      </c>
      <c r="K66" s="121">
        <f t="shared" si="18"/>
        <v>0</v>
      </c>
      <c r="L66" s="121">
        <f t="shared" si="18"/>
        <v>0</v>
      </c>
      <c r="M66" s="121">
        <f t="shared" si="18"/>
        <v>0</v>
      </c>
      <c r="N66" s="121">
        <f t="shared" si="18"/>
        <v>0</v>
      </c>
      <c r="O66" s="121">
        <f t="shared" si="18"/>
        <v>0</v>
      </c>
      <c r="P66" s="121">
        <f t="shared" si="18"/>
        <v>0</v>
      </c>
      <c r="Q66" s="121">
        <f t="shared" si="18"/>
        <v>0</v>
      </c>
      <c r="R66" s="121">
        <f t="shared" si="18"/>
        <v>0</v>
      </c>
      <c r="S66" s="121">
        <f t="shared" si="18"/>
        <v>0</v>
      </c>
      <c r="T66" s="121">
        <f t="shared" si="18"/>
        <v>0</v>
      </c>
      <c r="U66" s="121">
        <f t="shared" si="18"/>
        <v>0</v>
      </c>
      <c r="V66" s="121">
        <f t="shared" si="18"/>
        <v>0</v>
      </c>
      <c r="W66" s="121">
        <f t="shared" si="18"/>
        <v>0</v>
      </c>
      <c r="X66" s="121">
        <f t="shared" si="18"/>
        <v>0</v>
      </c>
      <c r="Y66" s="121">
        <f t="shared" si="18"/>
        <v>0</v>
      </c>
      <c r="Z66" s="121">
        <f t="shared" si="18"/>
        <v>0</v>
      </c>
      <c r="AA66" s="121">
        <f t="shared" si="18"/>
        <v>0</v>
      </c>
      <c r="AB66" s="121">
        <f t="shared" si="18"/>
        <v>0</v>
      </c>
      <c r="AC66" s="121">
        <f t="shared" si="18"/>
        <v>0</v>
      </c>
      <c r="AD66" s="121">
        <f t="shared" si="18"/>
        <v>0</v>
      </c>
      <c r="AE66" s="121">
        <f t="shared" si="18"/>
        <v>0</v>
      </c>
      <c r="AF66" s="121">
        <f t="shared" si="18"/>
        <v>0</v>
      </c>
      <c r="AG66" s="121">
        <f t="shared" si="18"/>
        <v>0</v>
      </c>
      <c r="AH66" s="121">
        <f t="shared" si="18"/>
        <v>0</v>
      </c>
      <c r="AI66" s="121">
        <f t="shared" si="18"/>
        <v>0</v>
      </c>
      <c r="AJ66" s="121">
        <f t="shared" si="18"/>
        <v>0</v>
      </c>
    </row>
    <row r="67" spans="2:36">
      <c r="B67" s="117" t="s">
        <v>173</v>
      </c>
      <c r="C67" s="122"/>
      <c r="E67" s="117"/>
      <c r="F67" s="121"/>
      <c r="H67" s="35" t="s">
        <v>15</v>
      </c>
      <c r="I67" s="121">
        <f t="shared" si="18"/>
        <v>0</v>
      </c>
      <c r="J67" s="121">
        <f t="shared" si="18"/>
        <v>0</v>
      </c>
      <c r="K67" s="121">
        <f t="shared" si="18"/>
        <v>0</v>
      </c>
      <c r="L67" s="121">
        <f t="shared" si="18"/>
        <v>0</v>
      </c>
      <c r="M67" s="121">
        <f t="shared" si="18"/>
        <v>0</v>
      </c>
      <c r="N67" s="121">
        <f t="shared" si="18"/>
        <v>0</v>
      </c>
      <c r="O67" s="121">
        <f t="shared" si="18"/>
        <v>0</v>
      </c>
      <c r="P67" s="121">
        <f t="shared" si="18"/>
        <v>0</v>
      </c>
      <c r="Q67" s="121">
        <f t="shared" si="18"/>
        <v>0</v>
      </c>
      <c r="R67" s="121">
        <f t="shared" si="18"/>
        <v>0</v>
      </c>
      <c r="S67" s="121">
        <f t="shared" si="18"/>
        <v>0</v>
      </c>
      <c r="T67" s="121">
        <f t="shared" si="18"/>
        <v>0</v>
      </c>
      <c r="U67" s="121">
        <f t="shared" si="18"/>
        <v>0</v>
      </c>
      <c r="V67" s="121">
        <f t="shared" si="18"/>
        <v>0</v>
      </c>
      <c r="W67" s="121">
        <f t="shared" si="18"/>
        <v>0</v>
      </c>
      <c r="X67" s="121">
        <f t="shared" si="18"/>
        <v>0</v>
      </c>
      <c r="Y67" s="121">
        <f t="shared" si="18"/>
        <v>0</v>
      </c>
      <c r="Z67" s="121">
        <f t="shared" si="18"/>
        <v>0</v>
      </c>
      <c r="AA67" s="121">
        <f t="shared" si="18"/>
        <v>0</v>
      </c>
      <c r="AB67" s="121">
        <f t="shared" si="18"/>
        <v>0</v>
      </c>
      <c r="AC67" s="121">
        <f t="shared" si="18"/>
        <v>0</v>
      </c>
      <c r="AD67" s="121">
        <f t="shared" si="18"/>
        <v>0</v>
      </c>
      <c r="AE67" s="121">
        <f t="shared" si="18"/>
        <v>0</v>
      </c>
      <c r="AF67" s="121">
        <f t="shared" si="18"/>
        <v>0</v>
      </c>
      <c r="AG67" s="121">
        <f t="shared" si="18"/>
        <v>0</v>
      </c>
      <c r="AH67" s="121">
        <f t="shared" si="18"/>
        <v>0</v>
      </c>
      <c r="AI67" s="121">
        <f t="shared" si="18"/>
        <v>0</v>
      </c>
      <c r="AJ67" s="121">
        <f t="shared" si="18"/>
        <v>0</v>
      </c>
    </row>
    <row r="68" spans="2:36">
      <c r="B68" s="117" t="s">
        <v>173</v>
      </c>
      <c r="C68" s="122"/>
      <c r="E68" s="117"/>
      <c r="F68" s="121"/>
      <c r="H68" s="35" t="s">
        <v>19</v>
      </c>
      <c r="I68" s="121">
        <f t="shared" si="18"/>
        <v>0</v>
      </c>
      <c r="J68" s="121">
        <f t="shared" si="18"/>
        <v>0</v>
      </c>
      <c r="K68" s="121">
        <f t="shared" si="18"/>
        <v>0</v>
      </c>
      <c r="L68" s="121">
        <f t="shared" si="18"/>
        <v>0</v>
      </c>
      <c r="M68" s="121">
        <f t="shared" si="18"/>
        <v>0</v>
      </c>
      <c r="N68" s="121">
        <f t="shared" si="18"/>
        <v>0</v>
      </c>
      <c r="O68" s="121">
        <f t="shared" si="18"/>
        <v>0</v>
      </c>
      <c r="P68" s="121">
        <f t="shared" si="18"/>
        <v>0</v>
      </c>
      <c r="Q68" s="121">
        <f t="shared" si="18"/>
        <v>0</v>
      </c>
      <c r="R68" s="121">
        <f t="shared" si="18"/>
        <v>0</v>
      </c>
      <c r="S68" s="121">
        <f t="shared" si="18"/>
        <v>0</v>
      </c>
      <c r="T68" s="121">
        <f t="shared" si="18"/>
        <v>0</v>
      </c>
      <c r="U68" s="121">
        <f t="shared" si="18"/>
        <v>0</v>
      </c>
      <c r="V68" s="121">
        <f t="shared" si="18"/>
        <v>0</v>
      </c>
      <c r="W68" s="121">
        <f t="shared" si="18"/>
        <v>0</v>
      </c>
      <c r="X68" s="121">
        <f t="shared" si="18"/>
        <v>0</v>
      </c>
      <c r="Y68" s="121">
        <f t="shared" si="18"/>
        <v>0</v>
      </c>
      <c r="Z68" s="121">
        <f t="shared" si="18"/>
        <v>0</v>
      </c>
      <c r="AA68" s="121">
        <f t="shared" si="18"/>
        <v>0</v>
      </c>
      <c r="AB68" s="121">
        <f t="shared" si="18"/>
        <v>0</v>
      </c>
      <c r="AC68" s="121">
        <f t="shared" si="18"/>
        <v>0</v>
      </c>
      <c r="AD68" s="121">
        <f t="shared" si="18"/>
        <v>0</v>
      </c>
      <c r="AE68" s="121">
        <f t="shared" si="18"/>
        <v>0</v>
      </c>
      <c r="AF68" s="121">
        <f t="shared" si="18"/>
        <v>0</v>
      </c>
      <c r="AG68" s="121">
        <f t="shared" si="18"/>
        <v>0</v>
      </c>
      <c r="AH68" s="121">
        <f t="shared" si="18"/>
        <v>0</v>
      </c>
      <c r="AI68" s="121">
        <f t="shared" si="18"/>
        <v>0</v>
      </c>
      <c r="AJ68" s="121">
        <f t="shared" si="18"/>
        <v>0</v>
      </c>
    </row>
    <row r="69" spans="2:36">
      <c r="B69" s="117" t="s">
        <v>173</v>
      </c>
      <c r="C69" s="122"/>
      <c r="E69" s="117"/>
      <c r="F69" s="121"/>
      <c r="H69" s="35" t="s">
        <v>22</v>
      </c>
      <c r="I69" s="121">
        <f t="shared" si="18"/>
        <v>0</v>
      </c>
      <c r="J69" s="121">
        <f t="shared" si="18"/>
        <v>0</v>
      </c>
      <c r="K69" s="121">
        <f t="shared" si="18"/>
        <v>0</v>
      </c>
      <c r="L69" s="121">
        <f t="shared" si="18"/>
        <v>0</v>
      </c>
      <c r="M69" s="121">
        <f t="shared" si="18"/>
        <v>0</v>
      </c>
      <c r="N69" s="121">
        <f t="shared" si="18"/>
        <v>0</v>
      </c>
      <c r="O69" s="121">
        <f t="shared" si="18"/>
        <v>0</v>
      </c>
      <c r="P69" s="121">
        <f t="shared" si="18"/>
        <v>0</v>
      </c>
      <c r="Q69" s="121">
        <f t="shared" si="18"/>
        <v>0</v>
      </c>
      <c r="R69" s="121">
        <f t="shared" si="18"/>
        <v>0</v>
      </c>
      <c r="S69" s="121">
        <f t="shared" si="18"/>
        <v>0</v>
      </c>
      <c r="T69" s="121">
        <f t="shared" si="18"/>
        <v>0</v>
      </c>
      <c r="U69" s="121">
        <f t="shared" si="18"/>
        <v>0</v>
      </c>
      <c r="V69" s="121">
        <f t="shared" si="18"/>
        <v>0</v>
      </c>
      <c r="W69" s="121">
        <f t="shared" si="18"/>
        <v>0</v>
      </c>
      <c r="X69" s="121">
        <f t="shared" si="18"/>
        <v>0</v>
      </c>
      <c r="Y69" s="121">
        <f t="shared" si="18"/>
        <v>0</v>
      </c>
      <c r="Z69" s="121">
        <f t="shared" si="18"/>
        <v>0</v>
      </c>
      <c r="AA69" s="121">
        <f t="shared" si="18"/>
        <v>0</v>
      </c>
      <c r="AB69" s="121">
        <f t="shared" si="18"/>
        <v>0</v>
      </c>
      <c r="AC69" s="121">
        <f t="shared" si="18"/>
        <v>0</v>
      </c>
      <c r="AD69" s="121">
        <f t="shared" si="18"/>
        <v>0</v>
      </c>
      <c r="AE69" s="121">
        <f t="shared" si="18"/>
        <v>0</v>
      </c>
      <c r="AF69" s="121">
        <f t="shared" si="18"/>
        <v>0</v>
      </c>
      <c r="AG69" s="121">
        <f t="shared" si="18"/>
        <v>0</v>
      </c>
      <c r="AH69" s="121">
        <f t="shared" si="18"/>
        <v>0</v>
      </c>
      <c r="AI69" s="121">
        <f t="shared" si="18"/>
        <v>0</v>
      </c>
      <c r="AJ69" s="121">
        <f t="shared" si="18"/>
        <v>0</v>
      </c>
    </row>
    <row r="70" spans="2:36">
      <c r="B70" s="117" t="s">
        <v>173</v>
      </c>
      <c r="C70" s="122"/>
      <c r="E70" s="117"/>
      <c r="F70" s="121"/>
      <c r="H70" s="35" t="s">
        <v>24</v>
      </c>
      <c r="I70" s="121">
        <f t="shared" si="18"/>
        <v>0</v>
      </c>
      <c r="J70" s="121">
        <f t="shared" si="18"/>
        <v>0</v>
      </c>
      <c r="K70" s="121">
        <f t="shared" si="18"/>
        <v>0</v>
      </c>
      <c r="L70" s="121">
        <f t="shared" si="18"/>
        <v>0</v>
      </c>
      <c r="M70" s="121">
        <f t="shared" si="18"/>
        <v>0</v>
      </c>
      <c r="N70" s="121">
        <f t="shared" si="18"/>
        <v>0</v>
      </c>
      <c r="O70" s="121">
        <f t="shared" si="18"/>
        <v>0</v>
      </c>
      <c r="P70" s="121">
        <f t="shared" si="18"/>
        <v>0</v>
      </c>
      <c r="Q70" s="121">
        <f t="shared" si="18"/>
        <v>0</v>
      </c>
      <c r="R70" s="121">
        <f t="shared" si="18"/>
        <v>0</v>
      </c>
      <c r="S70" s="121">
        <f t="shared" si="18"/>
        <v>0</v>
      </c>
      <c r="T70" s="121">
        <f t="shared" si="18"/>
        <v>0</v>
      </c>
      <c r="U70" s="121">
        <f t="shared" si="18"/>
        <v>0</v>
      </c>
      <c r="V70" s="121">
        <f t="shared" si="18"/>
        <v>0</v>
      </c>
      <c r="W70" s="121">
        <f t="shared" si="18"/>
        <v>0</v>
      </c>
      <c r="X70" s="121">
        <f t="shared" si="18"/>
        <v>0</v>
      </c>
      <c r="Y70" s="121">
        <f t="shared" si="18"/>
        <v>0</v>
      </c>
      <c r="Z70" s="121">
        <f t="shared" si="18"/>
        <v>0</v>
      </c>
      <c r="AA70" s="121">
        <f t="shared" si="18"/>
        <v>0</v>
      </c>
      <c r="AB70" s="121">
        <f t="shared" si="18"/>
        <v>0</v>
      </c>
      <c r="AC70" s="121">
        <f t="shared" si="18"/>
        <v>0</v>
      </c>
      <c r="AD70" s="121">
        <f t="shared" si="18"/>
        <v>0</v>
      </c>
      <c r="AE70" s="121">
        <f t="shared" si="18"/>
        <v>0</v>
      </c>
      <c r="AF70" s="121">
        <f t="shared" si="18"/>
        <v>0</v>
      </c>
      <c r="AG70" s="121">
        <f t="shared" si="18"/>
        <v>0</v>
      </c>
      <c r="AH70" s="121">
        <f t="shared" si="18"/>
        <v>0</v>
      </c>
      <c r="AI70" s="121">
        <f t="shared" si="18"/>
        <v>0</v>
      </c>
      <c r="AJ70" s="121">
        <f t="shared" si="18"/>
        <v>0</v>
      </c>
    </row>
    <row r="71" spans="2:36">
      <c r="B71" s="117" t="s">
        <v>173</v>
      </c>
      <c r="C71" s="122"/>
      <c r="E71" s="117"/>
      <c r="F71" s="121"/>
      <c r="H71" s="35" t="s">
        <v>25</v>
      </c>
      <c r="I71" s="121">
        <f t="shared" si="18"/>
        <v>0</v>
      </c>
      <c r="J71" s="121">
        <f t="shared" si="18"/>
        <v>0</v>
      </c>
      <c r="K71" s="121">
        <f t="shared" si="18"/>
        <v>0</v>
      </c>
      <c r="L71" s="121">
        <f t="shared" si="18"/>
        <v>0</v>
      </c>
      <c r="M71" s="121">
        <f t="shared" si="18"/>
        <v>0</v>
      </c>
      <c r="N71" s="121">
        <f t="shared" si="18"/>
        <v>0</v>
      </c>
      <c r="O71" s="121">
        <f t="shared" si="18"/>
        <v>0</v>
      </c>
      <c r="P71" s="121">
        <f t="shared" si="18"/>
        <v>0</v>
      </c>
      <c r="Q71" s="121">
        <f t="shared" si="18"/>
        <v>0</v>
      </c>
      <c r="R71" s="121">
        <f t="shared" si="18"/>
        <v>0</v>
      </c>
      <c r="S71" s="121">
        <f t="shared" si="18"/>
        <v>0</v>
      </c>
      <c r="T71" s="121">
        <f t="shared" si="18"/>
        <v>0</v>
      </c>
      <c r="U71" s="121">
        <f t="shared" si="18"/>
        <v>0</v>
      </c>
      <c r="V71" s="121">
        <f t="shared" si="18"/>
        <v>0</v>
      </c>
      <c r="W71" s="121">
        <f t="shared" si="18"/>
        <v>0</v>
      </c>
      <c r="X71" s="121">
        <f t="shared" si="18"/>
        <v>0</v>
      </c>
      <c r="Y71" s="121">
        <f t="shared" si="18"/>
        <v>0</v>
      </c>
      <c r="Z71" s="121">
        <f t="shared" si="18"/>
        <v>0</v>
      </c>
      <c r="AA71" s="121">
        <f t="shared" si="18"/>
        <v>0</v>
      </c>
      <c r="AB71" s="121">
        <f t="shared" si="18"/>
        <v>0</v>
      </c>
      <c r="AC71" s="121">
        <f t="shared" si="18"/>
        <v>0</v>
      </c>
      <c r="AD71" s="121">
        <f t="shared" si="18"/>
        <v>0</v>
      </c>
      <c r="AE71" s="121">
        <f t="shared" si="18"/>
        <v>0</v>
      </c>
      <c r="AF71" s="121">
        <f t="shared" si="18"/>
        <v>0</v>
      </c>
      <c r="AG71" s="121">
        <f t="shared" si="18"/>
        <v>0</v>
      </c>
      <c r="AH71" s="121">
        <f t="shared" si="18"/>
        <v>0</v>
      </c>
      <c r="AI71" s="121">
        <f t="shared" si="18"/>
        <v>0</v>
      </c>
      <c r="AJ71" s="121">
        <f t="shared" si="18"/>
        <v>0</v>
      </c>
    </row>
    <row r="72" spans="2:36">
      <c r="B72" s="117" t="s">
        <v>173</v>
      </c>
      <c r="C72" s="122"/>
      <c r="E72" s="117"/>
      <c r="F72" s="121"/>
      <c r="H72" s="117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</row>
    <row r="73" spans="2:36">
      <c r="B73" s="117" t="s">
        <v>173</v>
      </c>
      <c r="C73" s="122"/>
      <c r="E73" s="117"/>
      <c r="F73" s="121"/>
      <c r="H73" s="117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</row>
    <row r="74" spans="2:36">
      <c r="B74" s="117" t="s">
        <v>173</v>
      </c>
      <c r="C74" s="122"/>
      <c r="E74" s="117"/>
      <c r="F74" s="121"/>
      <c r="H74" s="117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</row>
    <row r="76" spans="2:36">
      <c r="B76" s="113" t="s">
        <v>270</v>
      </c>
      <c r="E76" s="113" t="s">
        <v>67</v>
      </c>
      <c r="H76" s="113" t="s">
        <v>70</v>
      </c>
      <c r="I76" s="115">
        <v>2023</v>
      </c>
      <c r="J76" s="115">
        <v>2024</v>
      </c>
      <c r="K76" s="115">
        <v>2025</v>
      </c>
      <c r="L76" s="115">
        <v>2026</v>
      </c>
      <c r="M76" s="115">
        <v>2027</v>
      </c>
      <c r="N76" s="115">
        <v>2028</v>
      </c>
      <c r="O76" s="115">
        <v>2029</v>
      </c>
      <c r="P76" s="115">
        <v>2030</v>
      </c>
      <c r="Q76" s="115">
        <v>2031</v>
      </c>
      <c r="R76" s="115">
        <v>2032</v>
      </c>
      <c r="S76" s="115">
        <v>2033</v>
      </c>
      <c r="T76" s="115">
        <v>2034</v>
      </c>
      <c r="U76" s="115">
        <v>2035</v>
      </c>
      <c r="V76" s="115">
        <v>2036</v>
      </c>
      <c r="W76" s="115">
        <v>2037</v>
      </c>
      <c r="X76" s="115">
        <v>2038</v>
      </c>
      <c r="Y76" s="115">
        <v>2039</v>
      </c>
      <c r="Z76" s="115">
        <v>2040</v>
      </c>
      <c r="AA76" s="115">
        <v>2041</v>
      </c>
      <c r="AB76" s="115">
        <v>2042</v>
      </c>
      <c r="AC76" s="115">
        <v>2043</v>
      </c>
      <c r="AD76" s="115">
        <v>2044</v>
      </c>
      <c r="AE76" s="115">
        <v>2045</v>
      </c>
      <c r="AF76" s="115">
        <v>2046</v>
      </c>
      <c r="AG76" s="115">
        <v>2047</v>
      </c>
      <c r="AH76" s="115">
        <v>2048</v>
      </c>
      <c r="AI76" s="115">
        <v>2049</v>
      </c>
      <c r="AJ76" s="115">
        <v>2050</v>
      </c>
    </row>
    <row r="77" spans="2:36">
      <c r="B77" s="117" t="s">
        <v>173</v>
      </c>
      <c r="C77" s="122"/>
      <c r="E77" s="117"/>
      <c r="F77" s="121"/>
      <c r="H77" s="117" t="s">
        <v>8</v>
      </c>
      <c r="I77" s="121">
        <f>I101</f>
        <v>0</v>
      </c>
      <c r="J77" s="121">
        <f t="shared" ref="J77:AJ83" si="19">J101</f>
        <v>0</v>
      </c>
      <c r="K77" s="121">
        <f t="shared" si="19"/>
        <v>0</v>
      </c>
      <c r="L77" s="121">
        <f t="shared" si="19"/>
        <v>0</v>
      </c>
      <c r="M77" s="121">
        <f t="shared" si="19"/>
        <v>0</v>
      </c>
      <c r="N77" s="121">
        <f t="shared" si="19"/>
        <v>0</v>
      </c>
      <c r="O77" s="121">
        <f t="shared" si="19"/>
        <v>0</v>
      </c>
      <c r="P77" s="121">
        <f t="shared" si="19"/>
        <v>0</v>
      </c>
      <c r="Q77" s="121">
        <f t="shared" si="19"/>
        <v>0</v>
      </c>
      <c r="R77" s="121">
        <f t="shared" si="19"/>
        <v>0</v>
      </c>
      <c r="S77" s="121">
        <f t="shared" si="19"/>
        <v>0</v>
      </c>
      <c r="T77" s="121">
        <f t="shared" si="19"/>
        <v>0</v>
      </c>
      <c r="U77" s="121">
        <f t="shared" si="19"/>
        <v>0</v>
      </c>
      <c r="V77" s="121">
        <f t="shared" si="19"/>
        <v>0</v>
      </c>
      <c r="W77" s="121">
        <f t="shared" si="19"/>
        <v>0</v>
      </c>
      <c r="X77" s="121">
        <f t="shared" si="19"/>
        <v>0</v>
      </c>
      <c r="Y77" s="121">
        <f t="shared" si="19"/>
        <v>0</v>
      </c>
      <c r="Z77" s="121">
        <f t="shared" si="19"/>
        <v>0</v>
      </c>
      <c r="AA77" s="121">
        <f t="shared" si="19"/>
        <v>0</v>
      </c>
      <c r="AB77" s="121">
        <f t="shared" si="19"/>
        <v>0</v>
      </c>
      <c r="AC77" s="121">
        <f t="shared" si="19"/>
        <v>0</v>
      </c>
      <c r="AD77" s="121">
        <f t="shared" si="19"/>
        <v>0</v>
      </c>
      <c r="AE77" s="121">
        <f t="shared" si="19"/>
        <v>0</v>
      </c>
      <c r="AF77" s="121">
        <f t="shared" si="19"/>
        <v>0</v>
      </c>
      <c r="AG77" s="121">
        <f t="shared" si="19"/>
        <v>0</v>
      </c>
      <c r="AH77" s="121">
        <f t="shared" si="19"/>
        <v>0</v>
      </c>
      <c r="AI77" s="121">
        <f t="shared" si="19"/>
        <v>0</v>
      </c>
      <c r="AJ77" s="121">
        <f t="shared" si="19"/>
        <v>0</v>
      </c>
    </row>
    <row r="78" spans="2:36">
      <c r="B78" s="117" t="s">
        <v>173</v>
      </c>
      <c r="C78" s="122"/>
      <c r="E78" s="117"/>
      <c r="F78" s="121"/>
      <c r="H78" s="35" t="s">
        <v>12</v>
      </c>
      <c r="I78" s="121">
        <f t="shared" ref="I78:X83" si="20">I102</f>
        <v>0</v>
      </c>
      <c r="J78" s="121">
        <f t="shared" si="20"/>
        <v>0</v>
      </c>
      <c r="K78" s="121">
        <f t="shared" si="20"/>
        <v>0</v>
      </c>
      <c r="L78" s="121">
        <f t="shared" si="20"/>
        <v>0</v>
      </c>
      <c r="M78" s="121">
        <f t="shared" si="20"/>
        <v>0</v>
      </c>
      <c r="N78" s="121">
        <f t="shared" si="20"/>
        <v>0</v>
      </c>
      <c r="O78" s="121">
        <f t="shared" si="20"/>
        <v>0</v>
      </c>
      <c r="P78" s="121">
        <f t="shared" si="20"/>
        <v>0</v>
      </c>
      <c r="Q78" s="121">
        <f t="shared" si="20"/>
        <v>0</v>
      </c>
      <c r="R78" s="121">
        <f t="shared" si="20"/>
        <v>0</v>
      </c>
      <c r="S78" s="121">
        <f t="shared" si="20"/>
        <v>0</v>
      </c>
      <c r="T78" s="121">
        <f t="shared" si="20"/>
        <v>0</v>
      </c>
      <c r="U78" s="121">
        <f t="shared" si="20"/>
        <v>0</v>
      </c>
      <c r="V78" s="121">
        <f t="shared" si="20"/>
        <v>0</v>
      </c>
      <c r="W78" s="121">
        <f t="shared" si="20"/>
        <v>0</v>
      </c>
      <c r="X78" s="121">
        <f t="shared" si="20"/>
        <v>0</v>
      </c>
      <c r="Y78" s="121">
        <f t="shared" si="19"/>
        <v>0</v>
      </c>
      <c r="Z78" s="121">
        <f t="shared" si="19"/>
        <v>0</v>
      </c>
      <c r="AA78" s="121">
        <f t="shared" si="19"/>
        <v>0</v>
      </c>
      <c r="AB78" s="121">
        <f t="shared" si="19"/>
        <v>0</v>
      </c>
      <c r="AC78" s="121">
        <f t="shared" si="19"/>
        <v>0</v>
      </c>
      <c r="AD78" s="121">
        <f t="shared" si="19"/>
        <v>0</v>
      </c>
      <c r="AE78" s="121">
        <f t="shared" si="19"/>
        <v>0</v>
      </c>
      <c r="AF78" s="121">
        <f t="shared" si="19"/>
        <v>0</v>
      </c>
      <c r="AG78" s="121">
        <f t="shared" si="19"/>
        <v>0</v>
      </c>
      <c r="AH78" s="121">
        <f t="shared" si="19"/>
        <v>0</v>
      </c>
      <c r="AI78" s="121">
        <f t="shared" si="19"/>
        <v>0</v>
      </c>
      <c r="AJ78" s="121">
        <f t="shared" si="19"/>
        <v>0</v>
      </c>
    </row>
    <row r="79" spans="2:36">
      <c r="B79" s="117" t="s">
        <v>173</v>
      </c>
      <c r="C79" s="122"/>
      <c r="E79" s="117"/>
      <c r="F79" s="121"/>
      <c r="H79" s="35" t="s">
        <v>15</v>
      </c>
      <c r="I79" s="121">
        <f t="shared" si="20"/>
        <v>0</v>
      </c>
      <c r="J79" s="121">
        <f t="shared" si="19"/>
        <v>0</v>
      </c>
      <c r="K79" s="121">
        <f t="shared" si="19"/>
        <v>0</v>
      </c>
      <c r="L79" s="121">
        <f t="shared" si="19"/>
        <v>0</v>
      </c>
      <c r="M79" s="121">
        <f t="shared" si="19"/>
        <v>0</v>
      </c>
      <c r="N79" s="121">
        <f t="shared" si="19"/>
        <v>0</v>
      </c>
      <c r="O79" s="121">
        <f t="shared" si="19"/>
        <v>0</v>
      </c>
      <c r="P79" s="121">
        <f t="shared" si="19"/>
        <v>0</v>
      </c>
      <c r="Q79" s="121">
        <f t="shared" si="19"/>
        <v>0</v>
      </c>
      <c r="R79" s="121">
        <f t="shared" si="19"/>
        <v>0</v>
      </c>
      <c r="S79" s="121">
        <f t="shared" si="19"/>
        <v>0</v>
      </c>
      <c r="T79" s="121">
        <f t="shared" si="19"/>
        <v>0</v>
      </c>
      <c r="U79" s="121">
        <f t="shared" si="19"/>
        <v>0</v>
      </c>
      <c r="V79" s="121">
        <f t="shared" si="19"/>
        <v>0</v>
      </c>
      <c r="W79" s="121">
        <f t="shared" si="19"/>
        <v>0</v>
      </c>
      <c r="X79" s="121">
        <f t="shared" si="19"/>
        <v>0</v>
      </c>
      <c r="Y79" s="121">
        <f t="shared" si="19"/>
        <v>0</v>
      </c>
      <c r="Z79" s="121">
        <f t="shared" si="19"/>
        <v>0</v>
      </c>
      <c r="AA79" s="121">
        <f t="shared" si="19"/>
        <v>0</v>
      </c>
      <c r="AB79" s="121">
        <f t="shared" si="19"/>
        <v>0</v>
      </c>
      <c r="AC79" s="121">
        <f t="shared" si="19"/>
        <v>0</v>
      </c>
      <c r="AD79" s="121">
        <f t="shared" si="19"/>
        <v>0</v>
      </c>
      <c r="AE79" s="121">
        <f t="shared" si="19"/>
        <v>0</v>
      </c>
      <c r="AF79" s="121">
        <f t="shared" si="19"/>
        <v>0</v>
      </c>
      <c r="AG79" s="121">
        <f t="shared" si="19"/>
        <v>0</v>
      </c>
      <c r="AH79" s="121">
        <f t="shared" si="19"/>
        <v>0</v>
      </c>
      <c r="AI79" s="121">
        <f t="shared" si="19"/>
        <v>0</v>
      </c>
      <c r="AJ79" s="121">
        <f t="shared" si="19"/>
        <v>0</v>
      </c>
    </row>
    <row r="80" spans="2:36">
      <c r="B80" s="117" t="s">
        <v>173</v>
      </c>
      <c r="C80" s="122"/>
      <c r="E80" s="117"/>
      <c r="F80" s="121"/>
      <c r="H80" s="35" t="s">
        <v>19</v>
      </c>
      <c r="I80" s="121">
        <f t="shared" si="20"/>
        <v>0</v>
      </c>
      <c r="J80" s="121">
        <f t="shared" si="19"/>
        <v>0</v>
      </c>
      <c r="K80" s="121">
        <f t="shared" si="19"/>
        <v>0</v>
      </c>
      <c r="L80" s="121">
        <f t="shared" si="19"/>
        <v>0</v>
      </c>
      <c r="M80" s="121">
        <f t="shared" si="19"/>
        <v>0</v>
      </c>
      <c r="N80" s="121">
        <f t="shared" si="19"/>
        <v>0</v>
      </c>
      <c r="O80" s="121">
        <f t="shared" si="19"/>
        <v>0</v>
      </c>
      <c r="P80" s="121">
        <f t="shared" si="19"/>
        <v>0</v>
      </c>
      <c r="Q80" s="121">
        <f t="shared" si="19"/>
        <v>0</v>
      </c>
      <c r="R80" s="121">
        <f t="shared" si="19"/>
        <v>0</v>
      </c>
      <c r="S80" s="121">
        <f t="shared" si="19"/>
        <v>0</v>
      </c>
      <c r="T80" s="121">
        <f t="shared" si="19"/>
        <v>0</v>
      </c>
      <c r="U80" s="121">
        <f t="shared" si="19"/>
        <v>0</v>
      </c>
      <c r="V80" s="121">
        <f t="shared" si="19"/>
        <v>0</v>
      </c>
      <c r="W80" s="121">
        <f t="shared" si="19"/>
        <v>0</v>
      </c>
      <c r="X80" s="121">
        <f t="shared" si="19"/>
        <v>0</v>
      </c>
      <c r="Y80" s="121">
        <f t="shared" si="19"/>
        <v>0</v>
      </c>
      <c r="Z80" s="121">
        <f t="shared" si="19"/>
        <v>0</v>
      </c>
      <c r="AA80" s="121">
        <f t="shared" si="19"/>
        <v>0</v>
      </c>
      <c r="AB80" s="121">
        <f t="shared" si="19"/>
        <v>0</v>
      </c>
      <c r="AC80" s="121">
        <f t="shared" si="19"/>
        <v>0</v>
      </c>
      <c r="AD80" s="121">
        <f t="shared" si="19"/>
        <v>0</v>
      </c>
      <c r="AE80" s="121">
        <f t="shared" si="19"/>
        <v>0</v>
      </c>
      <c r="AF80" s="121">
        <f t="shared" si="19"/>
        <v>0</v>
      </c>
      <c r="AG80" s="121">
        <f t="shared" si="19"/>
        <v>0</v>
      </c>
      <c r="AH80" s="121">
        <f t="shared" si="19"/>
        <v>0</v>
      </c>
      <c r="AI80" s="121">
        <f t="shared" si="19"/>
        <v>0</v>
      </c>
      <c r="AJ80" s="121">
        <f t="shared" si="19"/>
        <v>0</v>
      </c>
    </row>
    <row r="81" spans="2:36">
      <c r="B81" s="117" t="s">
        <v>173</v>
      </c>
      <c r="C81" s="122"/>
      <c r="E81" s="117"/>
      <c r="F81" s="121"/>
      <c r="H81" s="35" t="s">
        <v>22</v>
      </c>
      <c r="I81" s="121">
        <f t="shared" si="20"/>
        <v>0</v>
      </c>
      <c r="J81" s="121">
        <f t="shared" si="19"/>
        <v>0</v>
      </c>
      <c r="K81" s="121">
        <f t="shared" si="19"/>
        <v>0</v>
      </c>
      <c r="L81" s="121">
        <f t="shared" si="19"/>
        <v>0</v>
      </c>
      <c r="M81" s="121">
        <f t="shared" si="19"/>
        <v>0</v>
      </c>
      <c r="N81" s="121">
        <f t="shared" si="19"/>
        <v>0</v>
      </c>
      <c r="O81" s="121">
        <f t="shared" si="19"/>
        <v>0</v>
      </c>
      <c r="P81" s="121">
        <f t="shared" si="19"/>
        <v>0</v>
      </c>
      <c r="Q81" s="121">
        <f t="shared" si="19"/>
        <v>0</v>
      </c>
      <c r="R81" s="121">
        <f t="shared" si="19"/>
        <v>0</v>
      </c>
      <c r="S81" s="121">
        <f t="shared" si="19"/>
        <v>0</v>
      </c>
      <c r="T81" s="121">
        <f t="shared" si="19"/>
        <v>0</v>
      </c>
      <c r="U81" s="121">
        <f t="shared" si="19"/>
        <v>0</v>
      </c>
      <c r="V81" s="121">
        <f t="shared" si="19"/>
        <v>0</v>
      </c>
      <c r="W81" s="121">
        <f t="shared" si="19"/>
        <v>0</v>
      </c>
      <c r="X81" s="121">
        <f t="shared" si="19"/>
        <v>0</v>
      </c>
      <c r="Y81" s="121">
        <f t="shared" si="19"/>
        <v>0</v>
      </c>
      <c r="Z81" s="121">
        <f t="shared" si="19"/>
        <v>0</v>
      </c>
      <c r="AA81" s="121">
        <f t="shared" si="19"/>
        <v>0</v>
      </c>
      <c r="AB81" s="121">
        <f t="shared" si="19"/>
        <v>0</v>
      </c>
      <c r="AC81" s="121">
        <f t="shared" si="19"/>
        <v>0</v>
      </c>
      <c r="AD81" s="121">
        <f t="shared" si="19"/>
        <v>0</v>
      </c>
      <c r="AE81" s="121">
        <f t="shared" si="19"/>
        <v>0</v>
      </c>
      <c r="AF81" s="121">
        <f t="shared" si="19"/>
        <v>0</v>
      </c>
      <c r="AG81" s="121">
        <f t="shared" si="19"/>
        <v>0</v>
      </c>
      <c r="AH81" s="121">
        <f t="shared" si="19"/>
        <v>0</v>
      </c>
      <c r="AI81" s="121">
        <f t="shared" si="19"/>
        <v>0</v>
      </c>
      <c r="AJ81" s="121">
        <f t="shared" si="19"/>
        <v>0</v>
      </c>
    </row>
    <row r="82" spans="2:36">
      <c r="B82" s="117" t="s">
        <v>173</v>
      </c>
      <c r="C82" s="122"/>
      <c r="E82" s="117"/>
      <c r="F82" s="121"/>
      <c r="H82" s="35" t="s">
        <v>24</v>
      </c>
      <c r="I82" s="121">
        <f t="shared" si="20"/>
        <v>0</v>
      </c>
      <c r="J82" s="121">
        <f t="shared" si="19"/>
        <v>0</v>
      </c>
      <c r="K82" s="121">
        <f t="shared" si="19"/>
        <v>0</v>
      </c>
      <c r="L82" s="121">
        <f t="shared" si="19"/>
        <v>0</v>
      </c>
      <c r="M82" s="121">
        <f t="shared" si="19"/>
        <v>0</v>
      </c>
      <c r="N82" s="121">
        <f t="shared" si="19"/>
        <v>0</v>
      </c>
      <c r="O82" s="121">
        <f t="shared" si="19"/>
        <v>0</v>
      </c>
      <c r="P82" s="121">
        <f t="shared" si="19"/>
        <v>0</v>
      </c>
      <c r="Q82" s="121">
        <f t="shared" si="19"/>
        <v>0</v>
      </c>
      <c r="R82" s="121">
        <f t="shared" si="19"/>
        <v>0</v>
      </c>
      <c r="S82" s="121">
        <f t="shared" si="19"/>
        <v>0</v>
      </c>
      <c r="T82" s="121">
        <f t="shared" si="19"/>
        <v>0</v>
      </c>
      <c r="U82" s="121">
        <f t="shared" si="19"/>
        <v>0</v>
      </c>
      <c r="V82" s="121">
        <f t="shared" si="19"/>
        <v>0</v>
      </c>
      <c r="W82" s="121">
        <f t="shared" si="19"/>
        <v>0</v>
      </c>
      <c r="X82" s="121">
        <f t="shared" si="19"/>
        <v>0</v>
      </c>
      <c r="Y82" s="121">
        <f t="shared" si="19"/>
        <v>0</v>
      </c>
      <c r="Z82" s="121">
        <f t="shared" si="19"/>
        <v>0</v>
      </c>
      <c r="AA82" s="121">
        <f t="shared" si="19"/>
        <v>0</v>
      </c>
      <c r="AB82" s="121">
        <f t="shared" si="19"/>
        <v>0</v>
      </c>
      <c r="AC82" s="121">
        <f t="shared" si="19"/>
        <v>0</v>
      </c>
      <c r="AD82" s="121">
        <f t="shared" si="19"/>
        <v>0</v>
      </c>
      <c r="AE82" s="121">
        <f t="shared" si="19"/>
        <v>0</v>
      </c>
      <c r="AF82" s="121">
        <f t="shared" si="19"/>
        <v>0</v>
      </c>
      <c r="AG82" s="121">
        <f t="shared" si="19"/>
        <v>0</v>
      </c>
      <c r="AH82" s="121">
        <f t="shared" si="19"/>
        <v>0</v>
      </c>
      <c r="AI82" s="121">
        <f t="shared" si="19"/>
        <v>0</v>
      </c>
      <c r="AJ82" s="121">
        <f t="shared" si="19"/>
        <v>0</v>
      </c>
    </row>
    <row r="83" spans="2:36">
      <c r="B83" s="117" t="s">
        <v>173</v>
      </c>
      <c r="C83" s="122"/>
      <c r="E83" s="117"/>
      <c r="F83" s="121"/>
      <c r="H83" s="35" t="s">
        <v>25</v>
      </c>
      <c r="I83" s="121">
        <f t="shared" si="20"/>
        <v>0</v>
      </c>
      <c r="J83" s="121">
        <f t="shared" si="19"/>
        <v>0</v>
      </c>
      <c r="K83" s="121">
        <f t="shared" si="19"/>
        <v>0</v>
      </c>
      <c r="L83" s="121">
        <f t="shared" si="19"/>
        <v>0</v>
      </c>
      <c r="M83" s="121">
        <f t="shared" si="19"/>
        <v>0</v>
      </c>
      <c r="N83" s="121">
        <f t="shared" si="19"/>
        <v>0</v>
      </c>
      <c r="O83" s="121">
        <f t="shared" si="19"/>
        <v>0</v>
      </c>
      <c r="P83" s="121">
        <f t="shared" si="19"/>
        <v>0</v>
      </c>
      <c r="Q83" s="121">
        <f t="shared" si="19"/>
        <v>0</v>
      </c>
      <c r="R83" s="121">
        <f t="shared" si="19"/>
        <v>0</v>
      </c>
      <c r="S83" s="121">
        <f t="shared" si="19"/>
        <v>0</v>
      </c>
      <c r="T83" s="121">
        <f t="shared" si="19"/>
        <v>0</v>
      </c>
      <c r="U83" s="121">
        <f t="shared" si="19"/>
        <v>0</v>
      </c>
      <c r="V83" s="121">
        <f t="shared" si="19"/>
        <v>0</v>
      </c>
      <c r="W83" s="121">
        <f t="shared" si="19"/>
        <v>0</v>
      </c>
      <c r="X83" s="121">
        <f t="shared" si="19"/>
        <v>0</v>
      </c>
      <c r="Y83" s="121">
        <f t="shared" si="19"/>
        <v>0</v>
      </c>
      <c r="Z83" s="121">
        <f t="shared" si="19"/>
        <v>0</v>
      </c>
      <c r="AA83" s="121">
        <f t="shared" si="19"/>
        <v>0</v>
      </c>
      <c r="AB83" s="121">
        <f t="shared" si="19"/>
        <v>0</v>
      </c>
      <c r="AC83" s="121">
        <f t="shared" si="19"/>
        <v>0</v>
      </c>
      <c r="AD83" s="121">
        <f t="shared" si="19"/>
        <v>0</v>
      </c>
      <c r="AE83" s="121">
        <f t="shared" si="19"/>
        <v>0</v>
      </c>
      <c r="AF83" s="121">
        <f t="shared" si="19"/>
        <v>0</v>
      </c>
      <c r="AG83" s="121">
        <f t="shared" si="19"/>
        <v>0</v>
      </c>
      <c r="AH83" s="121">
        <f t="shared" si="19"/>
        <v>0</v>
      </c>
      <c r="AI83" s="121">
        <f t="shared" si="19"/>
        <v>0</v>
      </c>
      <c r="AJ83" s="121">
        <f t="shared" si="19"/>
        <v>0</v>
      </c>
    </row>
    <row r="84" spans="2:36">
      <c r="B84" s="117" t="s">
        <v>173</v>
      </c>
      <c r="C84" s="122"/>
      <c r="E84" s="117"/>
      <c r="F84" s="121"/>
      <c r="H84" s="117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</row>
    <row r="85" spans="2:36">
      <c r="B85" s="117" t="s">
        <v>173</v>
      </c>
      <c r="C85" s="122"/>
      <c r="E85" s="117"/>
      <c r="F85" s="121"/>
      <c r="H85" s="117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</row>
    <row r="86" spans="2:36">
      <c r="B86" s="117" t="s">
        <v>173</v>
      </c>
      <c r="C86" s="122"/>
      <c r="E86" s="117"/>
      <c r="F86" s="121"/>
      <c r="H86" s="117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</row>
    <row r="87" spans="2:36">
      <c r="F87" s="127"/>
    </row>
    <row r="88" spans="2:36">
      <c r="B88" s="113" t="s">
        <v>271</v>
      </c>
      <c r="E88" s="113" t="s">
        <v>68</v>
      </c>
      <c r="H88" s="113" t="s">
        <v>71</v>
      </c>
      <c r="I88" s="115">
        <v>2023</v>
      </c>
      <c r="J88" s="115">
        <v>2024</v>
      </c>
      <c r="K88" s="115">
        <v>2025</v>
      </c>
      <c r="L88" s="115">
        <v>2026</v>
      </c>
      <c r="M88" s="115">
        <v>2027</v>
      </c>
      <c r="N88" s="115">
        <v>2028</v>
      </c>
      <c r="O88" s="115">
        <v>2029</v>
      </c>
      <c r="P88" s="115">
        <v>2030</v>
      </c>
      <c r="Q88" s="115">
        <v>2031</v>
      </c>
      <c r="R88" s="115">
        <v>2032</v>
      </c>
      <c r="S88" s="115">
        <v>2033</v>
      </c>
      <c r="T88" s="115">
        <v>2034</v>
      </c>
      <c r="U88" s="115">
        <v>2035</v>
      </c>
      <c r="V88" s="115">
        <v>2036</v>
      </c>
      <c r="W88" s="115">
        <v>2037</v>
      </c>
      <c r="X88" s="115">
        <v>2038</v>
      </c>
      <c r="Y88" s="115">
        <v>2039</v>
      </c>
      <c r="Z88" s="115">
        <v>2040</v>
      </c>
      <c r="AA88" s="115">
        <v>2041</v>
      </c>
      <c r="AB88" s="115">
        <v>2042</v>
      </c>
      <c r="AC88" s="115">
        <v>2043</v>
      </c>
      <c r="AD88" s="115">
        <v>2044</v>
      </c>
      <c r="AE88" s="115">
        <v>2045</v>
      </c>
      <c r="AF88" s="115">
        <v>2046</v>
      </c>
      <c r="AG88" s="115">
        <v>2047</v>
      </c>
      <c r="AH88" s="115">
        <v>2048</v>
      </c>
      <c r="AI88" s="115">
        <v>2049</v>
      </c>
      <c r="AJ88" s="115">
        <v>2050</v>
      </c>
    </row>
    <row r="89" spans="2:36">
      <c r="B89" s="117" t="s">
        <v>173</v>
      </c>
      <c r="C89" s="122"/>
      <c r="E89" s="117"/>
      <c r="F89" s="121"/>
      <c r="H89" s="117" t="s">
        <v>8</v>
      </c>
      <c r="I89" s="121">
        <f>I101</f>
        <v>0</v>
      </c>
      <c r="J89" s="121">
        <f t="shared" ref="J89:AJ89" si="21">J101</f>
        <v>0</v>
      </c>
      <c r="K89" s="121">
        <f t="shared" si="21"/>
        <v>0</v>
      </c>
      <c r="L89" s="121">
        <f t="shared" si="21"/>
        <v>0</v>
      </c>
      <c r="M89" s="121">
        <f t="shared" si="21"/>
        <v>0</v>
      </c>
      <c r="N89" s="121">
        <f t="shared" si="21"/>
        <v>0</v>
      </c>
      <c r="O89" s="121">
        <f t="shared" si="21"/>
        <v>0</v>
      </c>
      <c r="P89" s="121">
        <f t="shared" si="21"/>
        <v>0</v>
      </c>
      <c r="Q89" s="121">
        <f t="shared" si="21"/>
        <v>0</v>
      </c>
      <c r="R89" s="121">
        <f t="shared" si="21"/>
        <v>0</v>
      </c>
      <c r="S89" s="121">
        <f t="shared" si="21"/>
        <v>0</v>
      </c>
      <c r="T89" s="121">
        <f t="shared" si="21"/>
        <v>0</v>
      </c>
      <c r="U89" s="121">
        <f t="shared" si="21"/>
        <v>0</v>
      </c>
      <c r="V89" s="121">
        <f t="shared" si="21"/>
        <v>0</v>
      </c>
      <c r="W89" s="121">
        <f t="shared" si="21"/>
        <v>0</v>
      </c>
      <c r="X89" s="121">
        <f t="shared" si="21"/>
        <v>0</v>
      </c>
      <c r="Y89" s="121">
        <f t="shared" si="21"/>
        <v>0</v>
      </c>
      <c r="Z89" s="121">
        <f t="shared" si="21"/>
        <v>0</v>
      </c>
      <c r="AA89" s="121">
        <f t="shared" si="21"/>
        <v>0</v>
      </c>
      <c r="AB89" s="121">
        <f t="shared" si="21"/>
        <v>0</v>
      </c>
      <c r="AC89" s="121">
        <f t="shared" si="21"/>
        <v>0</v>
      </c>
      <c r="AD89" s="121">
        <f t="shared" si="21"/>
        <v>0</v>
      </c>
      <c r="AE89" s="121">
        <f t="shared" si="21"/>
        <v>0</v>
      </c>
      <c r="AF89" s="121">
        <f t="shared" si="21"/>
        <v>0</v>
      </c>
      <c r="AG89" s="121">
        <f t="shared" si="21"/>
        <v>0</v>
      </c>
      <c r="AH89" s="121">
        <f t="shared" si="21"/>
        <v>0</v>
      </c>
      <c r="AI89" s="121">
        <f t="shared" si="21"/>
        <v>0</v>
      </c>
      <c r="AJ89" s="121">
        <f t="shared" si="21"/>
        <v>0</v>
      </c>
    </row>
    <row r="90" spans="2:36">
      <c r="B90" s="117" t="s">
        <v>173</v>
      </c>
      <c r="C90" s="122"/>
      <c r="E90" s="117"/>
      <c r="F90" s="121"/>
      <c r="H90" s="35" t="s">
        <v>12</v>
      </c>
      <c r="I90" s="121">
        <f t="shared" ref="I90:AJ94" si="22">I102</f>
        <v>0</v>
      </c>
      <c r="J90" s="121">
        <f t="shared" si="22"/>
        <v>0</v>
      </c>
      <c r="K90" s="121">
        <f t="shared" si="22"/>
        <v>0</v>
      </c>
      <c r="L90" s="121">
        <f t="shared" si="22"/>
        <v>0</v>
      </c>
      <c r="M90" s="121">
        <f t="shared" si="22"/>
        <v>0</v>
      </c>
      <c r="N90" s="121">
        <f t="shared" si="22"/>
        <v>0</v>
      </c>
      <c r="O90" s="121">
        <f t="shared" si="22"/>
        <v>0</v>
      </c>
      <c r="P90" s="121">
        <f t="shared" si="22"/>
        <v>0</v>
      </c>
      <c r="Q90" s="121">
        <f t="shared" si="22"/>
        <v>0</v>
      </c>
      <c r="R90" s="121">
        <f t="shared" si="22"/>
        <v>0</v>
      </c>
      <c r="S90" s="121">
        <f t="shared" si="22"/>
        <v>0</v>
      </c>
      <c r="T90" s="121">
        <f t="shared" si="22"/>
        <v>0</v>
      </c>
      <c r="U90" s="121">
        <f t="shared" si="22"/>
        <v>0</v>
      </c>
      <c r="V90" s="121">
        <f t="shared" si="22"/>
        <v>0</v>
      </c>
      <c r="W90" s="121">
        <f t="shared" si="22"/>
        <v>0</v>
      </c>
      <c r="X90" s="121">
        <f t="shared" si="22"/>
        <v>0</v>
      </c>
      <c r="Y90" s="121">
        <f t="shared" si="22"/>
        <v>0</v>
      </c>
      <c r="Z90" s="121">
        <f t="shared" si="22"/>
        <v>0</v>
      </c>
      <c r="AA90" s="121">
        <f t="shared" si="22"/>
        <v>0</v>
      </c>
      <c r="AB90" s="121">
        <f t="shared" si="22"/>
        <v>0</v>
      </c>
      <c r="AC90" s="121">
        <f t="shared" si="22"/>
        <v>0</v>
      </c>
      <c r="AD90" s="121">
        <f t="shared" si="22"/>
        <v>0</v>
      </c>
      <c r="AE90" s="121">
        <f t="shared" si="22"/>
        <v>0</v>
      </c>
      <c r="AF90" s="121">
        <f t="shared" si="22"/>
        <v>0</v>
      </c>
      <c r="AG90" s="121">
        <f t="shared" si="22"/>
        <v>0</v>
      </c>
      <c r="AH90" s="121">
        <f t="shared" si="22"/>
        <v>0</v>
      </c>
      <c r="AI90" s="121">
        <f t="shared" si="22"/>
        <v>0</v>
      </c>
      <c r="AJ90" s="121">
        <f t="shared" si="22"/>
        <v>0</v>
      </c>
    </row>
    <row r="91" spans="2:36">
      <c r="B91" s="117" t="s">
        <v>173</v>
      </c>
      <c r="C91" s="122"/>
      <c r="E91" s="117"/>
      <c r="F91" s="121"/>
      <c r="H91" s="35" t="s">
        <v>15</v>
      </c>
      <c r="I91" s="121">
        <f t="shared" si="22"/>
        <v>0</v>
      </c>
      <c r="J91" s="121">
        <f t="shared" si="22"/>
        <v>0</v>
      </c>
      <c r="K91" s="121">
        <f t="shared" si="22"/>
        <v>0</v>
      </c>
      <c r="L91" s="121">
        <f t="shared" si="22"/>
        <v>0</v>
      </c>
      <c r="M91" s="121">
        <f t="shared" si="22"/>
        <v>0</v>
      </c>
      <c r="N91" s="121">
        <f t="shared" si="22"/>
        <v>0</v>
      </c>
      <c r="O91" s="121">
        <f t="shared" si="22"/>
        <v>0</v>
      </c>
      <c r="P91" s="121">
        <f t="shared" si="22"/>
        <v>0</v>
      </c>
      <c r="Q91" s="121">
        <f t="shared" si="22"/>
        <v>0</v>
      </c>
      <c r="R91" s="121">
        <f t="shared" si="22"/>
        <v>0</v>
      </c>
      <c r="S91" s="121">
        <f t="shared" si="22"/>
        <v>0</v>
      </c>
      <c r="T91" s="121">
        <f t="shared" si="22"/>
        <v>0</v>
      </c>
      <c r="U91" s="121">
        <f t="shared" si="22"/>
        <v>0</v>
      </c>
      <c r="V91" s="121">
        <f t="shared" si="22"/>
        <v>0</v>
      </c>
      <c r="W91" s="121">
        <f t="shared" si="22"/>
        <v>0</v>
      </c>
      <c r="X91" s="121">
        <f t="shared" si="22"/>
        <v>0</v>
      </c>
      <c r="Y91" s="121">
        <f t="shared" si="22"/>
        <v>0</v>
      </c>
      <c r="Z91" s="121">
        <f t="shared" si="22"/>
        <v>0</v>
      </c>
      <c r="AA91" s="121">
        <f t="shared" si="22"/>
        <v>0</v>
      </c>
      <c r="AB91" s="121">
        <f t="shared" si="22"/>
        <v>0</v>
      </c>
      <c r="AC91" s="121">
        <f t="shared" si="22"/>
        <v>0</v>
      </c>
      <c r="AD91" s="121">
        <f t="shared" si="22"/>
        <v>0</v>
      </c>
      <c r="AE91" s="121">
        <f t="shared" si="22"/>
        <v>0</v>
      </c>
      <c r="AF91" s="121">
        <f t="shared" si="22"/>
        <v>0</v>
      </c>
      <c r="AG91" s="121">
        <f t="shared" si="22"/>
        <v>0</v>
      </c>
      <c r="AH91" s="121">
        <f t="shared" si="22"/>
        <v>0</v>
      </c>
      <c r="AI91" s="121">
        <f t="shared" si="22"/>
        <v>0</v>
      </c>
      <c r="AJ91" s="121">
        <f t="shared" si="22"/>
        <v>0</v>
      </c>
    </row>
    <row r="92" spans="2:36">
      <c r="B92" s="117" t="s">
        <v>173</v>
      </c>
      <c r="C92" s="122"/>
      <c r="E92" s="117"/>
      <c r="F92" s="121"/>
      <c r="H92" s="35" t="s">
        <v>19</v>
      </c>
      <c r="I92" s="121">
        <f t="shared" si="22"/>
        <v>0</v>
      </c>
      <c r="J92" s="121">
        <f t="shared" si="22"/>
        <v>0</v>
      </c>
      <c r="K92" s="121">
        <f t="shared" si="22"/>
        <v>0</v>
      </c>
      <c r="L92" s="121">
        <f t="shared" si="22"/>
        <v>0</v>
      </c>
      <c r="M92" s="121">
        <f t="shared" si="22"/>
        <v>0</v>
      </c>
      <c r="N92" s="121">
        <f t="shared" si="22"/>
        <v>0</v>
      </c>
      <c r="O92" s="121">
        <f t="shared" si="22"/>
        <v>0</v>
      </c>
      <c r="P92" s="121">
        <f t="shared" si="22"/>
        <v>0</v>
      </c>
      <c r="Q92" s="121">
        <f t="shared" si="22"/>
        <v>0</v>
      </c>
      <c r="R92" s="121">
        <f t="shared" si="22"/>
        <v>0</v>
      </c>
      <c r="S92" s="121">
        <f t="shared" si="22"/>
        <v>0</v>
      </c>
      <c r="T92" s="121">
        <f t="shared" si="22"/>
        <v>0</v>
      </c>
      <c r="U92" s="121">
        <f t="shared" si="22"/>
        <v>0</v>
      </c>
      <c r="V92" s="121">
        <f t="shared" si="22"/>
        <v>0</v>
      </c>
      <c r="W92" s="121">
        <f t="shared" si="22"/>
        <v>0</v>
      </c>
      <c r="X92" s="121">
        <f t="shared" si="22"/>
        <v>0</v>
      </c>
      <c r="Y92" s="121">
        <f t="shared" si="22"/>
        <v>0</v>
      </c>
      <c r="Z92" s="121">
        <f t="shared" si="22"/>
        <v>0</v>
      </c>
      <c r="AA92" s="121">
        <f t="shared" si="22"/>
        <v>0</v>
      </c>
      <c r="AB92" s="121">
        <f t="shared" si="22"/>
        <v>0</v>
      </c>
      <c r="AC92" s="121">
        <f t="shared" si="22"/>
        <v>0</v>
      </c>
      <c r="AD92" s="121">
        <f t="shared" si="22"/>
        <v>0</v>
      </c>
      <c r="AE92" s="121">
        <f t="shared" si="22"/>
        <v>0</v>
      </c>
      <c r="AF92" s="121">
        <f t="shared" si="22"/>
        <v>0</v>
      </c>
      <c r="AG92" s="121">
        <f t="shared" si="22"/>
        <v>0</v>
      </c>
      <c r="AH92" s="121">
        <f t="shared" si="22"/>
        <v>0</v>
      </c>
      <c r="AI92" s="121">
        <f t="shared" si="22"/>
        <v>0</v>
      </c>
      <c r="AJ92" s="121">
        <f t="shared" si="22"/>
        <v>0</v>
      </c>
    </row>
    <row r="93" spans="2:36">
      <c r="B93" s="117" t="s">
        <v>173</v>
      </c>
      <c r="C93" s="122"/>
      <c r="E93" s="117"/>
      <c r="F93" s="121"/>
      <c r="H93" s="35" t="s">
        <v>22</v>
      </c>
      <c r="I93" s="121">
        <f t="shared" si="22"/>
        <v>0</v>
      </c>
      <c r="J93" s="121">
        <f t="shared" si="22"/>
        <v>0</v>
      </c>
      <c r="K93" s="121">
        <f t="shared" si="22"/>
        <v>0</v>
      </c>
      <c r="L93" s="121">
        <f t="shared" si="22"/>
        <v>0</v>
      </c>
      <c r="M93" s="121">
        <f t="shared" si="22"/>
        <v>0</v>
      </c>
      <c r="N93" s="121">
        <f t="shared" si="22"/>
        <v>0</v>
      </c>
      <c r="O93" s="121">
        <f t="shared" si="22"/>
        <v>0</v>
      </c>
      <c r="P93" s="121">
        <f t="shared" si="22"/>
        <v>0</v>
      </c>
      <c r="Q93" s="121">
        <f t="shared" si="22"/>
        <v>0</v>
      </c>
      <c r="R93" s="121">
        <f t="shared" si="22"/>
        <v>0</v>
      </c>
      <c r="S93" s="121">
        <f t="shared" si="22"/>
        <v>0</v>
      </c>
      <c r="T93" s="121">
        <f t="shared" si="22"/>
        <v>0</v>
      </c>
      <c r="U93" s="121">
        <f t="shared" si="22"/>
        <v>0</v>
      </c>
      <c r="V93" s="121">
        <f t="shared" si="22"/>
        <v>0</v>
      </c>
      <c r="W93" s="121">
        <f t="shared" si="22"/>
        <v>0</v>
      </c>
      <c r="X93" s="121">
        <f t="shared" si="22"/>
        <v>0</v>
      </c>
      <c r="Y93" s="121">
        <f t="shared" si="22"/>
        <v>0</v>
      </c>
      <c r="Z93" s="121">
        <f t="shared" si="22"/>
        <v>0</v>
      </c>
      <c r="AA93" s="121">
        <f t="shared" si="22"/>
        <v>0</v>
      </c>
      <c r="AB93" s="121">
        <f t="shared" si="22"/>
        <v>0</v>
      </c>
      <c r="AC93" s="121">
        <f t="shared" si="22"/>
        <v>0</v>
      </c>
      <c r="AD93" s="121">
        <f t="shared" si="22"/>
        <v>0</v>
      </c>
      <c r="AE93" s="121">
        <f t="shared" si="22"/>
        <v>0</v>
      </c>
      <c r="AF93" s="121">
        <f t="shared" si="22"/>
        <v>0</v>
      </c>
      <c r="AG93" s="121">
        <f t="shared" si="22"/>
        <v>0</v>
      </c>
      <c r="AH93" s="121">
        <f t="shared" si="22"/>
        <v>0</v>
      </c>
      <c r="AI93" s="121">
        <f t="shared" si="22"/>
        <v>0</v>
      </c>
      <c r="AJ93" s="121">
        <f t="shared" si="22"/>
        <v>0</v>
      </c>
    </row>
    <row r="94" spans="2:36">
      <c r="B94" s="117" t="s">
        <v>173</v>
      </c>
      <c r="C94" s="122"/>
      <c r="E94" s="117"/>
      <c r="F94" s="121"/>
      <c r="H94" s="35" t="s">
        <v>24</v>
      </c>
      <c r="I94" s="121">
        <f>I106</f>
        <v>0</v>
      </c>
      <c r="J94" s="121">
        <f t="shared" si="22"/>
        <v>0</v>
      </c>
      <c r="K94" s="121">
        <f t="shared" si="22"/>
        <v>0</v>
      </c>
      <c r="L94" s="121">
        <f t="shared" si="22"/>
        <v>0</v>
      </c>
      <c r="M94" s="121">
        <f t="shared" si="22"/>
        <v>0</v>
      </c>
      <c r="N94" s="121">
        <f t="shared" si="22"/>
        <v>0</v>
      </c>
      <c r="O94" s="121">
        <f t="shared" si="22"/>
        <v>0</v>
      </c>
      <c r="P94" s="121">
        <f t="shared" si="22"/>
        <v>0</v>
      </c>
      <c r="Q94" s="121">
        <f t="shared" si="22"/>
        <v>0</v>
      </c>
      <c r="R94" s="121">
        <f t="shared" si="22"/>
        <v>0</v>
      </c>
      <c r="S94" s="121">
        <f t="shared" si="22"/>
        <v>0</v>
      </c>
      <c r="T94" s="121">
        <f t="shared" si="22"/>
        <v>0</v>
      </c>
      <c r="U94" s="121">
        <f t="shared" si="22"/>
        <v>0</v>
      </c>
      <c r="V94" s="121">
        <f t="shared" si="22"/>
        <v>0</v>
      </c>
      <c r="W94" s="121">
        <f t="shared" si="22"/>
        <v>0</v>
      </c>
      <c r="X94" s="121">
        <f t="shared" si="22"/>
        <v>0</v>
      </c>
      <c r="Y94" s="121">
        <f t="shared" si="22"/>
        <v>0</v>
      </c>
      <c r="Z94" s="121">
        <f t="shared" si="22"/>
        <v>0</v>
      </c>
      <c r="AA94" s="121">
        <f t="shared" si="22"/>
        <v>0</v>
      </c>
      <c r="AB94" s="121">
        <f t="shared" si="22"/>
        <v>0</v>
      </c>
      <c r="AC94" s="121">
        <f t="shared" si="22"/>
        <v>0</v>
      </c>
      <c r="AD94" s="121">
        <f t="shared" si="22"/>
        <v>0</v>
      </c>
      <c r="AE94" s="121">
        <f t="shared" si="22"/>
        <v>0</v>
      </c>
      <c r="AF94" s="121">
        <f t="shared" si="22"/>
        <v>0</v>
      </c>
      <c r="AG94" s="121">
        <f t="shared" si="22"/>
        <v>0</v>
      </c>
      <c r="AH94" s="121">
        <f t="shared" si="22"/>
        <v>0</v>
      </c>
      <c r="AI94" s="121">
        <f t="shared" si="22"/>
        <v>0</v>
      </c>
      <c r="AJ94" s="121">
        <f t="shared" si="22"/>
        <v>0</v>
      </c>
    </row>
    <row r="95" spans="2:36">
      <c r="B95" s="117" t="s">
        <v>173</v>
      </c>
      <c r="C95" s="122"/>
      <c r="E95" s="117"/>
      <c r="F95" s="121"/>
      <c r="H95" s="35" t="s">
        <v>25</v>
      </c>
      <c r="I95" s="121">
        <f t="shared" ref="I95:AJ95" si="23">I107</f>
        <v>0</v>
      </c>
      <c r="J95" s="121">
        <f t="shared" si="23"/>
        <v>0</v>
      </c>
      <c r="K95" s="121">
        <f t="shared" si="23"/>
        <v>0</v>
      </c>
      <c r="L95" s="121">
        <f t="shared" si="23"/>
        <v>0</v>
      </c>
      <c r="M95" s="121">
        <f t="shared" si="23"/>
        <v>0</v>
      </c>
      <c r="N95" s="121">
        <f t="shared" si="23"/>
        <v>0</v>
      </c>
      <c r="O95" s="121">
        <f t="shared" si="23"/>
        <v>0</v>
      </c>
      <c r="P95" s="121">
        <f t="shared" si="23"/>
        <v>0</v>
      </c>
      <c r="Q95" s="121">
        <f t="shared" si="23"/>
        <v>0</v>
      </c>
      <c r="R95" s="121">
        <f t="shared" si="23"/>
        <v>0</v>
      </c>
      <c r="S95" s="121">
        <f t="shared" si="23"/>
        <v>0</v>
      </c>
      <c r="T95" s="121">
        <f t="shared" si="23"/>
        <v>0</v>
      </c>
      <c r="U95" s="121">
        <f t="shared" si="23"/>
        <v>0</v>
      </c>
      <c r="V95" s="121">
        <f t="shared" si="23"/>
        <v>0</v>
      </c>
      <c r="W95" s="121">
        <f t="shared" si="23"/>
        <v>0</v>
      </c>
      <c r="X95" s="121">
        <f t="shared" si="23"/>
        <v>0</v>
      </c>
      <c r="Y95" s="121">
        <f t="shared" si="23"/>
        <v>0</v>
      </c>
      <c r="Z95" s="121">
        <f t="shared" si="23"/>
        <v>0</v>
      </c>
      <c r="AA95" s="121">
        <f t="shared" si="23"/>
        <v>0</v>
      </c>
      <c r="AB95" s="121">
        <f t="shared" si="23"/>
        <v>0</v>
      </c>
      <c r="AC95" s="121">
        <f t="shared" si="23"/>
        <v>0</v>
      </c>
      <c r="AD95" s="121">
        <f t="shared" si="23"/>
        <v>0</v>
      </c>
      <c r="AE95" s="121">
        <f t="shared" si="23"/>
        <v>0</v>
      </c>
      <c r="AF95" s="121">
        <f t="shared" si="23"/>
        <v>0</v>
      </c>
      <c r="AG95" s="121">
        <f t="shared" si="23"/>
        <v>0</v>
      </c>
      <c r="AH95" s="121">
        <f t="shared" si="23"/>
        <v>0</v>
      </c>
      <c r="AI95" s="121">
        <f t="shared" si="23"/>
        <v>0</v>
      </c>
      <c r="AJ95" s="121">
        <f t="shared" si="23"/>
        <v>0</v>
      </c>
    </row>
    <row r="96" spans="2:36">
      <c r="B96" s="117" t="s">
        <v>173</v>
      </c>
      <c r="C96" s="122"/>
      <c r="E96" s="117"/>
      <c r="F96" s="121"/>
      <c r="H96" s="117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</row>
    <row r="97" spans="1:36">
      <c r="B97" s="117" t="s">
        <v>173</v>
      </c>
      <c r="C97" s="122"/>
      <c r="E97" s="117"/>
      <c r="F97" s="121"/>
      <c r="H97" s="117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</row>
    <row r="98" spans="1:36">
      <c r="B98" s="117" t="s">
        <v>173</v>
      </c>
      <c r="C98" s="122"/>
      <c r="E98" s="117"/>
      <c r="F98" s="121"/>
      <c r="H98" s="117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</row>
    <row r="100" spans="1:36">
      <c r="B100" s="113" t="s">
        <v>272</v>
      </c>
      <c r="E100" s="113" t="s">
        <v>69</v>
      </c>
      <c r="H100" s="113" t="s">
        <v>72</v>
      </c>
      <c r="I100" s="115">
        <v>2023</v>
      </c>
      <c r="J100" s="115">
        <v>2024</v>
      </c>
      <c r="K100" s="115">
        <v>2025</v>
      </c>
      <c r="L100" s="115">
        <v>2026</v>
      </c>
      <c r="M100" s="115">
        <v>2027</v>
      </c>
      <c r="N100" s="115">
        <v>2028</v>
      </c>
      <c r="O100" s="115">
        <v>2029</v>
      </c>
      <c r="P100" s="115">
        <v>2030</v>
      </c>
      <c r="Q100" s="115">
        <v>2031</v>
      </c>
      <c r="R100" s="115">
        <v>2032</v>
      </c>
      <c r="S100" s="115">
        <v>2033</v>
      </c>
      <c r="T100" s="115">
        <v>2034</v>
      </c>
      <c r="U100" s="115">
        <v>2035</v>
      </c>
      <c r="V100" s="115">
        <v>2036</v>
      </c>
      <c r="W100" s="115">
        <v>2037</v>
      </c>
      <c r="X100" s="115">
        <v>2038</v>
      </c>
      <c r="Y100" s="115">
        <v>2039</v>
      </c>
      <c r="Z100" s="115">
        <v>2040</v>
      </c>
      <c r="AA100" s="115">
        <v>2041</v>
      </c>
      <c r="AB100" s="115">
        <v>2042</v>
      </c>
      <c r="AC100" s="115">
        <v>2043</v>
      </c>
      <c r="AD100" s="115">
        <v>2044</v>
      </c>
      <c r="AE100" s="115">
        <v>2045</v>
      </c>
      <c r="AF100" s="115">
        <v>2046</v>
      </c>
      <c r="AG100" s="115">
        <v>2047</v>
      </c>
      <c r="AH100" s="115">
        <v>2048</v>
      </c>
      <c r="AI100" s="115">
        <v>2049</v>
      </c>
      <c r="AJ100" s="115">
        <v>2050</v>
      </c>
    </row>
    <row r="101" spans="1:36">
      <c r="B101" s="117" t="s">
        <v>173</v>
      </c>
      <c r="C101" s="122"/>
      <c r="E101" s="117"/>
      <c r="F101" s="121"/>
      <c r="H101" s="117" t="s">
        <v>8</v>
      </c>
      <c r="I101" s="121">
        <f>I103</f>
        <v>0</v>
      </c>
      <c r="J101" s="121">
        <f t="shared" ref="J101:AJ101" si="24">J103</f>
        <v>0</v>
      </c>
      <c r="K101" s="121">
        <f t="shared" si="24"/>
        <v>0</v>
      </c>
      <c r="L101" s="121">
        <f t="shared" si="24"/>
        <v>0</v>
      </c>
      <c r="M101" s="121">
        <f t="shared" si="24"/>
        <v>0</v>
      </c>
      <c r="N101" s="121">
        <f t="shared" si="24"/>
        <v>0</v>
      </c>
      <c r="O101" s="121">
        <f t="shared" si="24"/>
        <v>0</v>
      </c>
      <c r="P101" s="121">
        <f t="shared" si="24"/>
        <v>0</v>
      </c>
      <c r="Q101" s="121">
        <f t="shared" si="24"/>
        <v>0</v>
      </c>
      <c r="R101" s="121">
        <f t="shared" si="24"/>
        <v>0</v>
      </c>
      <c r="S101" s="121">
        <f t="shared" si="24"/>
        <v>0</v>
      </c>
      <c r="T101" s="121">
        <f t="shared" si="24"/>
        <v>0</v>
      </c>
      <c r="U101" s="121">
        <f t="shared" si="24"/>
        <v>0</v>
      </c>
      <c r="V101" s="121">
        <f t="shared" si="24"/>
        <v>0</v>
      </c>
      <c r="W101" s="121">
        <f t="shared" si="24"/>
        <v>0</v>
      </c>
      <c r="X101" s="121">
        <f t="shared" si="24"/>
        <v>0</v>
      </c>
      <c r="Y101" s="121">
        <f t="shared" si="24"/>
        <v>0</v>
      </c>
      <c r="Z101" s="121">
        <f t="shared" si="24"/>
        <v>0</v>
      </c>
      <c r="AA101" s="121">
        <f t="shared" si="24"/>
        <v>0</v>
      </c>
      <c r="AB101" s="121">
        <f t="shared" si="24"/>
        <v>0</v>
      </c>
      <c r="AC101" s="121">
        <f t="shared" si="24"/>
        <v>0</v>
      </c>
      <c r="AD101" s="121">
        <f t="shared" si="24"/>
        <v>0</v>
      </c>
      <c r="AE101" s="121">
        <f t="shared" si="24"/>
        <v>0</v>
      </c>
      <c r="AF101" s="121">
        <f t="shared" si="24"/>
        <v>0</v>
      </c>
      <c r="AG101" s="121">
        <f t="shared" si="24"/>
        <v>0</v>
      </c>
      <c r="AH101" s="121">
        <f t="shared" si="24"/>
        <v>0</v>
      </c>
      <c r="AI101" s="121">
        <f t="shared" si="24"/>
        <v>0</v>
      </c>
      <c r="AJ101" s="121">
        <f t="shared" si="24"/>
        <v>0</v>
      </c>
    </row>
    <row r="102" spans="1:36">
      <c r="B102" s="117" t="s">
        <v>173</v>
      </c>
      <c r="C102" s="122"/>
      <c r="E102" s="117"/>
      <c r="F102" s="121"/>
      <c r="H102" s="35" t="s">
        <v>12</v>
      </c>
      <c r="I102" s="121">
        <f>I112</f>
        <v>0</v>
      </c>
      <c r="J102" s="121">
        <f t="shared" ref="J102:AJ107" si="25">J112</f>
        <v>0</v>
      </c>
      <c r="K102" s="121">
        <f t="shared" si="25"/>
        <v>0</v>
      </c>
      <c r="L102" s="121">
        <f t="shared" si="25"/>
        <v>0</v>
      </c>
      <c r="M102" s="121">
        <f t="shared" si="25"/>
        <v>0</v>
      </c>
      <c r="N102" s="121">
        <f t="shared" si="25"/>
        <v>0</v>
      </c>
      <c r="O102" s="121">
        <f t="shared" si="25"/>
        <v>0</v>
      </c>
      <c r="P102" s="121">
        <f t="shared" si="25"/>
        <v>0</v>
      </c>
      <c r="Q102" s="121">
        <f t="shared" si="25"/>
        <v>0</v>
      </c>
      <c r="R102" s="121">
        <f t="shared" si="25"/>
        <v>0</v>
      </c>
      <c r="S102" s="121">
        <f t="shared" si="25"/>
        <v>0</v>
      </c>
      <c r="T102" s="121">
        <f t="shared" si="25"/>
        <v>0</v>
      </c>
      <c r="U102" s="121">
        <f t="shared" si="25"/>
        <v>0</v>
      </c>
      <c r="V102" s="121">
        <f t="shared" si="25"/>
        <v>0</v>
      </c>
      <c r="W102" s="121">
        <f t="shared" si="25"/>
        <v>0</v>
      </c>
      <c r="X102" s="121">
        <f t="shared" si="25"/>
        <v>0</v>
      </c>
      <c r="Y102" s="121">
        <f t="shared" si="25"/>
        <v>0</v>
      </c>
      <c r="Z102" s="121">
        <f t="shared" si="25"/>
        <v>0</v>
      </c>
      <c r="AA102" s="121">
        <f t="shared" si="25"/>
        <v>0</v>
      </c>
      <c r="AB102" s="121">
        <f t="shared" si="25"/>
        <v>0</v>
      </c>
      <c r="AC102" s="121">
        <f t="shared" si="25"/>
        <v>0</v>
      </c>
      <c r="AD102" s="121">
        <f t="shared" si="25"/>
        <v>0</v>
      </c>
      <c r="AE102" s="121">
        <f t="shared" si="25"/>
        <v>0</v>
      </c>
      <c r="AF102" s="121">
        <f t="shared" si="25"/>
        <v>0</v>
      </c>
      <c r="AG102" s="121">
        <f t="shared" si="25"/>
        <v>0</v>
      </c>
      <c r="AH102" s="121">
        <f t="shared" si="25"/>
        <v>0</v>
      </c>
      <c r="AI102" s="121">
        <f t="shared" si="25"/>
        <v>0</v>
      </c>
      <c r="AJ102" s="121">
        <f t="shared" si="25"/>
        <v>0</v>
      </c>
    </row>
    <row r="103" spans="1:36">
      <c r="B103" s="117" t="s">
        <v>173</v>
      </c>
      <c r="C103" s="122"/>
      <c r="E103" s="117"/>
      <c r="F103" s="121"/>
      <c r="H103" s="35" t="s">
        <v>15</v>
      </c>
      <c r="I103" s="121">
        <f t="shared" ref="I103:X107" si="26">I113</f>
        <v>0</v>
      </c>
      <c r="J103" s="121">
        <f t="shared" si="26"/>
        <v>0</v>
      </c>
      <c r="K103" s="121">
        <f t="shared" si="26"/>
        <v>0</v>
      </c>
      <c r="L103" s="121">
        <f t="shared" si="26"/>
        <v>0</v>
      </c>
      <c r="M103" s="121">
        <f t="shared" si="26"/>
        <v>0</v>
      </c>
      <c r="N103" s="121">
        <f t="shared" si="26"/>
        <v>0</v>
      </c>
      <c r="O103" s="121">
        <f t="shared" si="26"/>
        <v>0</v>
      </c>
      <c r="P103" s="121">
        <f t="shared" si="26"/>
        <v>0</v>
      </c>
      <c r="Q103" s="121">
        <f t="shared" si="26"/>
        <v>0</v>
      </c>
      <c r="R103" s="121">
        <f t="shared" si="26"/>
        <v>0</v>
      </c>
      <c r="S103" s="121">
        <f t="shared" si="26"/>
        <v>0</v>
      </c>
      <c r="T103" s="121">
        <f t="shared" si="26"/>
        <v>0</v>
      </c>
      <c r="U103" s="121">
        <f t="shared" si="26"/>
        <v>0</v>
      </c>
      <c r="V103" s="121">
        <f t="shared" si="26"/>
        <v>0</v>
      </c>
      <c r="W103" s="121">
        <f t="shared" si="26"/>
        <v>0</v>
      </c>
      <c r="X103" s="121">
        <f t="shared" si="26"/>
        <v>0</v>
      </c>
      <c r="Y103" s="121">
        <f t="shared" si="25"/>
        <v>0</v>
      </c>
      <c r="Z103" s="121">
        <f t="shared" si="25"/>
        <v>0</v>
      </c>
      <c r="AA103" s="121">
        <f t="shared" si="25"/>
        <v>0</v>
      </c>
      <c r="AB103" s="121">
        <f t="shared" si="25"/>
        <v>0</v>
      </c>
      <c r="AC103" s="121">
        <f t="shared" si="25"/>
        <v>0</v>
      </c>
      <c r="AD103" s="121">
        <f t="shared" si="25"/>
        <v>0</v>
      </c>
      <c r="AE103" s="121">
        <f t="shared" si="25"/>
        <v>0</v>
      </c>
      <c r="AF103" s="121">
        <f t="shared" si="25"/>
        <v>0</v>
      </c>
      <c r="AG103" s="121">
        <f t="shared" si="25"/>
        <v>0</v>
      </c>
      <c r="AH103" s="121">
        <f t="shared" si="25"/>
        <v>0</v>
      </c>
      <c r="AI103" s="121">
        <f t="shared" si="25"/>
        <v>0</v>
      </c>
      <c r="AJ103" s="121">
        <f t="shared" si="25"/>
        <v>0</v>
      </c>
    </row>
    <row r="104" spans="1:36">
      <c r="B104" s="117" t="s">
        <v>173</v>
      </c>
      <c r="C104" s="122"/>
      <c r="E104" s="117"/>
      <c r="F104" s="121"/>
      <c r="H104" s="35" t="s">
        <v>19</v>
      </c>
      <c r="I104" s="121">
        <f t="shared" si="26"/>
        <v>0</v>
      </c>
      <c r="J104" s="121">
        <f t="shared" si="25"/>
        <v>0</v>
      </c>
      <c r="K104" s="121">
        <f t="shared" si="25"/>
        <v>0</v>
      </c>
      <c r="L104" s="121">
        <f t="shared" si="25"/>
        <v>0</v>
      </c>
      <c r="M104" s="121">
        <f t="shared" si="25"/>
        <v>0</v>
      </c>
      <c r="N104" s="121">
        <f t="shared" si="25"/>
        <v>0</v>
      </c>
      <c r="O104" s="121">
        <f t="shared" si="25"/>
        <v>0</v>
      </c>
      <c r="P104" s="121">
        <f t="shared" si="25"/>
        <v>0</v>
      </c>
      <c r="Q104" s="121">
        <f t="shared" si="25"/>
        <v>0</v>
      </c>
      <c r="R104" s="121">
        <f t="shared" si="25"/>
        <v>0</v>
      </c>
      <c r="S104" s="121">
        <f t="shared" si="25"/>
        <v>0</v>
      </c>
      <c r="T104" s="121">
        <f t="shared" si="25"/>
        <v>0</v>
      </c>
      <c r="U104" s="121">
        <f t="shared" si="25"/>
        <v>0</v>
      </c>
      <c r="V104" s="121">
        <f t="shared" si="25"/>
        <v>0</v>
      </c>
      <c r="W104" s="121">
        <f t="shared" si="25"/>
        <v>0</v>
      </c>
      <c r="X104" s="121">
        <f t="shared" si="25"/>
        <v>0</v>
      </c>
      <c r="Y104" s="121">
        <f t="shared" si="25"/>
        <v>0</v>
      </c>
      <c r="Z104" s="121">
        <f t="shared" si="25"/>
        <v>0</v>
      </c>
      <c r="AA104" s="121">
        <f t="shared" si="25"/>
        <v>0</v>
      </c>
      <c r="AB104" s="121">
        <f t="shared" si="25"/>
        <v>0</v>
      </c>
      <c r="AC104" s="121">
        <f t="shared" si="25"/>
        <v>0</v>
      </c>
      <c r="AD104" s="121">
        <f t="shared" si="25"/>
        <v>0</v>
      </c>
      <c r="AE104" s="121">
        <f t="shared" si="25"/>
        <v>0</v>
      </c>
      <c r="AF104" s="121">
        <f t="shared" si="25"/>
        <v>0</v>
      </c>
      <c r="AG104" s="121">
        <f t="shared" si="25"/>
        <v>0</v>
      </c>
      <c r="AH104" s="121">
        <f t="shared" si="25"/>
        <v>0</v>
      </c>
      <c r="AI104" s="121">
        <f t="shared" si="25"/>
        <v>0</v>
      </c>
      <c r="AJ104" s="121">
        <f t="shared" si="25"/>
        <v>0</v>
      </c>
    </row>
    <row r="105" spans="1:36">
      <c r="B105" s="117" t="s">
        <v>173</v>
      </c>
      <c r="C105" s="122"/>
      <c r="E105" s="117"/>
      <c r="F105" s="121"/>
      <c r="H105" s="35" t="s">
        <v>22</v>
      </c>
      <c r="I105" s="121">
        <f t="shared" si="26"/>
        <v>0</v>
      </c>
      <c r="J105" s="121">
        <f t="shared" si="25"/>
        <v>0</v>
      </c>
      <c r="K105" s="121">
        <f t="shared" si="25"/>
        <v>0</v>
      </c>
      <c r="L105" s="121">
        <f t="shared" si="25"/>
        <v>0</v>
      </c>
      <c r="M105" s="121">
        <f t="shared" si="25"/>
        <v>0</v>
      </c>
      <c r="N105" s="121">
        <f t="shared" si="25"/>
        <v>0</v>
      </c>
      <c r="O105" s="121">
        <f t="shared" si="25"/>
        <v>0</v>
      </c>
      <c r="P105" s="121">
        <f t="shared" si="25"/>
        <v>0</v>
      </c>
      <c r="Q105" s="121">
        <f t="shared" si="25"/>
        <v>0</v>
      </c>
      <c r="R105" s="121">
        <f t="shared" si="25"/>
        <v>0</v>
      </c>
      <c r="S105" s="121">
        <f t="shared" si="25"/>
        <v>0</v>
      </c>
      <c r="T105" s="121">
        <f t="shared" si="25"/>
        <v>0</v>
      </c>
      <c r="U105" s="121">
        <f t="shared" si="25"/>
        <v>0</v>
      </c>
      <c r="V105" s="121">
        <f t="shared" si="25"/>
        <v>0</v>
      </c>
      <c r="W105" s="121">
        <f t="shared" si="25"/>
        <v>0</v>
      </c>
      <c r="X105" s="121">
        <f t="shared" si="25"/>
        <v>0</v>
      </c>
      <c r="Y105" s="121">
        <f t="shared" si="25"/>
        <v>0</v>
      </c>
      <c r="Z105" s="121">
        <f t="shared" si="25"/>
        <v>0</v>
      </c>
      <c r="AA105" s="121">
        <f t="shared" si="25"/>
        <v>0</v>
      </c>
      <c r="AB105" s="121">
        <f t="shared" si="25"/>
        <v>0</v>
      </c>
      <c r="AC105" s="121">
        <f t="shared" si="25"/>
        <v>0</v>
      </c>
      <c r="AD105" s="121">
        <f t="shared" si="25"/>
        <v>0</v>
      </c>
      <c r="AE105" s="121">
        <f t="shared" si="25"/>
        <v>0</v>
      </c>
      <c r="AF105" s="121">
        <f t="shared" si="25"/>
        <v>0</v>
      </c>
      <c r="AG105" s="121">
        <f t="shared" si="25"/>
        <v>0</v>
      </c>
      <c r="AH105" s="121">
        <f t="shared" si="25"/>
        <v>0</v>
      </c>
      <c r="AI105" s="121">
        <f t="shared" si="25"/>
        <v>0</v>
      </c>
      <c r="AJ105" s="121">
        <f t="shared" si="25"/>
        <v>0</v>
      </c>
    </row>
    <row r="106" spans="1:36">
      <c r="B106" s="117" t="s">
        <v>173</v>
      </c>
      <c r="C106" s="122"/>
      <c r="E106" s="117"/>
      <c r="F106" s="121"/>
      <c r="H106" s="35" t="s">
        <v>24</v>
      </c>
      <c r="I106" s="121">
        <f t="shared" si="26"/>
        <v>0</v>
      </c>
      <c r="J106" s="121">
        <f t="shared" si="25"/>
        <v>0</v>
      </c>
      <c r="K106" s="121">
        <f t="shared" si="25"/>
        <v>0</v>
      </c>
      <c r="L106" s="121">
        <f t="shared" si="25"/>
        <v>0</v>
      </c>
      <c r="M106" s="121">
        <f t="shared" si="25"/>
        <v>0</v>
      </c>
      <c r="N106" s="121">
        <f t="shared" si="25"/>
        <v>0</v>
      </c>
      <c r="O106" s="121">
        <f t="shared" si="25"/>
        <v>0</v>
      </c>
      <c r="P106" s="121">
        <f t="shared" si="25"/>
        <v>0</v>
      </c>
      <c r="Q106" s="121">
        <f t="shared" si="25"/>
        <v>0</v>
      </c>
      <c r="R106" s="121">
        <f t="shared" si="25"/>
        <v>0</v>
      </c>
      <c r="S106" s="121">
        <f t="shared" si="25"/>
        <v>0</v>
      </c>
      <c r="T106" s="121">
        <f t="shared" si="25"/>
        <v>0</v>
      </c>
      <c r="U106" s="121">
        <f t="shared" si="25"/>
        <v>0</v>
      </c>
      <c r="V106" s="121">
        <f t="shared" si="25"/>
        <v>0</v>
      </c>
      <c r="W106" s="121">
        <f t="shared" si="25"/>
        <v>0</v>
      </c>
      <c r="X106" s="121">
        <f t="shared" si="25"/>
        <v>0</v>
      </c>
      <c r="Y106" s="121">
        <f t="shared" si="25"/>
        <v>0</v>
      </c>
      <c r="Z106" s="121">
        <f t="shared" si="25"/>
        <v>0</v>
      </c>
      <c r="AA106" s="121">
        <f t="shared" si="25"/>
        <v>0</v>
      </c>
      <c r="AB106" s="121">
        <f t="shared" si="25"/>
        <v>0</v>
      </c>
      <c r="AC106" s="121">
        <f t="shared" si="25"/>
        <v>0</v>
      </c>
      <c r="AD106" s="121">
        <f t="shared" si="25"/>
        <v>0</v>
      </c>
      <c r="AE106" s="121">
        <f t="shared" si="25"/>
        <v>0</v>
      </c>
      <c r="AF106" s="121">
        <f t="shared" si="25"/>
        <v>0</v>
      </c>
      <c r="AG106" s="121">
        <f t="shared" si="25"/>
        <v>0</v>
      </c>
      <c r="AH106" s="121">
        <f t="shared" si="25"/>
        <v>0</v>
      </c>
      <c r="AI106" s="121">
        <f t="shared" si="25"/>
        <v>0</v>
      </c>
      <c r="AJ106" s="121">
        <f t="shared" si="25"/>
        <v>0</v>
      </c>
    </row>
    <row r="107" spans="1:36">
      <c r="B107" s="117" t="s">
        <v>173</v>
      </c>
      <c r="C107" s="122"/>
      <c r="E107" s="117"/>
      <c r="F107" s="121"/>
      <c r="H107" s="35" t="s">
        <v>25</v>
      </c>
      <c r="I107" s="121">
        <f t="shared" si="26"/>
        <v>0</v>
      </c>
      <c r="J107" s="121">
        <f t="shared" si="25"/>
        <v>0</v>
      </c>
      <c r="K107" s="121">
        <f t="shared" si="25"/>
        <v>0</v>
      </c>
      <c r="L107" s="121">
        <f t="shared" si="25"/>
        <v>0</v>
      </c>
      <c r="M107" s="121">
        <f t="shared" si="25"/>
        <v>0</v>
      </c>
      <c r="N107" s="121">
        <f t="shared" si="25"/>
        <v>0</v>
      </c>
      <c r="O107" s="121">
        <f t="shared" si="25"/>
        <v>0</v>
      </c>
      <c r="P107" s="121">
        <f t="shared" si="25"/>
        <v>0</v>
      </c>
      <c r="Q107" s="121">
        <f t="shared" si="25"/>
        <v>0</v>
      </c>
      <c r="R107" s="121">
        <f t="shared" si="25"/>
        <v>0</v>
      </c>
      <c r="S107" s="121">
        <f t="shared" si="25"/>
        <v>0</v>
      </c>
      <c r="T107" s="121">
        <f t="shared" si="25"/>
        <v>0</v>
      </c>
      <c r="U107" s="121">
        <f t="shared" si="25"/>
        <v>0</v>
      </c>
      <c r="V107" s="121">
        <f t="shared" si="25"/>
        <v>0</v>
      </c>
      <c r="W107" s="121">
        <f t="shared" si="25"/>
        <v>0</v>
      </c>
      <c r="X107" s="121">
        <f t="shared" si="25"/>
        <v>0</v>
      </c>
      <c r="Y107" s="121">
        <f t="shared" si="25"/>
        <v>0</v>
      </c>
      <c r="Z107" s="121">
        <f t="shared" si="25"/>
        <v>0</v>
      </c>
      <c r="AA107" s="121">
        <f t="shared" si="25"/>
        <v>0</v>
      </c>
      <c r="AB107" s="121">
        <f t="shared" si="25"/>
        <v>0</v>
      </c>
      <c r="AC107" s="121">
        <f t="shared" si="25"/>
        <v>0</v>
      </c>
      <c r="AD107" s="121">
        <f t="shared" si="25"/>
        <v>0</v>
      </c>
      <c r="AE107" s="121">
        <f t="shared" si="25"/>
        <v>0</v>
      </c>
      <c r="AF107" s="121">
        <f t="shared" si="25"/>
        <v>0</v>
      </c>
      <c r="AG107" s="121">
        <f t="shared" si="25"/>
        <v>0</v>
      </c>
      <c r="AH107" s="121">
        <f t="shared" si="25"/>
        <v>0</v>
      </c>
      <c r="AI107" s="121">
        <f t="shared" si="25"/>
        <v>0</v>
      </c>
      <c r="AJ107" s="121">
        <f t="shared" si="25"/>
        <v>0</v>
      </c>
    </row>
    <row r="108" spans="1:36">
      <c r="B108" s="117" t="s">
        <v>173</v>
      </c>
      <c r="C108" s="122"/>
      <c r="E108" s="117"/>
      <c r="F108" s="121"/>
      <c r="H108" s="117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</row>
    <row r="109" spans="1:36">
      <c r="B109" s="117" t="s">
        <v>173</v>
      </c>
      <c r="C109" s="122"/>
      <c r="E109" s="117"/>
      <c r="F109" s="121"/>
      <c r="H109" s="117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</row>
    <row r="110" spans="1:36" customFormat="1">
      <c r="A110" s="115"/>
      <c r="B110" s="117" t="s">
        <v>173</v>
      </c>
      <c r="C110" s="122"/>
      <c r="D110" s="115"/>
      <c r="E110" s="117"/>
      <c r="F110" s="121"/>
      <c r="G110" s="115"/>
      <c r="H110" s="117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</row>
    <row r="111" spans="1:36">
      <c r="H111" s="171" t="s">
        <v>273</v>
      </c>
      <c r="I111" s="129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</row>
    <row r="112" spans="1:36">
      <c r="B112" s="113" t="s">
        <v>274</v>
      </c>
      <c r="E112" s="113" t="s">
        <v>70</v>
      </c>
      <c r="H112" s="130" t="s">
        <v>12</v>
      </c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  <c r="AI112" s="149"/>
      <c r="AJ112" s="149"/>
    </row>
    <row r="113" spans="2:36">
      <c r="B113" s="117" t="s">
        <v>173</v>
      </c>
      <c r="C113" s="122"/>
      <c r="E113" s="117"/>
      <c r="F113" s="121"/>
      <c r="H113" s="130" t="s">
        <v>15</v>
      </c>
      <c r="I113" s="149"/>
      <c r="J113" s="149"/>
      <c r="K113" s="149"/>
      <c r="L113" s="149"/>
      <c r="M113" s="149"/>
      <c r="N113" s="149"/>
      <c r="O113" s="149"/>
      <c r="P113" s="149"/>
      <c r="Q113" s="149"/>
      <c r="R113" s="149"/>
      <c r="S113" s="149"/>
      <c r="T113" s="149"/>
      <c r="U113" s="149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49"/>
      <c r="AF113" s="149"/>
      <c r="AG113" s="149"/>
      <c r="AH113" s="149"/>
      <c r="AI113" s="149"/>
      <c r="AJ113" s="149"/>
    </row>
    <row r="114" spans="2:36">
      <c r="B114" s="117" t="s">
        <v>173</v>
      </c>
      <c r="C114" s="122"/>
      <c r="E114" s="117"/>
      <c r="F114" s="121"/>
      <c r="H114" s="130" t="s">
        <v>19</v>
      </c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49"/>
      <c r="AF114" s="149"/>
      <c r="AG114" s="149"/>
      <c r="AH114" s="149"/>
      <c r="AI114" s="149"/>
      <c r="AJ114" s="149"/>
    </row>
    <row r="115" spans="2:36">
      <c r="B115" s="117" t="s">
        <v>173</v>
      </c>
      <c r="C115" s="122"/>
      <c r="E115" s="117"/>
      <c r="F115" s="121"/>
      <c r="H115" s="130" t="s">
        <v>22</v>
      </c>
      <c r="I115" s="149"/>
      <c r="J115" s="149"/>
      <c r="K115" s="149"/>
      <c r="L115" s="149"/>
      <c r="M115" s="149"/>
      <c r="N115" s="149"/>
      <c r="O115" s="149"/>
      <c r="P115" s="149"/>
      <c r="Q115" s="149"/>
      <c r="R115" s="149"/>
      <c r="S115" s="149"/>
      <c r="T115" s="149"/>
      <c r="U115" s="149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49"/>
      <c r="AF115" s="149"/>
      <c r="AG115" s="149"/>
      <c r="AH115" s="149"/>
      <c r="AI115" s="149"/>
      <c r="AJ115" s="149"/>
    </row>
    <row r="116" spans="2:36">
      <c r="B116" s="117" t="s">
        <v>173</v>
      </c>
      <c r="C116" s="122"/>
      <c r="E116" s="117"/>
      <c r="F116" s="121"/>
      <c r="H116" s="130" t="s">
        <v>24</v>
      </c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49"/>
      <c r="AF116" s="149"/>
      <c r="AG116" s="149"/>
      <c r="AH116" s="149"/>
      <c r="AI116" s="149"/>
      <c r="AJ116" s="149"/>
    </row>
    <row r="117" spans="2:36">
      <c r="B117" s="117" t="s">
        <v>173</v>
      </c>
      <c r="C117" s="122"/>
      <c r="E117" s="117"/>
      <c r="F117" s="121"/>
      <c r="H117" s="130" t="s">
        <v>25</v>
      </c>
      <c r="I117" s="149"/>
      <c r="J117" s="149"/>
      <c r="K117" s="149"/>
      <c r="L117" s="149"/>
      <c r="M117" s="149"/>
      <c r="N117" s="149"/>
      <c r="O117" s="149"/>
      <c r="P117" s="149"/>
      <c r="Q117" s="149"/>
      <c r="R117" s="149"/>
      <c r="S117" s="149"/>
      <c r="T117" s="149"/>
      <c r="U117" s="149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</row>
    <row r="118" spans="2:36">
      <c r="B118" s="117" t="s">
        <v>173</v>
      </c>
      <c r="C118" s="122"/>
      <c r="E118" s="117"/>
      <c r="F118" s="121"/>
      <c r="H118" s="117" t="s">
        <v>173</v>
      </c>
      <c r="I118" s="129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</row>
    <row r="119" spans="2:36">
      <c r="B119" s="117" t="s">
        <v>173</v>
      </c>
      <c r="C119" s="122"/>
      <c r="E119" s="117"/>
      <c r="F119" s="121"/>
      <c r="H119" s="117" t="s">
        <v>173</v>
      </c>
      <c r="I119" s="129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</row>
    <row r="120" spans="2:36">
      <c r="B120" s="117" t="s">
        <v>173</v>
      </c>
      <c r="C120" s="122"/>
      <c r="E120" s="117"/>
      <c r="F120" s="121"/>
      <c r="H120" s="117" t="s">
        <v>173</v>
      </c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</row>
    <row r="121" spans="2:36">
      <c r="B121" s="117" t="s">
        <v>173</v>
      </c>
      <c r="C121" s="122"/>
      <c r="E121" s="117"/>
      <c r="F121" s="121"/>
      <c r="H121" s="117" t="s">
        <v>173</v>
      </c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</row>
    <row r="122" spans="2:36">
      <c r="B122" s="117" t="s">
        <v>173</v>
      </c>
      <c r="C122" s="122"/>
      <c r="E122" s="117"/>
      <c r="F122" s="121"/>
      <c r="H122" s="117" t="s">
        <v>173</v>
      </c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</row>
    <row r="123" spans="2:36">
      <c r="H123" s="117" t="s">
        <v>173</v>
      </c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</row>
    <row r="124" spans="2:36">
      <c r="B124" s="113" t="s">
        <v>275</v>
      </c>
      <c r="E124" s="113" t="s">
        <v>71</v>
      </c>
      <c r="H124" s="117" t="s">
        <v>173</v>
      </c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</row>
    <row r="125" spans="2:36">
      <c r="B125" s="117" t="s">
        <v>8</v>
      </c>
      <c r="C125" s="124" t="e">
        <f>#REF!</f>
        <v>#REF!</v>
      </c>
      <c r="E125" s="117"/>
      <c r="F125" s="121"/>
      <c r="H125" s="117" t="s">
        <v>173</v>
      </c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</row>
    <row r="126" spans="2:36">
      <c r="B126" s="117" t="s">
        <v>173</v>
      </c>
      <c r="C126" s="122"/>
      <c r="E126" s="117"/>
      <c r="F126" s="121"/>
      <c r="H126" s="117" t="s">
        <v>173</v>
      </c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</row>
    <row r="127" spans="2:36">
      <c r="B127" s="117" t="s">
        <v>173</v>
      </c>
      <c r="C127" s="122"/>
      <c r="E127" s="117"/>
      <c r="F127" s="121"/>
      <c r="H127" s="117" t="s">
        <v>173</v>
      </c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</row>
    <row r="128" spans="2:36">
      <c r="B128" s="117" t="s">
        <v>173</v>
      </c>
      <c r="C128" s="122"/>
      <c r="E128" s="117"/>
      <c r="F128" s="121"/>
      <c r="H128" s="117" t="s">
        <v>173</v>
      </c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</row>
    <row r="129" spans="2:36">
      <c r="B129" s="117" t="s">
        <v>173</v>
      </c>
      <c r="C129" s="122"/>
      <c r="E129" s="117"/>
      <c r="F129" s="121"/>
      <c r="H129" s="117" t="s">
        <v>173</v>
      </c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</row>
    <row r="130" spans="2:36">
      <c r="B130" s="117" t="s">
        <v>173</v>
      </c>
      <c r="C130" s="122"/>
      <c r="E130" s="117"/>
      <c r="F130" s="121"/>
      <c r="H130" s="117" t="s">
        <v>173</v>
      </c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</row>
    <row r="131" spans="2:36">
      <c r="B131" s="117" t="s">
        <v>173</v>
      </c>
      <c r="C131" s="122"/>
      <c r="E131" s="117"/>
      <c r="F131" s="121"/>
      <c r="H131" s="117" t="s">
        <v>173</v>
      </c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</row>
    <row r="132" spans="2:36">
      <c r="B132" s="117" t="s">
        <v>173</v>
      </c>
      <c r="C132" s="122"/>
      <c r="E132" s="117"/>
      <c r="F132" s="121"/>
      <c r="H132" s="117" t="s">
        <v>173</v>
      </c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</row>
    <row r="133" spans="2:36">
      <c r="B133" s="117" t="s">
        <v>173</v>
      </c>
      <c r="C133" s="122"/>
      <c r="E133" s="117"/>
      <c r="F133" s="121"/>
      <c r="H133" s="117" t="s">
        <v>173</v>
      </c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</row>
    <row r="134" spans="2:36">
      <c r="B134" s="117" t="s">
        <v>173</v>
      </c>
      <c r="C134" s="122"/>
      <c r="E134" s="117"/>
      <c r="F134" s="121"/>
      <c r="H134" s="117" t="s">
        <v>173</v>
      </c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</row>
    <row r="136" spans="2:36">
      <c r="B136" s="113" t="s">
        <v>147</v>
      </c>
      <c r="E136" s="113" t="s">
        <v>55</v>
      </c>
      <c r="H136" s="113" t="s">
        <v>73</v>
      </c>
      <c r="I136" s="115">
        <v>2023</v>
      </c>
      <c r="J136" s="115">
        <v>2024</v>
      </c>
      <c r="K136" s="115">
        <v>2025</v>
      </c>
      <c r="L136" s="115">
        <v>2026</v>
      </c>
      <c r="M136" s="115">
        <v>2027</v>
      </c>
      <c r="N136" s="115">
        <v>2028</v>
      </c>
      <c r="O136" s="115">
        <v>2029</v>
      </c>
      <c r="P136" s="115">
        <v>2030</v>
      </c>
      <c r="Q136" s="115">
        <v>2031</v>
      </c>
      <c r="R136" s="115">
        <v>2032</v>
      </c>
      <c r="S136" s="115">
        <v>2033</v>
      </c>
      <c r="T136" s="115">
        <v>2034</v>
      </c>
      <c r="U136" s="115">
        <v>2035</v>
      </c>
      <c r="V136" s="115">
        <v>2036</v>
      </c>
      <c r="W136" s="115">
        <v>2037</v>
      </c>
      <c r="X136" s="115">
        <v>2038</v>
      </c>
      <c r="Y136" s="115">
        <v>2039</v>
      </c>
      <c r="Z136" s="115">
        <v>2040</v>
      </c>
      <c r="AA136" s="115">
        <v>2041</v>
      </c>
      <c r="AB136" s="115">
        <v>2042</v>
      </c>
      <c r="AC136" s="115">
        <v>2043</v>
      </c>
      <c r="AD136" s="115">
        <v>2044</v>
      </c>
      <c r="AE136" s="115">
        <v>2045</v>
      </c>
      <c r="AF136" s="115">
        <v>2046</v>
      </c>
      <c r="AG136" s="115">
        <v>2047</v>
      </c>
      <c r="AH136" s="115">
        <v>2048</v>
      </c>
      <c r="AI136" s="115">
        <v>2049</v>
      </c>
      <c r="AJ136" s="115">
        <v>2050</v>
      </c>
    </row>
    <row r="137" spans="2:36">
      <c r="B137" s="117" t="s">
        <v>8</v>
      </c>
      <c r="C137" s="124" t="e">
        <f>#REF!</f>
        <v>#REF!</v>
      </c>
      <c r="E137" s="117" t="s">
        <v>8</v>
      </c>
      <c r="F137" s="131" t="e">
        <f>#REF!</f>
        <v>#REF!</v>
      </c>
      <c r="H137" s="117" t="s">
        <v>8</v>
      </c>
      <c r="I137" s="121">
        <f>I139</f>
        <v>0</v>
      </c>
      <c r="J137" s="121">
        <f t="shared" ref="J137:AJ137" si="27">J139</f>
        <v>0</v>
      </c>
      <c r="K137" s="121">
        <f t="shared" si="27"/>
        <v>0</v>
      </c>
      <c r="L137" s="121">
        <f t="shared" si="27"/>
        <v>0</v>
      </c>
      <c r="M137" s="121">
        <f t="shared" si="27"/>
        <v>0</v>
      </c>
      <c r="N137" s="121">
        <f t="shared" si="27"/>
        <v>0</v>
      </c>
      <c r="O137" s="121">
        <f t="shared" si="27"/>
        <v>0</v>
      </c>
      <c r="P137" s="121">
        <f t="shared" si="27"/>
        <v>0</v>
      </c>
      <c r="Q137" s="121">
        <f t="shared" si="27"/>
        <v>0</v>
      </c>
      <c r="R137" s="121">
        <f t="shared" si="27"/>
        <v>0</v>
      </c>
      <c r="S137" s="121">
        <f t="shared" si="27"/>
        <v>0</v>
      </c>
      <c r="T137" s="121">
        <f t="shared" si="27"/>
        <v>0</v>
      </c>
      <c r="U137" s="121">
        <f t="shared" si="27"/>
        <v>0</v>
      </c>
      <c r="V137" s="121">
        <f t="shared" si="27"/>
        <v>0</v>
      </c>
      <c r="W137" s="121">
        <f t="shared" si="27"/>
        <v>0</v>
      </c>
      <c r="X137" s="121">
        <f t="shared" si="27"/>
        <v>0</v>
      </c>
      <c r="Y137" s="121">
        <f t="shared" si="27"/>
        <v>0</v>
      </c>
      <c r="Z137" s="121">
        <f t="shared" si="27"/>
        <v>0</v>
      </c>
      <c r="AA137" s="121">
        <f t="shared" si="27"/>
        <v>0</v>
      </c>
      <c r="AB137" s="121">
        <f t="shared" si="27"/>
        <v>0</v>
      </c>
      <c r="AC137" s="121">
        <f t="shared" si="27"/>
        <v>0</v>
      </c>
      <c r="AD137" s="121">
        <f t="shared" si="27"/>
        <v>0</v>
      </c>
      <c r="AE137" s="121">
        <f t="shared" si="27"/>
        <v>0</v>
      </c>
      <c r="AF137" s="121">
        <f t="shared" si="27"/>
        <v>0</v>
      </c>
      <c r="AG137" s="121">
        <f t="shared" si="27"/>
        <v>0</v>
      </c>
      <c r="AH137" s="121">
        <f t="shared" si="27"/>
        <v>0</v>
      </c>
      <c r="AI137" s="121">
        <f t="shared" si="27"/>
        <v>0</v>
      </c>
      <c r="AJ137" s="121">
        <f t="shared" si="27"/>
        <v>0</v>
      </c>
    </row>
    <row r="138" spans="2:36">
      <c r="B138" s="117" t="s">
        <v>173</v>
      </c>
      <c r="C138" s="122"/>
      <c r="E138" s="35" t="s">
        <v>12</v>
      </c>
      <c r="F138" s="131" t="e">
        <f>F$137</f>
        <v>#REF!</v>
      </c>
      <c r="H138" s="35" t="s">
        <v>12</v>
      </c>
      <c r="I138" s="121">
        <f>I148</f>
        <v>0</v>
      </c>
      <c r="J138" s="121">
        <f t="shared" ref="J138:AJ143" si="28">J148</f>
        <v>0</v>
      </c>
      <c r="K138" s="121">
        <f t="shared" si="28"/>
        <v>0</v>
      </c>
      <c r="L138" s="121">
        <f t="shared" si="28"/>
        <v>0</v>
      </c>
      <c r="M138" s="121">
        <f t="shared" si="28"/>
        <v>0</v>
      </c>
      <c r="N138" s="121">
        <f t="shared" si="28"/>
        <v>0</v>
      </c>
      <c r="O138" s="121">
        <f t="shared" si="28"/>
        <v>0</v>
      </c>
      <c r="P138" s="121">
        <f t="shared" si="28"/>
        <v>0</v>
      </c>
      <c r="Q138" s="121">
        <f t="shared" si="28"/>
        <v>0</v>
      </c>
      <c r="R138" s="121">
        <f t="shared" si="28"/>
        <v>0</v>
      </c>
      <c r="S138" s="121">
        <f t="shared" si="28"/>
        <v>0</v>
      </c>
      <c r="T138" s="121">
        <f t="shared" si="28"/>
        <v>0</v>
      </c>
      <c r="U138" s="121">
        <f t="shared" si="28"/>
        <v>0</v>
      </c>
      <c r="V138" s="121">
        <f t="shared" si="28"/>
        <v>0</v>
      </c>
      <c r="W138" s="121">
        <f t="shared" si="28"/>
        <v>0</v>
      </c>
      <c r="X138" s="121">
        <f t="shared" si="28"/>
        <v>0</v>
      </c>
      <c r="Y138" s="121">
        <f t="shared" si="28"/>
        <v>0</v>
      </c>
      <c r="Z138" s="121">
        <f t="shared" si="28"/>
        <v>0</v>
      </c>
      <c r="AA138" s="121">
        <f t="shared" si="28"/>
        <v>0</v>
      </c>
      <c r="AB138" s="121">
        <f t="shared" si="28"/>
        <v>0</v>
      </c>
      <c r="AC138" s="121">
        <f t="shared" si="28"/>
        <v>0</v>
      </c>
      <c r="AD138" s="121">
        <f t="shared" si="28"/>
        <v>0</v>
      </c>
      <c r="AE138" s="121">
        <f t="shared" si="28"/>
        <v>0</v>
      </c>
      <c r="AF138" s="121">
        <f t="shared" si="28"/>
        <v>0</v>
      </c>
      <c r="AG138" s="121">
        <f t="shared" si="28"/>
        <v>0</v>
      </c>
      <c r="AH138" s="121">
        <f t="shared" si="28"/>
        <v>0</v>
      </c>
      <c r="AI138" s="121">
        <f t="shared" si="28"/>
        <v>0</v>
      </c>
      <c r="AJ138" s="121">
        <f t="shared" si="28"/>
        <v>0</v>
      </c>
    </row>
    <row r="139" spans="2:36">
      <c r="B139" s="117" t="s">
        <v>173</v>
      </c>
      <c r="C139" s="122"/>
      <c r="E139" s="35" t="s">
        <v>15</v>
      </c>
      <c r="F139" s="131" t="e">
        <f t="shared" ref="F139:F146" si="29">F$137</f>
        <v>#REF!</v>
      </c>
      <c r="H139" s="35" t="s">
        <v>15</v>
      </c>
      <c r="I139" s="121">
        <f t="shared" ref="I139:X143" si="30">I149</f>
        <v>0</v>
      </c>
      <c r="J139" s="121">
        <f t="shared" si="30"/>
        <v>0</v>
      </c>
      <c r="K139" s="121">
        <f t="shared" si="30"/>
        <v>0</v>
      </c>
      <c r="L139" s="121">
        <f t="shared" si="30"/>
        <v>0</v>
      </c>
      <c r="M139" s="121">
        <f t="shared" si="30"/>
        <v>0</v>
      </c>
      <c r="N139" s="121">
        <f t="shared" si="30"/>
        <v>0</v>
      </c>
      <c r="O139" s="121">
        <f t="shared" si="30"/>
        <v>0</v>
      </c>
      <c r="P139" s="121">
        <f t="shared" si="30"/>
        <v>0</v>
      </c>
      <c r="Q139" s="121">
        <f t="shared" si="30"/>
        <v>0</v>
      </c>
      <c r="R139" s="121">
        <f t="shared" si="30"/>
        <v>0</v>
      </c>
      <c r="S139" s="121">
        <f t="shared" si="30"/>
        <v>0</v>
      </c>
      <c r="T139" s="121">
        <f t="shared" si="30"/>
        <v>0</v>
      </c>
      <c r="U139" s="121">
        <f t="shared" si="30"/>
        <v>0</v>
      </c>
      <c r="V139" s="121">
        <f t="shared" si="30"/>
        <v>0</v>
      </c>
      <c r="W139" s="121">
        <f t="shared" si="30"/>
        <v>0</v>
      </c>
      <c r="X139" s="121">
        <f t="shared" si="30"/>
        <v>0</v>
      </c>
      <c r="Y139" s="121">
        <f t="shared" si="28"/>
        <v>0</v>
      </c>
      <c r="Z139" s="121">
        <f t="shared" si="28"/>
        <v>0</v>
      </c>
      <c r="AA139" s="121">
        <f t="shared" si="28"/>
        <v>0</v>
      </c>
      <c r="AB139" s="121">
        <f t="shared" si="28"/>
        <v>0</v>
      </c>
      <c r="AC139" s="121">
        <f t="shared" si="28"/>
        <v>0</v>
      </c>
      <c r="AD139" s="121">
        <f t="shared" si="28"/>
        <v>0</v>
      </c>
      <c r="AE139" s="121">
        <f t="shared" si="28"/>
        <v>0</v>
      </c>
      <c r="AF139" s="121">
        <f t="shared" si="28"/>
        <v>0</v>
      </c>
      <c r="AG139" s="121">
        <f t="shared" si="28"/>
        <v>0</v>
      </c>
      <c r="AH139" s="121">
        <f t="shared" si="28"/>
        <v>0</v>
      </c>
      <c r="AI139" s="121">
        <f t="shared" si="28"/>
        <v>0</v>
      </c>
      <c r="AJ139" s="121">
        <f t="shared" si="28"/>
        <v>0</v>
      </c>
    </row>
    <row r="140" spans="2:36">
      <c r="B140" s="117" t="s">
        <v>173</v>
      </c>
      <c r="C140" s="122"/>
      <c r="E140" s="35" t="s">
        <v>19</v>
      </c>
      <c r="F140" s="131" t="e">
        <f t="shared" si="29"/>
        <v>#REF!</v>
      </c>
      <c r="H140" s="35" t="s">
        <v>19</v>
      </c>
      <c r="I140" s="121">
        <f t="shared" si="30"/>
        <v>0</v>
      </c>
      <c r="J140" s="121">
        <f t="shared" si="28"/>
        <v>0</v>
      </c>
      <c r="K140" s="121">
        <f t="shared" si="28"/>
        <v>0</v>
      </c>
      <c r="L140" s="121">
        <f t="shared" si="28"/>
        <v>0</v>
      </c>
      <c r="M140" s="121">
        <f t="shared" si="28"/>
        <v>0</v>
      </c>
      <c r="N140" s="121">
        <f t="shared" si="28"/>
        <v>0</v>
      </c>
      <c r="O140" s="121">
        <f t="shared" si="28"/>
        <v>0</v>
      </c>
      <c r="P140" s="121">
        <f t="shared" si="28"/>
        <v>0</v>
      </c>
      <c r="Q140" s="121">
        <f t="shared" si="28"/>
        <v>0</v>
      </c>
      <c r="R140" s="121">
        <f t="shared" si="28"/>
        <v>0</v>
      </c>
      <c r="S140" s="121">
        <f t="shared" si="28"/>
        <v>0</v>
      </c>
      <c r="T140" s="121">
        <f t="shared" si="28"/>
        <v>0</v>
      </c>
      <c r="U140" s="121">
        <f t="shared" si="28"/>
        <v>0</v>
      </c>
      <c r="V140" s="121">
        <f t="shared" si="28"/>
        <v>0</v>
      </c>
      <c r="W140" s="121">
        <f t="shared" si="28"/>
        <v>0</v>
      </c>
      <c r="X140" s="121">
        <f t="shared" si="28"/>
        <v>0</v>
      </c>
      <c r="Y140" s="121">
        <f t="shared" si="28"/>
        <v>0</v>
      </c>
      <c r="Z140" s="121">
        <f t="shared" si="28"/>
        <v>0</v>
      </c>
      <c r="AA140" s="121">
        <f t="shared" si="28"/>
        <v>0</v>
      </c>
      <c r="AB140" s="121">
        <f t="shared" si="28"/>
        <v>0</v>
      </c>
      <c r="AC140" s="121">
        <f t="shared" si="28"/>
        <v>0</v>
      </c>
      <c r="AD140" s="121">
        <f t="shared" si="28"/>
        <v>0</v>
      </c>
      <c r="AE140" s="121">
        <f t="shared" si="28"/>
        <v>0</v>
      </c>
      <c r="AF140" s="121">
        <f t="shared" si="28"/>
        <v>0</v>
      </c>
      <c r="AG140" s="121">
        <f t="shared" si="28"/>
        <v>0</v>
      </c>
      <c r="AH140" s="121">
        <f t="shared" si="28"/>
        <v>0</v>
      </c>
      <c r="AI140" s="121">
        <f t="shared" si="28"/>
        <v>0</v>
      </c>
      <c r="AJ140" s="121">
        <f t="shared" si="28"/>
        <v>0</v>
      </c>
    </row>
    <row r="141" spans="2:36">
      <c r="B141" s="117" t="s">
        <v>173</v>
      </c>
      <c r="C141" s="122"/>
      <c r="E141" s="35" t="s">
        <v>22</v>
      </c>
      <c r="F141" s="131" t="e">
        <f t="shared" si="29"/>
        <v>#REF!</v>
      </c>
      <c r="H141" s="35" t="s">
        <v>22</v>
      </c>
      <c r="I141" s="121">
        <f t="shared" si="30"/>
        <v>0</v>
      </c>
      <c r="J141" s="121">
        <f t="shared" si="28"/>
        <v>0</v>
      </c>
      <c r="K141" s="121">
        <f t="shared" si="28"/>
        <v>0</v>
      </c>
      <c r="L141" s="121">
        <f t="shared" si="28"/>
        <v>0</v>
      </c>
      <c r="M141" s="121">
        <f t="shared" si="28"/>
        <v>0</v>
      </c>
      <c r="N141" s="121">
        <f t="shared" si="28"/>
        <v>0</v>
      </c>
      <c r="O141" s="121">
        <f t="shared" si="28"/>
        <v>0</v>
      </c>
      <c r="P141" s="121">
        <f t="shared" si="28"/>
        <v>0</v>
      </c>
      <c r="Q141" s="121">
        <f t="shared" si="28"/>
        <v>0</v>
      </c>
      <c r="R141" s="121">
        <f t="shared" si="28"/>
        <v>0</v>
      </c>
      <c r="S141" s="121">
        <f t="shared" si="28"/>
        <v>0</v>
      </c>
      <c r="T141" s="121">
        <f t="shared" si="28"/>
        <v>0</v>
      </c>
      <c r="U141" s="121">
        <f t="shared" si="28"/>
        <v>0</v>
      </c>
      <c r="V141" s="121">
        <f t="shared" si="28"/>
        <v>0</v>
      </c>
      <c r="W141" s="121">
        <f t="shared" si="28"/>
        <v>0</v>
      </c>
      <c r="X141" s="121">
        <f t="shared" si="28"/>
        <v>0</v>
      </c>
      <c r="Y141" s="121">
        <f t="shared" si="28"/>
        <v>0</v>
      </c>
      <c r="Z141" s="121">
        <f t="shared" si="28"/>
        <v>0</v>
      </c>
      <c r="AA141" s="121">
        <f t="shared" si="28"/>
        <v>0</v>
      </c>
      <c r="AB141" s="121">
        <f t="shared" si="28"/>
        <v>0</v>
      </c>
      <c r="AC141" s="121">
        <f t="shared" si="28"/>
        <v>0</v>
      </c>
      <c r="AD141" s="121">
        <f t="shared" si="28"/>
        <v>0</v>
      </c>
      <c r="AE141" s="121">
        <f t="shared" si="28"/>
        <v>0</v>
      </c>
      <c r="AF141" s="121">
        <f t="shared" si="28"/>
        <v>0</v>
      </c>
      <c r="AG141" s="121">
        <f t="shared" si="28"/>
        <v>0</v>
      </c>
      <c r="AH141" s="121">
        <f t="shared" si="28"/>
        <v>0</v>
      </c>
      <c r="AI141" s="121">
        <f t="shared" si="28"/>
        <v>0</v>
      </c>
      <c r="AJ141" s="121">
        <f t="shared" si="28"/>
        <v>0</v>
      </c>
    </row>
    <row r="142" spans="2:36">
      <c r="B142" s="117" t="s">
        <v>173</v>
      </c>
      <c r="C142" s="122"/>
      <c r="E142" s="35" t="s">
        <v>24</v>
      </c>
      <c r="F142" s="131" t="e">
        <f t="shared" si="29"/>
        <v>#REF!</v>
      </c>
      <c r="H142" s="35" t="s">
        <v>24</v>
      </c>
      <c r="I142" s="121">
        <f t="shared" si="30"/>
        <v>0</v>
      </c>
      <c r="J142" s="121">
        <f t="shared" si="28"/>
        <v>0</v>
      </c>
      <c r="K142" s="121">
        <f t="shared" si="28"/>
        <v>0</v>
      </c>
      <c r="L142" s="121">
        <f t="shared" si="28"/>
        <v>0</v>
      </c>
      <c r="M142" s="121">
        <f t="shared" si="28"/>
        <v>0</v>
      </c>
      <c r="N142" s="121">
        <f t="shared" si="28"/>
        <v>0</v>
      </c>
      <c r="O142" s="121">
        <f t="shared" si="28"/>
        <v>0</v>
      </c>
      <c r="P142" s="121">
        <f t="shared" si="28"/>
        <v>0</v>
      </c>
      <c r="Q142" s="121">
        <f t="shared" si="28"/>
        <v>0</v>
      </c>
      <c r="R142" s="121">
        <f t="shared" si="28"/>
        <v>0</v>
      </c>
      <c r="S142" s="121">
        <f t="shared" si="28"/>
        <v>0</v>
      </c>
      <c r="T142" s="121">
        <f t="shared" si="28"/>
        <v>0</v>
      </c>
      <c r="U142" s="121">
        <f t="shared" si="28"/>
        <v>0</v>
      </c>
      <c r="V142" s="121">
        <f t="shared" si="28"/>
        <v>0</v>
      </c>
      <c r="W142" s="121">
        <f t="shared" si="28"/>
        <v>0</v>
      </c>
      <c r="X142" s="121">
        <f t="shared" si="28"/>
        <v>0</v>
      </c>
      <c r="Y142" s="121">
        <f t="shared" si="28"/>
        <v>0</v>
      </c>
      <c r="Z142" s="121">
        <f t="shared" si="28"/>
        <v>0</v>
      </c>
      <c r="AA142" s="121">
        <f t="shared" si="28"/>
        <v>0</v>
      </c>
      <c r="AB142" s="121">
        <f t="shared" si="28"/>
        <v>0</v>
      </c>
      <c r="AC142" s="121">
        <f t="shared" si="28"/>
        <v>0</v>
      </c>
      <c r="AD142" s="121">
        <f t="shared" si="28"/>
        <v>0</v>
      </c>
      <c r="AE142" s="121">
        <f t="shared" si="28"/>
        <v>0</v>
      </c>
      <c r="AF142" s="121">
        <f t="shared" si="28"/>
        <v>0</v>
      </c>
      <c r="AG142" s="121">
        <f t="shared" si="28"/>
        <v>0</v>
      </c>
      <c r="AH142" s="121">
        <f t="shared" si="28"/>
        <v>0</v>
      </c>
      <c r="AI142" s="121">
        <f t="shared" si="28"/>
        <v>0</v>
      </c>
      <c r="AJ142" s="121">
        <f t="shared" si="28"/>
        <v>0</v>
      </c>
    </row>
    <row r="143" spans="2:36">
      <c r="B143" s="117" t="s">
        <v>173</v>
      </c>
      <c r="C143" s="122"/>
      <c r="E143" s="35" t="s">
        <v>25</v>
      </c>
      <c r="F143" s="131" t="e">
        <f t="shared" si="29"/>
        <v>#REF!</v>
      </c>
      <c r="H143" s="35" t="s">
        <v>25</v>
      </c>
      <c r="I143" s="121">
        <f t="shared" si="30"/>
        <v>0</v>
      </c>
      <c r="J143" s="121">
        <f t="shared" si="28"/>
        <v>0</v>
      </c>
      <c r="K143" s="121">
        <f t="shared" si="28"/>
        <v>0</v>
      </c>
      <c r="L143" s="121">
        <f t="shared" si="28"/>
        <v>0</v>
      </c>
      <c r="M143" s="121">
        <f t="shared" si="28"/>
        <v>0</v>
      </c>
      <c r="N143" s="121">
        <f t="shared" si="28"/>
        <v>0</v>
      </c>
      <c r="O143" s="121">
        <f t="shared" si="28"/>
        <v>0</v>
      </c>
      <c r="P143" s="121">
        <f t="shared" si="28"/>
        <v>0</v>
      </c>
      <c r="Q143" s="121">
        <f t="shared" si="28"/>
        <v>0</v>
      </c>
      <c r="R143" s="121">
        <f t="shared" si="28"/>
        <v>0</v>
      </c>
      <c r="S143" s="121">
        <f t="shared" si="28"/>
        <v>0</v>
      </c>
      <c r="T143" s="121">
        <f t="shared" si="28"/>
        <v>0</v>
      </c>
      <c r="U143" s="121">
        <f t="shared" si="28"/>
        <v>0</v>
      </c>
      <c r="V143" s="121">
        <f t="shared" si="28"/>
        <v>0</v>
      </c>
      <c r="W143" s="121">
        <f t="shared" si="28"/>
        <v>0</v>
      </c>
      <c r="X143" s="121">
        <f t="shared" si="28"/>
        <v>0</v>
      </c>
      <c r="Y143" s="121">
        <f t="shared" si="28"/>
        <v>0</v>
      </c>
      <c r="Z143" s="121">
        <f t="shared" si="28"/>
        <v>0</v>
      </c>
      <c r="AA143" s="121">
        <f t="shared" si="28"/>
        <v>0</v>
      </c>
      <c r="AB143" s="121">
        <f t="shared" si="28"/>
        <v>0</v>
      </c>
      <c r="AC143" s="121">
        <f t="shared" si="28"/>
        <v>0</v>
      </c>
      <c r="AD143" s="121">
        <f t="shared" si="28"/>
        <v>0</v>
      </c>
      <c r="AE143" s="121">
        <f t="shared" si="28"/>
        <v>0</v>
      </c>
      <c r="AF143" s="121">
        <f t="shared" si="28"/>
        <v>0</v>
      </c>
      <c r="AG143" s="121">
        <f t="shared" si="28"/>
        <v>0</v>
      </c>
      <c r="AH143" s="121">
        <f t="shared" si="28"/>
        <v>0</v>
      </c>
      <c r="AI143" s="121">
        <f t="shared" si="28"/>
        <v>0</v>
      </c>
      <c r="AJ143" s="121">
        <f t="shared" si="28"/>
        <v>0</v>
      </c>
    </row>
    <row r="144" spans="2:36">
      <c r="B144" s="117" t="s">
        <v>173</v>
      </c>
      <c r="C144" s="122"/>
      <c r="E144" s="117"/>
      <c r="F144" s="131" t="e">
        <f t="shared" si="29"/>
        <v>#REF!</v>
      </c>
      <c r="H144" s="117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</row>
    <row r="145" spans="2:36">
      <c r="B145" s="117" t="s">
        <v>173</v>
      </c>
      <c r="C145" s="122"/>
      <c r="E145" s="117"/>
      <c r="F145" s="131" t="e">
        <f t="shared" si="29"/>
        <v>#REF!</v>
      </c>
      <c r="H145" s="117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</row>
    <row r="146" spans="2:36">
      <c r="B146" s="117" t="s">
        <v>173</v>
      </c>
      <c r="C146" s="122"/>
      <c r="E146" s="117"/>
      <c r="F146" s="131" t="e">
        <f t="shared" si="29"/>
        <v>#REF!</v>
      </c>
      <c r="H146" s="117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</row>
    <row r="147" spans="2:36">
      <c r="H147" s="128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</row>
    <row r="148" spans="2:36">
      <c r="B148" s="113" t="s">
        <v>42</v>
      </c>
      <c r="E148" s="113" t="s">
        <v>276</v>
      </c>
      <c r="H148" s="130" t="s">
        <v>12</v>
      </c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  <c r="AC148" s="132"/>
      <c r="AD148" s="132"/>
      <c r="AE148" s="132"/>
      <c r="AF148" s="132"/>
      <c r="AG148" s="132"/>
      <c r="AH148" s="132"/>
      <c r="AI148" s="132"/>
      <c r="AJ148" s="132"/>
    </row>
    <row r="149" spans="2:36">
      <c r="B149" s="117" t="s">
        <v>173</v>
      </c>
      <c r="C149" s="122"/>
      <c r="E149" s="117" t="s">
        <v>8</v>
      </c>
      <c r="F149" s="131">
        <v>0.5</v>
      </c>
      <c r="H149" s="130" t="s">
        <v>15</v>
      </c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  <c r="AC149" s="132"/>
      <c r="AD149" s="132"/>
      <c r="AE149" s="132"/>
      <c r="AF149" s="132"/>
      <c r="AG149" s="132"/>
      <c r="AH149" s="132"/>
      <c r="AI149" s="132"/>
      <c r="AJ149" s="132"/>
    </row>
    <row r="150" spans="2:36">
      <c r="B150" s="117" t="s">
        <v>173</v>
      </c>
      <c r="C150" s="122"/>
      <c r="E150" s="35" t="s">
        <v>12</v>
      </c>
      <c r="F150" s="131">
        <f>F$149</f>
        <v>0.5</v>
      </c>
      <c r="H150" s="130" t="s">
        <v>19</v>
      </c>
      <c r="I150" s="132"/>
      <c r="J150" s="132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2"/>
      <c r="AE150" s="132"/>
      <c r="AF150" s="132"/>
      <c r="AG150" s="132"/>
      <c r="AH150" s="132"/>
      <c r="AI150" s="132"/>
      <c r="AJ150" s="132"/>
    </row>
    <row r="151" spans="2:36">
      <c r="B151" s="117" t="s">
        <v>173</v>
      </c>
      <c r="C151" s="122"/>
      <c r="E151" s="35" t="s">
        <v>15</v>
      </c>
      <c r="F151" s="131">
        <f>F$149</f>
        <v>0.5</v>
      </c>
      <c r="H151" s="130" t="s">
        <v>22</v>
      </c>
      <c r="I151" s="132"/>
      <c r="J151" s="132"/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2"/>
      <c r="AE151" s="132"/>
      <c r="AF151" s="132"/>
      <c r="AG151" s="132"/>
      <c r="AH151" s="132"/>
      <c r="AI151" s="132"/>
      <c r="AJ151" s="132"/>
    </row>
    <row r="152" spans="2:36">
      <c r="B152" s="117" t="s">
        <v>173</v>
      </c>
      <c r="C152" s="122"/>
      <c r="E152" s="35" t="s">
        <v>19</v>
      </c>
      <c r="F152" s="131">
        <f t="shared" ref="F152:F155" si="31">F$149</f>
        <v>0.5</v>
      </c>
      <c r="H152" s="130" t="s">
        <v>24</v>
      </c>
      <c r="I152" s="132"/>
      <c r="J152" s="132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2"/>
      <c r="AE152" s="132"/>
      <c r="AF152" s="132"/>
      <c r="AG152" s="132"/>
      <c r="AH152" s="132"/>
      <c r="AI152" s="132"/>
      <c r="AJ152" s="132"/>
    </row>
    <row r="153" spans="2:36">
      <c r="B153" s="117" t="s">
        <v>173</v>
      </c>
      <c r="C153" s="122"/>
      <c r="E153" s="35" t="s">
        <v>22</v>
      </c>
      <c r="F153" s="131">
        <f t="shared" si="31"/>
        <v>0.5</v>
      </c>
      <c r="H153" s="130" t="s">
        <v>25</v>
      </c>
      <c r="I153" s="132"/>
      <c r="J153" s="132"/>
      <c r="K153" s="132"/>
      <c r="L153" s="132"/>
      <c r="M153" s="132"/>
      <c r="N153" s="132"/>
      <c r="O153" s="132"/>
      <c r="P153" s="132"/>
      <c r="Q153" s="132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  <c r="AC153" s="132"/>
      <c r="AD153" s="132"/>
      <c r="AE153" s="132"/>
      <c r="AF153" s="132"/>
      <c r="AG153" s="132"/>
      <c r="AH153" s="132"/>
      <c r="AI153" s="132"/>
      <c r="AJ153" s="132"/>
    </row>
    <row r="154" spans="2:36">
      <c r="B154" s="117" t="s">
        <v>173</v>
      </c>
      <c r="C154" s="122"/>
      <c r="E154" s="35" t="s">
        <v>24</v>
      </c>
      <c r="F154" s="131">
        <f t="shared" si="31"/>
        <v>0.5</v>
      </c>
      <c r="H154" s="128" t="s">
        <v>173</v>
      </c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</row>
    <row r="155" spans="2:36">
      <c r="B155" s="117" t="s">
        <v>173</v>
      </c>
      <c r="C155" s="122"/>
      <c r="E155" s="35" t="s">
        <v>25</v>
      </c>
      <c r="F155" s="131">
        <f t="shared" si="31"/>
        <v>0.5</v>
      </c>
      <c r="H155" s="128" t="s">
        <v>173</v>
      </c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</row>
    <row r="156" spans="2:36">
      <c r="B156" s="117" t="s">
        <v>173</v>
      </c>
      <c r="C156" s="122"/>
      <c r="E156" s="117"/>
      <c r="F156" s="131"/>
      <c r="H156" s="117" t="s">
        <v>173</v>
      </c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</row>
    <row r="157" spans="2:36">
      <c r="B157" s="117" t="s">
        <v>173</v>
      </c>
      <c r="C157" s="122"/>
      <c r="E157" s="117"/>
      <c r="F157" s="131"/>
      <c r="H157" s="117" t="s">
        <v>173</v>
      </c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</row>
    <row r="158" spans="2:36">
      <c r="B158" s="117" t="s">
        <v>173</v>
      </c>
      <c r="C158" s="122"/>
      <c r="E158" s="117"/>
      <c r="F158" s="131"/>
      <c r="H158" s="117" t="s">
        <v>173</v>
      </c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</row>
    <row r="159" spans="2:36">
      <c r="H159" s="117" t="s">
        <v>173</v>
      </c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</row>
    <row r="160" spans="2:36">
      <c r="B160" s="113" t="s">
        <v>277</v>
      </c>
      <c r="H160" s="117" t="s">
        <v>173</v>
      </c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</row>
    <row r="161" spans="2:36">
      <c r="B161" s="117" t="s">
        <v>8</v>
      </c>
      <c r="C161" s="124" t="e">
        <f>#REF!</f>
        <v>#REF!</v>
      </c>
      <c r="H161" s="117" t="s">
        <v>173</v>
      </c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</row>
    <row r="162" spans="2:36">
      <c r="B162" s="117" t="s">
        <v>173</v>
      </c>
      <c r="C162" s="122"/>
      <c r="F162" s="115">
        <v>0.7</v>
      </c>
      <c r="H162" s="117" t="s">
        <v>173</v>
      </c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</row>
    <row r="163" spans="2:36">
      <c r="B163" s="117" t="s">
        <v>173</v>
      </c>
      <c r="C163" s="122"/>
      <c r="H163" s="117" t="s">
        <v>173</v>
      </c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</row>
    <row r="164" spans="2:36">
      <c r="B164" s="117" t="s">
        <v>173</v>
      </c>
      <c r="C164" s="122"/>
      <c r="H164" s="117" t="s">
        <v>173</v>
      </c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</row>
    <row r="165" spans="2:36">
      <c r="B165" s="117" t="s">
        <v>173</v>
      </c>
      <c r="C165" s="122"/>
      <c r="H165" s="117" t="s">
        <v>173</v>
      </c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</row>
    <row r="166" spans="2:36">
      <c r="B166" s="117" t="s">
        <v>173</v>
      </c>
      <c r="C166" s="122"/>
      <c r="H166" s="117" t="s">
        <v>173</v>
      </c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</row>
    <row r="167" spans="2:36">
      <c r="B167" s="117" t="s">
        <v>173</v>
      </c>
      <c r="C167" s="122"/>
      <c r="H167" s="117" t="s">
        <v>173</v>
      </c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</row>
    <row r="168" spans="2:36">
      <c r="B168" s="117" t="s">
        <v>173</v>
      </c>
      <c r="C168" s="122"/>
      <c r="H168" s="117" t="s">
        <v>173</v>
      </c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</row>
    <row r="169" spans="2:36">
      <c r="B169" s="117" t="s">
        <v>173</v>
      </c>
      <c r="C169" s="122"/>
      <c r="H169" s="117" t="s">
        <v>173</v>
      </c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</row>
    <row r="170" spans="2:36">
      <c r="B170" s="117" t="s">
        <v>173</v>
      </c>
      <c r="C170" s="122"/>
      <c r="H170" s="117" t="s">
        <v>173</v>
      </c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</row>
    <row r="172" spans="2:36">
      <c r="B172" s="113" t="s">
        <v>278</v>
      </c>
      <c r="E172" s="113" t="s">
        <v>48</v>
      </c>
    </row>
    <row r="173" spans="2:36">
      <c r="B173" s="117" t="s">
        <v>8</v>
      </c>
      <c r="C173" s="124" t="e">
        <f>#REF!</f>
        <v>#REF!</v>
      </c>
      <c r="E173" s="117" t="s">
        <v>8</v>
      </c>
      <c r="F173" s="115" t="s">
        <v>279</v>
      </c>
    </row>
    <row r="174" spans="2:36">
      <c r="B174" s="117" t="s">
        <v>173</v>
      </c>
      <c r="C174" s="122"/>
      <c r="E174" s="35" t="s">
        <v>12</v>
      </c>
    </row>
    <row r="175" spans="2:36">
      <c r="B175" s="117" t="s">
        <v>173</v>
      </c>
      <c r="C175" s="122"/>
      <c r="E175" s="35" t="s">
        <v>15</v>
      </c>
    </row>
    <row r="176" spans="2:36">
      <c r="B176" s="117" t="s">
        <v>173</v>
      </c>
      <c r="C176" s="122"/>
      <c r="E176" s="35" t="s">
        <v>19</v>
      </c>
    </row>
    <row r="177" spans="2:5">
      <c r="B177" s="117" t="s">
        <v>173</v>
      </c>
      <c r="C177" s="122"/>
      <c r="E177" s="35" t="s">
        <v>22</v>
      </c>
    </row>
    <row r="178" spans="2:5">
      <c r="B178" s="117" t="s">
        <v>173</v>
      </c>
      <c r="C178" s="122"/>
      <c r="E178" s="35" t="s">
        <v>24</v>
      </c>
    </row>
    <row r="179" spans="2:5">
      <c r="B179" s="117" t="s">
        <v>173</v>
      </c>
      <c r="C179" s="122"/>
      <c r="E179" s="35" t="s">
        <v>25</v>
      </c>
    </row>
    <row r="180" spans="2:5">
      <c r="B180" s="117" t="s">
        <v>173</v>
      </c>
      <c r="C180" s="122"/>
      <c r="E180"/>
    </row>
    <row r="181" spans="2:5">
      <c r="B181" s="117" t="s">
        <v>173</v>
      </c>
      <c r="C181" s="122"/>
      <c r="E181"/>
    </row>
    <row r="182" spans="2:5">
      <c r="B182" s="117" t="s">
        <v>173</v>
      </c>
      <c r="C182" s="122"/>
      <c r="E182"/>
    </row>
    <row r="183" spans="2:5">
      <c r="E183"/>
    </row>
    <row r="184" spans="2:5">
      <c r="B184" s="113" t="s">
        <v>280</v>
      </c>
    </row>
    <row r="185" spans="2:5">
      <c r="B185" s="117" t="s">
        <v>173</v>
      </c>
      <c r="C185" s="122"/>
    </row>
    <row r="186" spans="2:5">
      <c r="B186" s="117" t="s">
        <v>173</v>
      </c>
      <c r="C186" s="122"/>
    </row>
    <row r="187" spans="2:5">
      <c r="B187" s="117" t="s">
        <v>173</v>
      </c>
      <c r="C187" s="122"/>
    </row>
    <row r="188" spans="2:5">
      <c r="B188" s="117" t="s">
        <v>173</v>
      </c>
      <c r="C188" s="122"/>
    </row>
    <row r="189" spans="2:5">
      <c r="B189" s="117" t="s">
        <v>173</v>
      </c>
      <c r="C189" s="122"/>
    </row>
    <row r="190" spans="2:5">
      <c r="B190" s="117" t="s">
        <v>173</v>
      </c>
      <c r="C190" s="122"/>
    </row>
    <row r="191" spans="2:5">
      <c r="B191" s="117" t="s">
        <v>173</v>
      </c>
      <c r="C191" s="122"/>
    </row>
    <row r="192" spans="2:5">
      <c r="B192" s="117" t="s">
        <v>173</v>
      </c>
      <c r="C192" s="122"/>
    </row>
    <row r="193" spans="2:3">
      <c r="B193" s="117" t="s">
        <v>173</v>
      </c>
      <c r="C193" s="122"/>
    </row>
    <row r="194" spans="2:3">
      <c r="B194" s="117" t="s">
        <v>173</v>
      </c>
      <c r="C194" s="122"/>
    </row>
    <row r="196" spans="2:3">
      <c r="B196" s="133" t="s">
        <v>281</v>
      </c>
      <c r="C196" s="134"/>
    </row>
    <row r="197" spans="2:3">
      <c r="B197" s="135" t="s">
        <v>173</v>
      </c>
      <c r="C197" s="136"/>
    </row>
    <row r="198" spans="2:3">
      <c r="B198" s="135" t="s">
        <v>173</v>
      </c>
      <c r="C198" s="122"/>
    </row>
    <row r="199" spans="2:3">
      <c r="B199" s="135" t="s">
        <v>173</v>
      </c>
      <c r="C199" s="136"/>
    </row>
    <row r="200" spans="2:3">
      <c r="B200" s="135" t="s">
        <v>173</v>
      </c>
      <c r="C200" s="136"/>
    </row>
    <row r="201" spans="2:3">
      <c r="B201" s="135" t="s">
        <v>173</v>
      </c>
      <c r="C201" s="136"/>
    </row>
    <row r="202" spans="2:3">
      <c r="B202" s="135" t="s">
        <v>173</v>
      </c>
      <c r="C202" s="136"/>
    </row>
    <row r="203" spans="2:3">
      <c r="B203" s="135" t="s">
        <v>173</v>
      </c>
      <c r="C203" s="136"/>
    </row>
    <row r="204" spans="2:3">
      <c r="B204" s="135" t="s">
        <v>173</v>
      </c>
      <c r="C204" s="136"/>
    </row>
    <row r="205" spans="2:3">
      <c r="B205" s="135" t="s">
        <v>173</v>
      </c>
      <c r="C205" s="136"/>
    </row>
    <row r="206" spans="2:3">
      <c r="B206" s="135" t="s">
        <v>173</v>
      </c>
      <c r="C206" s="136"/>
    </row>
    <row r="208" spans="2:3">
      <c r="B208" s="133" t="s">
        <v>166</v>
      </c>
      <c r="C208" s="134"/>
    </row>
    <row r="209" spans="2:3">
      <c r="B209" s="135" t="s">
        <v>173</v>
      </c>
      <c r="C209" s="136"/>
    </row>
    <row r="210" spans="2:3">
      <c r="B210" s="135" t="s">
        <v>173</v>
      </c>
      <c r="C210" s="122"/>
    </row>
    <row r="211" spans="2:3">
      <c r="B211" s="135" t="s">
        <v>173</v>
      </c>
      <c r="C211" s="136"/>
    </row>
    <row r="212" spans="2:3">
      <c r="B212" s="135" t="s">
        <v>173</v>
      </c>
      <c r="C212" s="136"/>
    </row>
    <row r="213" spans="2:3">
      <c r="B213" s="135" t="s">
        <v>173</v>
      </c>
      <c r="C213" s="136"/>
    </row>
    <row r="214" spans="2:3">
      <c r="B214" s="135" t="s">
        <v>173</v>
      </c>
      <c r="C214" s="136"/>
    </row>
    <row r="215" spans="2:3">
      <c r="B215" s="135" t="s">
        <v>173</v>
      </c>
      <c r="C215" s="136"/>
    </row>
    <row r="216" spans="2:3">
      <c r="B216" s="135" t="s">
        <v>173</v>
      </c>
      <c r="C216" s="136"/>
    </row>
    <row r="217" spans="2:3">
      <c r="B217" s="135" t="s">
        <v>173</v>
      </c>
      <c r="C217" s="136"/>
    </row>
    <row r="218" spans="2:3">
      <c r="B218" s="135" t="s">
        <v>173</v>
      </c>
      <c r="C218" s="136"/>
    </row>
    <row r="219" spans="2:3">
      <c r="B219" s="137"/>
      <c r="C219" s="137"/>
    </row>
    <row r="220" spans="2:3">
      <c r="B220" s="133" t="s">
        <v>282</v>
      </c>
      <c r="C220" s="137"/>
    </row>
    <row r="221" spans="2:3">
      <c r="B221" s="135" t="s">
        <v>8</v>
      </c>
      <c r="C221" s="124" t="e">
        <f>#REF!</f>
        <v>#REF!</v>
      </c>
    </row>
    <row r="222" spans="2:3">
      <c r="B222" s="135" t="s">
        <v>173</v>
      </c>
      <c r="C222" s="122"/>
    </row>
    <row r="223" spans="2:3">
      <c r="B223" s="135" t="s">
        <v>173</v>
      </c>
      <c r="C223" s="136"/>
    </row>
    <row r="224" spans="2:3">
      <c r="B224" s="135" t="s">
        <v>173</v>
      </c>
      <c r="C224" s="136"/>
    </row>
    <row r="225" spans="2:3">
      <c r="B225" s="135" t="s">
        <v>173</v>
      </c>
      <c r="C225" s="136"/>
    </row>
    <row r="226" spans="2:3">
      <c r="B226" s="135" t="s">
        <v>173</v>
      </c>
      <c r="C226" s="136"/>
    </row>
    <row r="227" spans="2:3">
      <c r="B227" s="135" t="s">
        <v>173</v>
      </c>
      <c r="C227" s="136"/>
    </row>
    <row r="228" spans="2:3">
      <c r="B228" s="135" t="s">
        <v>173</v>
      </c>
      <c r="C228" s="136"/>
    </row>
    <row r="229" spans="2:3">
      <c r="B229" s="135" t="s">
        <v>173</v>
      </c>
      <c r="C229" s="136"/>
    </row>
    <row r="230" spans="2:3">
      <c r="B230" s="135" t="s">
        <v>173</v>
      </c>
      <c r="C230" s="136"/>
    </row>
    <row r="231" spans="2:3">
      <c r="B231" s="137"/>
      <c r="C231" s="137"/>
    </row>
    <row r="232" spans="2:3">
      <c r="B232" s="16" t="s">
        <v>283</v>
      </c>
      <c r="C232" s="137"/>
    </row>
    <row r="233" spans="2:3">
      <c r="B233" s="135" t="s">
        <v>8</v>
      </c>
      <c r="C233" s="124" t="e">
        <f>#REF!</f>
        <v>#REF!</v>
      </c>
    </row>
    <row r="234" spans="2:3">
      <c r="B234" s="135" t="s">
        <v>173</v>
      </c>
      <c r="C234" s="122"/>
    </row>
    <row r="235" spans="2:3">
      <c r="B235" s="135" t="s">
        <v>173</v>
      </c>
      <c r="C235" s="136"/>
    </row>
    <row r="236" spans="2:3">
      <c r="B236" s="135" t="s">
        <v>173</v>
      </c>
      <c r="C236" s="136"/>
    </row>
    <row r="237" spans="2:3">
      <c r="B237" s="135" t="s">
        <v>173</v>
      </c>
      <c r="C237" s="136"/>
    </row>
    <row r="238" spans="2:3">
      <c r="B238" s="135" t="s">
        <v>173</v>
      </c>
      <c r="C238" s="136"/>
    </row>
    <row r="239" spans="2:3">
      <c r="B239" s="135" t="s">
        <v>173</v>
      </c>
      <c r="C239" s="136"/>
    </row>
    <row r="240" spans="2:3">
      <c r="B240" s="135" t="s">
        <v>173</v>
      </c>
      <c r="C240" s="136"/>
    </row>
    <row r="241" spans="2:3">
      <c r="B241" s="135" t="s">
        <v>173</v>
      </c>
      <c r="C241" s="136"/>
    </row>
    <row r="242" spans="2:3">
      <c r="B242" s="135" t="s">
        <v>173</v>
      </c>
      <c r="C242" s="136"/>
    </row>
    <row r="243" spans="2:3">
      <c r="B243" s="137"/>
      <c r="C243" s="137"/>
    </row>
    <row r="244" spans="2:3">
      <c r="B244" s="133" t="s">
        <v>284</v>
      </c>
      <c r="C244" s="137"/>
    </row>
    <row r="245" spans="2:3">
      <c r="B245" s="135" t="s">
        <v>173</v>
      </c>
      <c r="C245" s="136"/>
    </row>
    <row r="246" spans="2:3">
      <c r="B246" s="135" t="s">
        <v>173</v>
      </c>
      <c r="C246" s="122"/>
    </row>
    <row r="247" spans="2:3">
      <c r="B247" s="135" t="s">
        <v>173</v>
      </c>
      <c r="C247" s="136"/>
    </row>
    <row r="248" spans="2:3">
      <c r="B248" s="135" t="s">
        <v>173</v>
      </c>
      <c r="C248" s="136"/>
    </row>
    <row r="249" spans="2:3">
      <c r="B249" s="135" t="s">
        <v>173</v>
      </c>
      <c r="C249" s="136"/>
    </row>
    <row r="250" spans="2:3">
      <c r="B250" s="135" t="s">
        <v>173</v>
      </c>
      <c r="C250" s="136"/>
    </row>
    <row r="251" spans="2:3">
      <c r="B251" s="135" t="s">
        <v>173</v>
      </c>
      <c r="C251" s="136"/>
    </row>
    <row r="252" spans="2:3">
      <c r="B252" s="135" t="s">
        <v>173</v>
      </c>
      <c r="C252" s="136"/>
    </row>
    <row r="253" spans="2:3">
      <c r="B253" s="135" t="s">
        <v>173</v>
      </c>
      <c r="C253" s="136"/>
    </row>
    <row r="254" spans="2:3">
      <c r="B254" s="135" t="s">
        <v>173</v>
      </c>
      <c r="C254" s="136"/>
    </row>
    <row r="255" spans="2:3">
      <c r="B255" s="137"/>
      <c r="C255" s="137"/>
    </row>
    <row r="256" spans="2:3">
      <c r="B256" s="133" t="s">
        <v>43</v>
      </c>
      <c r="C256" s="137"/>
    </row>
    <row r="257" spans="2:3">
      <c r="B257" s="135" t="s">
        <v>8</v>
      </c>
      <c r="C257" s="124" t="e">
        <f>#REF!</f>
        <v>#REF!</v>
      </c>
    </row>
    <row r="258" spans="2:3">
      <c r="B258" s="135" t="s">
        <v>173</v>
      </c>
      <c r="C258" s="122"/>
    </row>
    <row r="259" spans="2:3">
      <c r="B259" s="135" t="s">
        <v>173</v>
      </c>
      <c r="C259" s="136"/>
    </row>
    <row r="260" spans="2:3">
      <c r="B260" s="135" t="s">
        <v>173</v>
      </c>
      <c r="C260" s="136"/>
    </row>
    <row r="261" spans="2:3">
      <c r="B261" s="135" t="s">
        <v>173</v>
      </c>
      <c r="C261" s="136"/>
    </row>
    <row r="262" spans="2:3">
      <c r="B262" s="135" t="s">
        <v>173</v>
      </c>
      <c r="C262" s="136"/>
    </row>
    <row r="263" spans="2:3">
      <c r="B263" s="135" t="s">
        <v>173</v>
      </c>
      <c r="C263" s="136"/>
    </row>
    <row r="264" spans="2:3">
      <c r="B264" s="135" t="s">
        <v>173</v>
      </c>
      <c r="C264" s="136"/>
    </row>
    <row r="265" spans="2:3">
      <c r="B265" s="135" t="s">
        <v>173</v>
      </c>
      <c r="C265" s="136"/>
    </row>
    <row r="266" spans="2:3">
      <c r="B266" s="135" t="s">
        <v>173</v>
      </c>
      <c r="C266" s="136"/>
    </row>
    <row r="267" spans="2:3">
      <c r="B267" s="137"/>
      <c r="C267" s="137"/>
    </row>
    <row r="268" spans="2:3">
      <c r="B268" s="133" t="s">
        <v>285</v>
      </c>
      <c r="C268" s="137"/>
    </row>
    <row r="269" spans="2:3">
      <c r="B269" s="135" t="s">
        <v>173</v>
      </c>
      <c r="C269" s="136"/>
    </row>
    <row r="270" spans="2:3">
      <c r="B270" s="135" t="s">
        <v>173</v>
      </c>
      <c r="C270" s="122"/>
    </row>
    <row r="271" spans="2:3">
      <c r="B271" s="135" t="s">
        <v>173</v>
      </c>
      <c r="C271" s="136"/>
    </row>
    <row r="272" spans="2:3">
      <c r="B272" s="135" t="s">
        <v>173</v>
      </c>
      <c r="C272" s="136"/>
    </row>
    <row r="273" spans="2:3">
      <c r="B273" s="135" t="s">
        <v>173</v>
      </c>
      <c r="C273" s="136"/>
    </row>
    <row r="274" spans="2:3">
      <c r="B274" s="135" t="s">
        <v>173</v>
      </c>
      <c r="C274" s="136"/>
    </row>
    <row r="275" spans="2:3">
      <c r="B275" s="135" t="s">
        <v>173</v>
      </c>
      <c r="C275" s="136"/>
    </row>
    <row r="276" spans="2:3">
      <c r="B276" s="135" t="s">
        <v>173</v>
      </c>
      <c r="C276" s="136"/>
    </row>
    <row r="277" spans="2:3">
      <c r="B277" s="135" t="s">
        <v>173</v>
      </c>
      <c r="C277" s="136"/>
    </row>
    <row r="278" spans="2:3">
      <c r="B278" s="135" t="s">
        <v>173</v>
      </c>
      <c r="C278" s="136"/>
    </row>
    <row r="279" spans="2:3">
      <c r="B279" s="137"/>
      <c r="C279" s="137"/>
    </row>
    <row r="280" spans="2:3">
      <c r="B280" s="133" t="s">
        <v>286</v>
      </c>
      <c r="C280" s="137"/>
    </row>
    <row r="281" spans="2:3">
      <c r="B281" s="135" t="s">
        <v>173</v>
      </c>
      <c r="C281" s="136"/>
    </row>
    <row r="282" spans="2:3">
      <c r="B282" s="135" t="s">
        <v>173</v>
      </c>
      <c r="C282" s="122"/>
    </row>
    <row r="283" spans="2:3">
      <c r="B283" s="135" t="s">
        <v>173</v>
      </c>
      <c r="C283" s="136"/>
    </row>
    <row r="284" spans="2:3">
      <c r="B284" s="135" t="s">
        <v>173</v>
      </c>
      <c r="C284" s="136"/>
    </row>
    <row r="285" spans="2:3">
      <c r="B285" s="135" t="s">
        <v>173</v>
      </c>
      <c r="C285" s="136"/>
    </row>
    <row r="286" spans="2:3">
      <c r="B286" s="135" t="s">
        <v>173</v>
      </c>
      <c r="C286" s="136"/>
    </row>
    <row r="287" spans="2:3">
      <c r="B287" s="135" t="s">
        <v>173</v>
      </c>
      <c r="C287" s="136"/>
    </row>
    <row r="288" spans="2:3">
      <c r="B288" s="135" t="s">
        <v>173</v>
      </c>
      <c r="C288" s="136"/>
    </row>
    <row r="289" spans="2:3">
      <c r="B289" s="135" t="s">
        <v>173</v>
      </c>
      <c r="C289" s="136"/>
    </row>
    <row r="290" spans="2:3">
      <c r="B290" s="135" t="s">
        <v>173</v>
      </c>
      <c r="C290" s="136"/>
    </row>
    <row r="292" spans="2:3">
      <c r="B292" s="133" t="s">
        <v>287</v>
      </c>
      <c r="C292" s="137"/>
    </row>
    <row r="293" spans="2:3">
      <c r="B293" s="135" t="s">
        <v>173</v>
      </c>
      <c r="C293" s="136"/>
    </row>
    <row r="294" spans="2:3">
      <c r="B294" s="135" t="s">
        <v>173</v>
      </c>
      <c r="C294" s="122"/>
    </row>
    <row r="295" spans="2:3">
      <c r="B295" s="135" t="s">
        <v>173</v>
      </c>
      <c r="C295" s="136"/>
    </row>
    <row r="296" spans="2:3">
      <c r="B296" s="135" t="s">
        <v>173</v>
      </c>
      <c r="C296" s="136"/>
    </row>
    <row r="297" spans="2:3">
      <c r="B297" s="135" t="s">
        <v>173</v>
      </c>
      <c r="C297" s="136"/>
    </row>
    <row r="298" spans="2:3">
      <c r="B298" s="135" t="s">
        <v>173</v>
      </c>
      <c r="C298" s="136"/>
    </row>
    <row r="299" spans="2:3">
      <c r="B299" s="135" t="s">
        <v>173</v>
      </c>
      <c r="C299" s="136"/>
    </row>
    <row r="300" spans="2:3">
      <c r="B300" s="135" t="s">
        <v>173</v>
      </c>
      <c r="C300" s="136"/>
    </row>
    <row r="301" spans="2:3">
      <c r="B301" s="135" t="s">
        <v>173</v>
      </c>
      <c r="C301" s="136"/>
    </row>
    <row r="302" spans="2:3">
      <c r="B302" s="135" t="s">
        <v>173</v>
      </c>
      <c r="C302" s="136"/>
    </row>
    <row r="304" spans="2:3">
      <c r="B304" s="133" t="s">
        <v>288</v>
      </c>
      <c r="C304" s="137"/>
    </row>
    <row r="305" spans="2:3">
      <c r="B305" s="135" t="s">
        <v>173</v>
      </c>
      <c r="C305" s="136"/>
    </row>
    <row r="306" spans="2:3">
      <c r="B306" s="135" t="s">
        <v>173</v>
      </c>
      <c r="C306" s="122"/>
    </row>
    <row r="307" spans="2:3">
      <c r="B307" s="135" t="s">
        <v>173</v>
      </c>
      <c r="C307" s="136"/>
    </row>
    <row r="308" spans="2:3">
      <c r="B308" s="135" t="s">
        <v>173</v>
      </c>
      <c r="C308" s="136"/>
    </row>
    <row r="309" spans="2:3">
      <c r="B309" s="135" t="s">
        <v>173</v>
      </c>
      <c r="C309" s="136"/>
    </row>
    <row r="310" spans="2:3">
      <c r="B310" s="135" t="s">
        <v>173</v>
      </c>
      <c r="C310" s="136"/>
    </row>
    <row r="311" spans="2:3">
      <c r="B311" s="135" t="s">
        <v>173</v>
      </c>
      <c r="C311" s="136"/>
    </row>
    <row r="312" spans="2:3">
      <c r="B312" s="135" t="s">
        <v>173</v>
      </c>
      <c r="C312" s="136"/>
    </row>
    <row r="313" spans="2:3">
      <c r="B313" s="135" t="s">
        <v>173</v>
      </c>
      <c r="C313" s="136"/>
    </row>
    <row r="314" spans="2:3">
      <c r="B314" s="135" t="s">
        <v>173</v>
      </c>
      <c r="C314" s="13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7FCE-F4F0-42E8-A42F-35921F4B2451}">
  <sheetPr codeName="Sheet8"/>
  <dimension ref="B1:AM58"/>
  <sheetViews>
    <sheetView showGridLines="0" topLeftCell="A30" zoomScale="70" zoomScaleNormal="80" workbookViewId="0">
      <selection activeCell="C51" sqref="C51"/>
    </sheetView>
  </sheetViews>
  <sheetFormatPr defaultColWidth="8.85546875" defaultRowHeight="14.45"/>
  <cols>
    <col min="2" max="2" width="23.5703125" bestFit="1" customWidth="1"/>
    <col min="3" max="3" width="22.42578125" customWidth="1"/>
    <col min="4" max="4" width="40.5703125" bestFit="1" customWidth="1"/>
    <col min="5" max="5" width="31.5703125" bestFit="1" customWidth="1"/>
    <col min="6" max="6" width="36.140625" customWidth="1"/>
    <col min="7" max="7" width="24.5703125" customWidth="1"/>
    <col min="8" max="8" width="18.85546875" customWidth="1"/>
    <col min="9" max="9" width="12.5703125" customWidth="1"/>
    <col min="10" max="10" width="14.85546875" customWidth="1"/>
    <col min="11" max="36" width="12.5703125" bestFit="1" customWidth="1"/>
  </cols>
  <sheetData>
    <row r="1" spans="2:10">
      <c r="B1" s="38" t="s">
        <v>206</v>
      </c>
      <c r="C1" s="38" t="s">
        <v>207</v>
      </c>
      <c r="D1" s="38" t="s">
        <v>208</v>
      </c>
      <c r="E1" s="38" t="s">
        <v>209</v>
      </c>
      <c r="F1" s="38" t="s">
        <v>210</v>
      </c>
    </row>
    <row r="2" spans="2:10">
      <c r="B2" s="37" t="s">
        <v>211</v>
      </c>
      <c r="C2" s="37">
        <v>1</v>
      </c>
      <c r="D2" s="37"/>
      <c r="E2" s="71"/>
      <c r="F2" s="37"/>
    </row>
    <row r="3" spans="2:10">
      <c r="B3" s="72" t="s">
        <v>87</v>
      </c>
      <c r="C3" s="73">
        <v>0.35</v>
      </c>
      <c r="D3" s="74"/>
      <c r="E3" s="75"/>
      <c r="F3" s="35" t="s">
        <v>212</v>
      </c>
    </row>
    <row r="4" spans="2:10">
      <c r="B4" s="72" t="s">
        <v>104</v>
      </c>
      <c r="C4" s="76">
        <v>138251.91</v>
      </c>
      <c r="D4" s="77">
        <f>C4*10</f>
        <v>1382519.1</v>
      </c>
      <c r="E4" s="71">
        <f>D4/$C$2</f>
        <v>1382519.1</v>
      </c>
      <c r="F4" s="78"/>
      <c r="I4" s="143"/>
    </row>
    <row r="5" spans="2:10">
      <c r="B5" s="72" t="s">
        <v>105</v>
      </c>
      <c r="C5" s="79">
        <v>40291.300000000003</v>
      </c>
      <c r="D5" s="77">
        <f t="shared" ref="D5:D17" si="0">C5*10</f>
        <v>402913</v>
      </c>
      <c r="E5" s="71">
        <f t="shared" ref="E5:E17" si="1">D5/$C$2</f>
        <v>402913</v>
      </c>
      <c r="F5" s="35" t="s">
        <v>213</v>
      </c>
      <c r="H5" s="86"/>
      <c r="I5" s="144"/>
    </row>
    <row r="6" spans="2:10" ht="43.5">
      <c r="B6" s="72" t="s">
        <v>107</v>
      </c>
      <c r="C6" s="81">
        <v>40248.36</v>
      </c>
      <c r="D6" s="77">
        <f t="shared" si="0"/>
        <v>402483.6</v>
      </c>
      <c r="E6" s="71">
        <f t="shared" si="1"/>
        <v>402483.6</v>
      </c>
      <c r="F6" s="82" t="s">
        <v>214</v>
      </c>
      <c r="G6" s="83"/>
      <c r="I6" s="144"/>
    </row>
    <row r="7" spans="2:10" ht="29.1">
      <c r="B7" s="72" t="s">
        <v>109</v>
      </c>
      <c r="C7" s="81">
        <v>35616.03</v>
      </c>
      <c r="D7" s="77">
        <f t="shared" si="0"/>
        <v>356160.3</v>
      </c>
      <c r="E7" s="71">
        <f t="shared" si="1"/>
        <v>356160.3</v>
      </c>
      <c r="F7" s="84" t="s">
        <v>215</v>
      </c>
      <c r="I7" s="86"/>
    </row>
    <row r="8" spans="2:10">
      <c r="B8" s="72" t="s">
        <v>110</v>
      </c>
      <c r="C8" s="81">
        <v>684.31</v>
      </c>
      <c r="D8" s="77">
        <f t="shared" si="0"/>
        <v>6843.0999999999995</v>
      </c>
      <c r="E8" s="71">
        <f t="shared" si="1"/>
        <v>6843.0999999999995</v>
      </c>
      <c r="F8" s="35" t="s">
        <v>216</v>
      </c>
      <c r="H8" s="187"/>
      <c r="I8" s="187"/>
    </row>
    <row r="9" spans="2:10">
      <c r="B9" s="72" t="s">
        <v>117</v>
      </c>
      <c r="C9" s="79">
        <v>14328</v>
      </c>
      <c r="D9" s="77">
        <f>C9*10</f>
        <v>143280</v>
      </c>
      <c r="E9" s="71">
        <f t="shared" si="1"/>
        <v>143280</v>
      </c>
      <c r="F9" s="35" t="s">
        <v>217</v>
      </c>
      <c r="H9" s="187"/>
      <c r="I9" s="187"/>
    </row>
    <row r="10" spans="2:10">
      <c r="B10" s="72" t="s">
        <v>118</v>
      </c>
      <c r="C10" s="76">
        <v>18619.27</v>
      </c>
      <c r="D10" s="77">
        <f t="shared" si="0"/>
        <v>186192.7</v>
      </c>
      <c r="E10" s="71">
        <f t="shared" si="1"/>
        <v>186192.7</v>
      </c>
      <c r="F10" s="35" t="s">
        <v>218</v>
      </c>
      <c r="I10" s="83"/>
    </row>
    <row r="11" spans="2:10">
      <c r="B11" s="72" t="s">
        <v>119</v>
      </c>
      <c r="C11" s="79">
        <v>58015.57</v>
      </c>
      <c r="D11" s="77">
        <f t="shared" si="0"/>
        <v>580155.69999999995</v>
      </c>
      <c r="E11" s="71">
        <f t="shared" si="1"/>
        <v>580155.69999999995</v>
      </c>
      <c r="F11" s="35"/>
      <c r="H11" s="69"/>
      <c r="I11" s="145"/>
    </row>
    <row r="12" spans="2:10">
      <c r="B12" s="72" t="s">
        <v>120</v>
      </c>
      <c r="C12" s="79">
        <v>211206.65</v>
      </c>
      <c r="D12" s="77">
        <f t="shared" si="0"/>
        <v>2112066.5</v>
      </c>
      <c r="E12" s="71">
        <f t="shared" si="1"/>
        <v>2112066.5</v>
      </c>
      <c r="F12" s="35"/>
    </row>
    <row r="13" spans="2:10">
      <c r="B13" s="72" t="s">
        <v>122</v>
      </c>
      <c r="C13" s="79">
        <v>167.09</v>
      </c>
      <c r="D13" s="77">
        <f t="shared" si="0"/>
        <v>1670.9</v>
      </c>
      <c r="E13" s="71">
        <f t="shared" si="1"/>
        <v>1670.9</v>
      </c>
      <c r="F13" s="35"/>
    </row>
    <row r="14" spans="2:10">
      <c r="B14" s="85" t="s">
        <v>126</v>
      </c>
      <c r="C14" s="79">
        <v>10268.98</v>
      </c>
      <c r="D14" s="77">
        <f t="shared" si="0"/>
        <v>102689.79999999999</v>
      </c>
      <c r="E14" s="71">
        <f t="shared" si="1"/>
        <v>102689.79999999999</v>
      </c>
      <c r="F14" s="35" t="s">
        <v>219</v>
      </c>
      <c r="I14" s="140"/>
      <c r="J14" s="140"/>
    </row>
    <row r="15" spans="2:10">
      <c r="B15" s="72" t="s">
        <v>123</v>
      </c>
      <c r="C15" s="79">
        <v>972.7</v>
      </c>
      <c r="D15" s="77">
        <f t="shared" si="0"/>
        <v>9727</v>
      </c>
      <c r="E15" s="71">
        <f t="shared" si="1"/>
        <v>9727</v>
      </c>
      <c r="F15" s="35" t="s">
        <v>220</v>
      </c>
      <c r="I15" s="140"/>
    </row>
    <row r="16" spans="2:10">
      <c r="B16" s="72" t="s">
        <v>221</v>
      </c>
      <c r="C16" s="79">
        <v>28124.94</v>
      </c>
      <c r="D16" s="77">
        <f t="shared" si="0"/>
        <v>281249.39999999997</v>
      </c>
      <c r="E16" s="71">
        <f t="shared" si="1"/>
        <v>281249.39999999997</v>
      </c>
      <c r="F16" s="35"/>
      <c r="I16" s="141"/>
    </row>
    <row r="17" spans="2:39">
      <c r="B17" s="72" t="s">
        <v>222</v>
      </c>
      <c r="C17" s="79">
        <v>138251.91</v>
      </c>
      <c r="D17" s="77">
        <f t="shared" si="0"/>
        <v>1382519.1</v>
      </c>
      <c r="E17" s="71">
        <f t="shared" si="1"/>
        <v>1382519.1</v>
      </c>
      <c r="F17" s="35"/>
      <c r="G17" s="86"/>
      <c r="I17" s="142"/>
    </row>
    <row r="18" spans="2:39">
      <c r="B18" s="72" t="s">
        <v>55</v>
      </c>
      <c r="C18" s="73">
        <v>0.20343256017222472</v>
      </c>
      <c r="D18" s="74"/>
      <c r="E18" s="75"/>
      <c r="F18" s="35" t="s">
        <v>223</v>
      </c>
    </row>
    <row r="20" spans="2:39">
      <c r="B20" s="70" t="s">
        <v>224</v>
      </c>
      <c r="C20" s="35"/>
      <c r="D20" s="87" t="s">
        <v>225</v>
      </c>
      <c r="E20" s="87" t="s">
        <v>226</v>
      </c>
      <c r="F20" s="87" t="s">
        <v>227</v>
      </c>
    </row>
    <row r="21" spans="2:39">
      <c r="B21" s="37" t="s">
        <v>228</v>
      </c>
      <c r="C21" s="79"/>
      <c r="D21" s="88"/>
      <c r="E21" s="89"/>
      <c r="F21" s="86"/>
      <c r="G21" s="86"/>
    </row>
    <row r="22" spans="2:39">
      <c r="B22" s="37" t="s">
        <v>229</v>
      </c>
      <c r="C22" s="79">
        <v>7495920</v>
      </c>
      <c r="D22" s="88">
        <f>(C22+C21)/E4</f>
        <v>5.4219287097010085</v>
      </c>
      <c r="E22" s="80"/>
    </row>
    <row r="23" spans="2:39">
      <c r="B23" s="37" t="s">
        <v>230</v>
      </c>
      <c r="C23" s="80">
        <v>807750</v>
      </c>
      <c r="D23" s="80"/>
      <c r="E23" s="90">
        <f>C23/E4</f>
        <v>0.58425955923502249</v>
      </c>
    </row>
    <row r="25" spans="2:39">
      <c r="B25" s="91" t="s">
        <v>231</v>
      </c>
      <c r="C25" s="91" t="s">
        <v>232</v>
      </c>
      <c r="D25" s="91" t="s">
        <v>233</v>
      </c>
      <c r="E25" s="91" t="s">
        <v>234</v>
      </c>
      <c r="F25" s="91">
        <v>2023</v>
      </c>
      <c r="G25" s="91">
        <v>2024</v>
      </c>
      <c r="H25" s="91">
        <v>2025</v>
      </c>
      <c r="I25" s="91">
        <v>2026</v>
      </c>
      <c r="J25" s="91">
        <v>2027</v>
      </c>
      <c r="K25" s="91">
        <v>2028</v>
      </c>
      <c r="L25" s="91">
        <v>2029</v>
      </c>
      <c r="M25" s="91">
        <v>2030</v>
      </c>
      <c r="N25" s="91">
        <v>2031</v>
      </c>
      <c r="O25" s="91">
        <v>2032</v>
      </c>
      <c r="P25" s="91">
        <v>2033</v>
      </c>
      <c r="Q25" s="91">
        <v>2034</v>
      </c>
      <c r="R25" s="91">
        <v>2035</v>
      </c>
      <c r="S25" s="91">
        <v>2036</v>
      </c>
      <c r="T25" s="91">
        <v>2037</v>
      </c>
      <c r="U25" s="91">
        <v>2038</v>
      </c>
      <c r="V25" s="91">
        <v>2039</v>
      </c>
      <c r="W25" s="91">
        <v>2040</v>
      </c>
      <c r="X25" s="91">
        <v>2041</v>
      </c>
      <c r="Y25" s="91">
        <v>2042</v>
      </c>
      <c r="Z25" s="91">
        <v>2043</v>
      </c>
      <c r="AA25" s="91">
        <v>2044</v>
      </c>
      <c r="AB25" s="91">
        <v>2045</v>
      </c>
      <c r="AC25" s="91">
        <v>2046</v>
      </c>
      <c r="AD25" s="91">
        <v>2047</v>
      </c>
      <c r="AE25" s="91">
        <v>2048</v>
      </c>
      <c r="AF25" s="91">
        <v>2049</v>
      </c>
      <c r="AG25" s="91">
        <v>2050</v>
      </c>
      <c r="AH25" s="91">
        <v>2051</v>
      </c>
      <c r="AI25" s="91">
        <v>2052</v>
      </c>
      <c r="AJ25" s="91">
        <v>2053</v>
      </c>
      <c r="AK25" s="91">
        <v>2054</v>
      </c>
      <c r="AL25" s="91">
        <v>2055</v>
      </c>
    </row>
    <row r="26" spans="2:39">
      <c r="B26" s="92" t="s">
        <v>235</v>
      </c>
      <c r="C26" s="92" t="s">
        <v>236</v>
      </c>
      <c r="D26" s="92" t="s">
        <v>33</v>
      </c>
      <c r="E26" s="92" t="s">
        <v>237</v>
      </c>
      <c r="F26" s="93">
        <v>13.458131390376399</v>
      </c>
      <c r="G26" s="93">
        <v>19.633335781323598</v>
      </c>
      <c r="H26" s="93">
        <v>25.808540172270799</v>
      </c>
      <c r="I26" s="93">
        <v>31.983744563218</v>
      </c>
      <c r="J26" s="93">
        <v>33.368109551101597</v>
      </c>
      <c r="K26" s="93">
        <v>34.752474538985197</v>
      </c>
      <c r="L26" s="93">
        <v>36.136839526868798</v>
      </c>
      <c r="M26" s="93">
        <v>37.521204514752398</v>
      </c>
      <c r="N26" s="93">
        <v>38.905569502635991</v>
      </c>
      <c r="O26" s="93">
        <v>41.067194329817596</v>
      </c>
      <c r="P26" s="93">
        <v>43.228819156999201</v>
      </c>
      <c r="Q26" s="93">
        <v>45.390443984180806</v>
      </c>
      <c r="R26" s="93">
        <v>47.55206881136241</v>
      </c>
      <c r="S26" s="93">
        <v>49.713693638544001</v>
      </c>
      <c r="T26" s="93">
        <v>52.840679425011601</v>
      </c>
      <c r="U26" s="93">
        <v>55.967665211479201</v>
      </c>
      <c r="V26" s="93">
        <v>59.0946509979468</v>
      </c>
      <c r="W26" s="93">
        <v>62.2216367844144</v>
      </c>
      <c r="X26" s="93">
        <v>65.348622570882</v>
      </c>
      <c r="Y26" s="93">
        <v>69.779332531809203</v>
      </c>
      <c r="Z26" s="93">
        <v>74.210042492736406</v>
      </c>
      <c r="AA26" s="93">
        <v>78.640752453663609</v>
      </c>
      <c r="AB26" s="93">
        <v>83.071462414590812</v>
      </c>
      <c r="AC26" s="93">
        <v>87.502172375517986</v>
      </c>
      <c r="AD26" s="93">
        <v>93.495521084597186</v>
      </c>
      <c r="AE26" s="93">
        <v>99.488869793676386</v>
      </c>
      <c r="AF26" s="93">
        <v>105.48221850275559</v>
      </c>
      <c r="AG26" s="93">
        <v>111.47556721183479</v>
      </c>
      <c r="AH26" s="35">
        <v>117.468915920914</v>
      </c>
      <c r="AI26" s="35">
        <v>119.98010959525161</v>
      </c>
      <c r="AJ26" s="35">
        <v>122.49130326958921</v>
      </c>
      <c r="AK26" s="35">
        <v>125.00249694392681</v>
      </c>
      <c r="AL26" s="35">
        <v>127.51369061826442</v>
      </c>
      <c r="AM26">
        <v>130.024884292602</v>
      </c>
    </row>
    <row r="27" spans="2:39">
      <c r="B27" s="92" t="s">
        <v>235</v>
      </c>
      <c r="C27" s="92" t="s">
        <v>236</v>
      </c>
      <c r="D27" s="92" t="s">
        <v>34</v>
      </c>
      <c r="E27" s="92" t="s">
        <v>237</v>
      </c>
      <c r="F27" s="93">
        <v>1.2274021734379998</v>
      </c>
      <c r="G27" s="93">
        <v>1.2872419559159998</v>
      </c>
      <c r="H27" s="93">
        <v>1.3470817383939997</v>
      </c>
      <c r="I27" s="93">
        <v>1.4069215208720001</v>
      </c>
      <c r="J27" s="93">
        <v>1.4762026156796</v>
      </c>
      <c r="K27" s="93">
        <v>1.5454837104871999</v>
      </c>
      <c r="L27" s="93">
        <v>1.6147648052947998</v>
      </c>
      <c r="M27" s="93">
        <v>1.6840459001023997</v>
      </c>
      <c r="N27" s="93">
        <v>1.7533269949100001</v>
      </c>
      <c r="O27" s="93">
        <v>1.8328976871844</v>
      </c>
      <c r="P27" s="93">
        <v>1.9124683794588</v>
      </c>
      <c r="Q27" s="93">
        <v>1.9920390717331999</v>
      </c>
      <c r="R27" s="93">
        <v>2.0716097640075999</v>
      </c>
      <c r="S27" s="93">
        <v>2.1511804562819998</v>
      </c>
      <c r="T27" s="93">
        <v>2.2421281479167998</v>
      </c>
      <c r="U27" s="93">
        <v>2.3330758395515998</v>
      </c>
      <c r="V27" s="93">
        <v>2.4240235311863998</v>
      </c>
      <c r="W27" s="93">
        <v>2.5149712228211998</v>
      </c>
      <c r="X27" s="93">
        <v>2.6059189144560002</v>
      </c>
      <c r="Y27" s="93">
        <v>2.7092753544872004</v>
      </c>
      <c r="Z27" s="93">
        <v>2.8126317945184005</v>
      </c>
      <c r="AA27" s="93">
        <v>2.9159882345496007</v>
      </c>
      <c r="AB27" s="93">
        <v>3.0193446745808008</v>
      </c>
      <c r="AC27" s="93">
        <v>3.1227011146120001</v>
      </c>
      <c r="AD27" s="93">
        <v>3.2396168904228002</v>
      </c>
      <c r="AE27" s="93">
        <v>3.3565326662336004</v>
      </c>
      <c r="AF27" s="93">
        <v>3.4734484420444005</v>
      </c>
      <c r="AG27" s="93">
        <v>3.5903642178552007</v>
      </c>
      <c r="AH27" s="35">
        <v>3.7072799936659999</v>
      </c>
      <c r="AI27" s="35">
        <v>3.8390105513079997</v>
      </c>
      <c r="AJ27" s="35">
        <v>3.9707411089499995</v>
      </c>
      <c r="AK27" s="35">
        <v>4.1024716665919998</v>
      </c>
      <c r="AL27" s="35">
        <v>4.2342022242340001</v>
      </c>
      <c r="AM27">
        <v>4.3659327818759994</v>
      </c>
    </row>
    <row r="28" spans="2:39">
      <c r="B28" s="92" t="s">
        <v>235</v>
      </c>
      <c r="C28" s="92" t="s">
        <v>236</v>
      </c>
      <c r="D28" s="92" t="s">
        <v>19</v>
      </c>
      <c r="E28" s="92" t="s">
        <v>237</v>
      </c>
      <c r="F28" s="93">
        <v>1.2273726189348</v>
      </c>
      <c r="G28" s="93">
        <v>1.2871976241612</v>
      </c>
      <c r="H28" s="93">
        <v>1.3470226293876</v>
      </c>
      <c r="I28" s="93">
        <v>1.406847634614</v>
      </c>
      <c r="J28" s="93">
        <v>1.4761205986099999</v>
      </c>
      <c r="K28" s="93">
        <v>1.5453935626059998</v>
      </c>
      <c r="L28" s="93">
        <v>1.6146665266019997</v>
      </c>
      <c r="M28" s="93">
        <v>1.6839394905979996</v>
      </c>
      <c r="N28" s="93">
        <v>1.753212454594</v>
      </c>
      <c r="O28" s="93">
        <v>16.179528256277997</v>
      </c>
      <c r="P28" s="93">
        <v>30.605844057961995</v>
      </c>
      <c r="Q28" s="93">
        <v>45.032159859645994</v>
      </c>
      <c r="R28" s="93">
        <v>59.458475661329992</v>
      </c>
      <c r="S28" s="93">
        <v>73.884791463013997</v>
      </c>
      <c r="T28" s="93">
        <v>83.243135617449994</v>
      </c>
      <c r="U28" s="93">
        <v>92.601479771885991</v>
      </c>
      <c r="V28" s="93">
        <v>101.95982392632199</v>
      </c>
      <c r="W28" s="93">
        <v>111.31816808075799</v>
      </c>
      <c r="X28" s="93">
        <v>120.676512235194</v>
      </c>
      <c r="Y28" s="93">
        <v>133.572178825994</v>
      </c>
      <c r="Z28" s="93">
        <v>146.46784541679401</v>
      </c>
      <c r="AA28" s="93">
        <v>159.36351200759401</v>
      </c>
      <c r="AB28" s="93">
        <v>172.25917859839402</v>
      </c>
      <c r="AC28" s="93">
        <v>185.15484518919399</v>
      </c>
      <c r="AD28" s="93">
        <v>200.136609963474</v>
      </c>
      <c r="AE28" s="93">
        <v>215.11837473775401</v>
      </c>
      <c r="AF28" s="93">
        <v>230.10013951203402</v>
      </c>
      <c r="AG28" s="93">
        <v>245.08190428631403</v>
      </c>
      <c r="AH28" s="35">
        <v>260.06366906059401</v>
      </c>
      <c r="AI28" s="35">
        <v>270.47673826300161</v>
      </c>
      <c r="AJ28" s="35">
        <v>280.88980746540921</v>
      </c>
      <c r="AK28" s="35">
        <v>291.3028766678168</v>
      </c>
      <c r="AL28" s="35">
        <v>301.7159458702244</v>
      </c>
      <c r="AM28">
        <v>312.12901507263189</v>
      </c>
    </row>
    <row r="29" spans="2:39">
      <c r="B29" s="92" t="s">
        <v>235</v>
      </c>
      <c r="C29" s="92" t="s">
        <v>236</v>
      </c>
      <c r="D29" s="92" t="s">
        <v>238</v>
      </c>
      <c r="E29" s="92" t="s">
        <v>237</v>
      </c>
      <c r="F29" s="93">
        <v>1.2273726189348</v>
      </c>
      <c r="G29" s="93">
        <v>1.2871976241612</v>
      </c>
      <c r="H29" s="93">
        <v>1.3470226293876</v>
      </c>
      <c r="I29" s="93">
        <v>1.406847634614</v>
      </c>
      <c r="J29" s="93">
        <v>1.4761205986099999</v>
      </c>
      <c r="K29" s="93">
        <v>1.5453935626059998</v>
      </c>
      <c r="L29" s="93">
        <v>1.6146665266019997</v>
      </c>
      <c r="M29" s="93">
        <v>1.6839394905979996</v>
      </c>
      <c r="N29" s="93">
        <v>1.753212454594</v>
      </c>
      <c r="O29" s="93">
        <v>17.616792503824399</v>
      </c>
      <c r="P29" s="93">
        <v>33.480372553054799</v>
      </c>
      <c r="Q29" s="93">
        <v>49.343952602285199</v>
      </c>
      <c r="R29" s="93">
        <v>65.207532651515592</v>
      </c>
      <c r="S29" s="93">
        <v>81.071112700745999</v>
      </c>
      <c r="T29" s="93">
        <v>86.933679432099993</v>
      </c>
      <c r="U29" s="93">
        <v>92.796246163453986</v>
      </c>
      <c r="V29" s="93">
        <v>98.65881289480798</v>
      </c>
      <c r="W29" s="93">
        <v>104.52137962616197</v>
      </c>
      <c r="X29" s="93">
        <v>110.383946357516</v>
      </c>
      <c r="Y29" s="93">
        <v>117.24192417638679</v>
      </c>
      <c r="Z29" s="93">
        <v>124.09990199525758</v>
      </c>
      <c r="AA29" s="93">
        <v>130.95787981412838</v>
      </c>
      <c r="AB29" s="93">
        <v>137.81585763299918</v>
      </c>
      <c r="AC29" s="93">
        <v>144.67383545186999</v>
      </c>
      <c r="AD29" s="93">
        <v>151.8096594976648</v>
      </c>
      <c r="AE29" s="93">
        <v>158.9454835434596</v>
      </c>
      <c r="AF29" s="93">
        <v>166.08130758925441</v>
      </c>
      <c r="AG29" s="93">
        <v>173.21713163504921</v>
      </c>
      <c r="AH29" s="35">
        <v>180.35295568084399</v>
      </c>
      <c r="AI29" s="35">
        <v>187.9392293700096</v>
      </c>
      <c r="AJ29" s="35">
        <v>195.52550305917521</v>
      </c>
      <c r="AK29" s="35">
        <v>203.11177674834082</v>
      </c>
      <c r="AL29" s="35">
        <v>210.69805043750642</v>
      </c>
      <c r="AM29">
        <v>218.284324126672</v>
      </c>
    </row>
    <row r="30" spans="2:39">
      <c r="B30" s="92" t="s">
        <v>235</v>
      </c>
      <c r="C30" s="92" t="s">
        <v>236</v>
      </c>
      <c r="D30" s="92" t="s">
        <v>35</v>
      </c>
      <c r="E30" s="92" t="s">
        <v>237</v>
      </c>
      <c r="F30" s="93">
        <v>6.5387898932644006</v>
      </c>
      <c r="G30" s="93">
        <v>9.2543235356556011</v>
      </c>
      <c r="H30" s="93">
        <v>11.969857178046801</v>
      </c>
      <c r="I30" s="93">
        <v>14.685390820438</v>
      </c>
      <c r="J30" s="93">
        <v>17.400866528027198</v>
      </c>
      <c r="K30" s="93">
        <v>20.116342235616397</v>
      </c>
      <c r="L30" s="93">
        <v>22.831817943205596</v>
      </c>
      <c r="M30" s="93">
        <v>25.547293650794796</v>
      </c>
      <c r="N30" s="93">
        <v>28.262769358383991</v>
      </c>
      <c r="O30" s="93">
        <v>28.776114485022791</v>
      </c>
      <c r="P30" s="93">
        <v>29.289459611661592</v>
      </c>
      <c r="Q30" s="93">
        <v>29.802804738300392</v>
      </c>
      <c r="R30" s="93">
        <v>30.316149864939192</v>
      </c>
      <c r="S30" s="93">
        <v>30.829494991577999</v>
      </c>
      <c r="T30" s="93">
        <v>31.388516204125999</v>
      </c>
      <c r="U30" s="93">
        <v>31.947537416673999</v>
      </c>
      <c r="V30" s="93">
        <v>32.506558629221999</v>
      </c>
      <c r="W30" s="93">
        <v>33.065579841769996</v>
      </c>
      <c r="X30" s="93">
        <v>33.624601054317992</v>
      </c>
      <c r="Y30" s="93">
        <v>34.232998470232793</v>
      </c>
      <c r="Z30" s="93">
        <v>34.841395886147595</v>
      </c>
      <c r="AA30" s="93">
        <v>35.449793302062396</v>
      </c>
      <c r="AB30" s="93">
        <v>36.058190717977197</v>
      </c>
      <c r="AC30" s="93">
        <v>36.666588133891999</v>
      </c>
      <c r="AD30" s="93">
        <v>37.328936985231202</v>
      </c>
      <c r="AE30" s="93">
        <v>37.991285836570405</v>
      </c>
      <c r="AF30" s="93">
        <v>38.653634687909609</v>
      </c>
      <c r="AG30" s="93">
        <v>39.315983539248812</v>
      </c>
      <c r="AH30" s="35">
        <v>39.978332390588022</v>
      </c>
      <c r="AI30" s="35">
        <v>40.699253858464417</v>
      </c>
      <c r="AJ30" s="35">
        <v>41.420175326340811</v>
      </c>
      <c r="AK30" s="35">
        <v>42.141096794217205</v>
      </c>
      <c r="AL30" s="35">
        <v>42.862018262093599</v>
      </c>
      <c r="AM30">
        <v>43.582939729970008</v>
      </c>
    </row>
    <row r="31" spans="2:39">
      <c r="B31" s="92" t="s">
        <v>235</v>
      </c>
      <c r="C31" s="92" t="s">
        <v>236</v>
      </c>
      <c r="D31" s="92" t="s">
        <v>25</v>
      </c>
      <c r="E31" s="92" t="s">
        <v>237</v>
      </c>
      <c r="F31" s="93">
        <v>25.389440745104398</v>
      </c>
      <c r="G31" s="93">
        <v>37.530299813415596</v>
      </c>
      <c r="H31" s="93">
        <v>49.671158881726797</v>
      </c>
      <c r="I31" s="93">
        <v>61.812017950037998</v>
      </c>
      <c r="J31" s="93">
        <v>67.143963640499592</v>
      </c>
      <c r="K31" s="93">
        <v>72.475909330961187</v>
      </c>
      <c r="L31" s="93">
        <v>77.807855021422782</v>
      </c>
      <c r="M31" s="93">
        <v>83.139800711884376</v>
      </c>
      <c r="N31" s="93">
        <v>88.471746402346</v>
      </c>
      <c r="O31" s="93">
        <v>98.112007994063603</v>
      </c>
      <c r="P31" s="93">
        <v>107.75226958578121</v>
      </c>
      <c r="Q31" s="93">
        <v>117.39253117749881</v>
      </c>
      <c r="R31" s="93">
        <v>127.03279276921641</v>
      </c>
      <c r="S31" s="93">
        <v>136.673054360934</v>
      </c>
      <c r="T31" s="93">
        <v>152.3950284390416</v>
      </c>
      <c r="U31" s="93">
        <v>168.11700251714919</v>
      </c>
      <c r="V31" s="93">
        <v>183.83897659525678</v>
      </c>
      <c r="W31" s="93">
        <v>199.56095067336437</v>
      </c>
      <c r="X31" s="93">
        <v>215.282924751472</v>
      </c>
      <c r="Y31" s="93">
        <v>238.91711118915001</v>
      </c>
      <c r="Z31" s="93">
        <v>262.55129762682799</v>
      </c>
      <c r="AA31" s="93">
        <v>286.185484064506</v>
      </c>
      <c r="AB31" s="93">
        <v>309.81967050218401</v>
      </c>
      <c r="AC31" s="93">
        <v>333.45385693986202</v>
      </c>
      <c r="AD31" s="93">
        <v>366.77473710987164</v>
      </c>
      <c r="AE31" s="93">
        <v>400.09561727988125</v>
      </c>
      <c r="AF31" s="93">
        <v>433.41649744989087</v>
      </c>
      <c r="AG31" s="93">
        <v>466.73737761990049</v>
      </c>
      <c r="AH31" s="35">
        <v>500.05825778990999</v>
      </c>
      <c r="AI31" s="35">
        <v>507.33038259626483</v>
      </c>
      <c r="AJ31" s="35">
        <v>514.60250740261961</v>
      </c>
      <c r="AK31" s="35">
        <v>521.87463220897439</v>
      </c>
      <c r="AL31" s="35">
        <v>529.14675701532917</v>
      </c>
      <c r="AM31">
        <v>536.41888182168407</v>
      </c>
    </row>
    <row r="34" spans="2:7">
      <c r="B34" t="s">
        <v>239</v>
      </c>
    </row>
    <row r="35" spans="2:7">
      <c r="B35" s="94" t="s">
        <v>176</v>
      </c>
    </row>
    <row r="38" spans="2:7">
      <c r="B38" s="193" t="s">
        <v>240</v>
      </c>
      <c r="C38" s="193"/>
    </row>
    <row r="39" spans="2:7">
      <c r="B39" s="95" t="s">
        <v>241</v>
      </c>
      <c r="C39" s="95" t="s">
        <v>242</v>
      </c>
      <c r="D39" s="95" t="s">
        <v>243</v>
      </c>
    </row>
    <row r="40" spans="2:7">
      <c r="B40" s="35" t="s">
        <v>38</v>
      </c>
      <c r="C40" s="96">
        <v>0.2</v>
      </c>
      <c r="D40" s="96">
        <f>C40+E40</f>
        <v>0.48571428571428577</v>
      </c>
      <c r="E40" s="174">
        <f>(C40/SUM($C$40,$C$42:$C$47))*$C$51</f>
        <v>0.28571428571428575</v>
      </c>
    </row>
    <row r="41" spans="2:7">
      <c r="B41" s="100" t="s">
        <v>244</v>
      </c>
      <c r="C41" s="96">
        <v>0.2</v>
      </c>
      <c r="D41" s="96">
        <v>0</v>
      </c>
      <c r="E41" s="174">
        <f t="shared" ref="E41:E48" si="2">(C41/SUM($C$40,$C$42:$C$47))*$C$51</f>
        <v>0.28571428571428575</v>
      </c>
    </row>
    <row r="42" spans="2:7">
      <c r="B42" s="35" t="s">
        <v>245</v>
      </c>
      <c r="C42" s="96">
        <v>0.1</v>
      </c>
      <c r="D42" s="96">
        <f t="shared" ref="D42:D47" si="3">C42+E42</f>
        <v>0.24285714285714288</v>
      </c>
      <c r="E42" s="174">
        <f t="shared" si="2"/>
        <v>0.14285714285714288</v>
      </c>
      <c r="G42" s="138"/>
    </row>
    <row r="43" spans="2:7">
      <c r="B43" s="35" t="s">
        <v>246</v>
      </c>
      <c r="C43" s="96">
        <v>0.05</v>
      </c>
      <c r="D43" s="96">
        <f t="shared" si="3"/>
        <v>0.12142857142857144</v>
      </c>
      <c r="E43" s="174">
        <f t="shared" si="2"/>
        <v>7.1428571428571438E-2</v>
      </c>
      <c r="G43" s="139"/>
    </row>
    <row r="44" spans="2:7">
      <c r="B44" s="35" t="s">
        <v>247</v>
      </c>
      <c r="C44" s="96">
        <v>0.15</v>
      </c>
      <c r="D44" s="96">
        <f t="shared" si="3"/>
        <v>0.36428571428571432</v>
      </c>
      <c r="E44" s="174">
        <f t="shared" si="2"/>
        <v>0.2142857142857143</v>
      </c>
    </row>
    <row r="45" spans="2:7">
      <c r="B45" s="35" t="s">
        <v>248</v>
      </c>
      <c r="C45" s="96">
        <v>0.05</v>
      </c>
      <c r="D45" s="96">
        <f t="shared" si="3"/>
        <v>0.12142857142857144</v>
      </c>
      <c r="E45" s="174">
        <f t="shared" si="2"/>
        <v>7.1428571428571438E-2</v>
      </c>
      <c r="G45" s="138"/>
    </row>
    <row r="46" spans="2:7">
      <c r="B46" s="35" t="s">
        <v>249</v>
      </c>
      <c r="C46" s="103">
        <v>7.4999999999999997E-2</v>
      </c>
      <c r="D46" s="96">
        <f t="shared" si="3"/>
        <v>0.18214285714285716</v>
      </c>
      <c r="E46" s="174">
        <f t="shared" si="2"/>
        <v>0.10714285714285715</v>
      </c>
      <c r="G46" s="139"/>
    </row>
    <row r="47" spans="2:7">
      <c r="B47" s="175" t="s">
        <v>250</v>
      </c>
      <c r="C47" s="96">
        <v>7.4999999999999997E-2</v>
      </c>
      <c r="D47" s="96">
        <f t="shared" si="3"/>
        <v>0.18214285714285716</v>
      </c>
      <c r="E47" s="174">
        <f t="shared" si="2"/>
        <v>0.10714285714285715</v>
      </c>
    </row>
    <row r="48" spans="2:7">
      <c r="B48" s="100" t="s">
        <v>251</v>
      </c>
      <c r="C48" s="96">
        <v>0.1</v>
      </c>
      <c r="D48" s="96">
        <v>0</v>
      </c>
      <c r="E48" s="174">
        <f t="shared" si="2"/>
        <v>0.14285714285714288</v>
      </c>
    </row>
    <row r="49" spans="2:9">
      <c r="B49" s="37" t="s">
        <v>252</v>
      </c>
      <c r="C49" s="105">
        <f>SUM(C40:C48)</f>
        <v>1</v>
      </c>
      <c r="D49" s="105">
        <f>SUM(D40:D48)</f>
        <v>1.7000000000000002</v>
      </c>
      <c r="E49" s="106"/>
    </row>
    <row r="51" spans="2:9">
      <c r="B51" s="107" t="s">
        <v>253</v>
      </c>
      <c r="C51" s="108">
        <v>1</v>
      </c>
      <c r="D51" s="108">
        <f>C51/6</f>
        <v>0.16666666666666666</v>
      </c>
    </row>
    <row r="54" spans="2:9">
      <c r="B54" s="109"/>
      <c r="E54" s="98"/>
      <c r="F54" s="110"/>
      <c r="G54" s="110"/>
      <c r="H54" s="110" t="s">
        <v>254</v>
      </c>
      <c r="I54" s="99">
        <v>1</v>
      </c>
    </row>
    <row r="55" spans="2:9">
      <c r="E55" s="101" t="s">
        <v>255</v>
      </c>
      <c r="G55" t="s">
        <v>256</v>
      </c>
      <c r="I55" s="102"/>
    </row>
    <row r="56" spans="2:9">
      <c r="E56" s="101"/>
      <c r="G56" t="s">
        <v>257</v>
      </c>
      <c r="I56" s="102"/>
    </row>
    <row r="57" spans="2:9">
      <c r="E57" s="101"/>
      <c r="G57" t="s">
        <v>258</v>
      </c>
      <c r="I57" s="102"/>
    </row>
    <row r="58" spans="2:9">
      <c r="E58" s="104"/>
      <c r="F58" s="111"/>
      <c r="G58" s="111" t="s">
        <v>259</v>
      </c>
      <c r="H58" s="111"/>
      <c r="I58" s="112"/>
    </row>
  </sheetData>
  <mergeCells count="2">
    <mergeCell ref="H8:I9"/>
    <mergeCell ref="B38:C3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646B-A5C9-4A7A-A887-9A152F4FA905}">
  <sheetPr codeName="Sheet9"/>
  <dimension ref="A2:AP314"/>
  <sheetViews>
    <sheetView showGridLines="0" zoomScale="70" zoomScaleNormal="70" workbookViewId="0">
      <selection activeCell="F149" sqref="F149"/>
    </sheetView>
  </sheetViews>
  <sheetFormatPr defaultColWidth="8.5703125" defaultRowHeight="14.45"/>
  <cols>
    <col min="1" max="1" width="2.5703125" style="115" customWidth="1"/>
    <col min="2" max="2" width="24" style="115" customWidth="1"/>
    <col min="3" max="3" width="15" style="116" bestFit="1" customWidth="1"/>
    <col min="4" max="4" width="2.5703125" style="115" customWidth="1"/>
    <col min="5" max="5" width="42.140625" style="115" customWidth="1"/>
    <col min="6" max="6" width="8.5703125" style="115"/>
    <col min="7" max="7" width="2.5703125" style="115" customWidth="1"/>
    <col min="8" max="8" width="41.140625" style="115" bestFit="1" customWidth="1"/>
    <col min="9" max="11" width="9.85546875" style="115" bestFit="1" customWidth="1"/>
    <col min="12" max="12" width="25.140625" style="115" bestFit="1" customWidth="1"/>
    <col min="13" max="13" width="9.85546875" style="115" bestFit="1" customWidth="1"/>
    <col min="14" max="15" width="8.5703125" style="115" bestFit="1" customWidth="1"/>
    <col min="16" max="16" width="20.5703125" style="115" bestFit="1" customWidth="1"/>
    <col min="17" max="36" width="8.5703125" style="115" bestFit="1" customWidth="1"/>
    <col min="37" max="16384" width="8.5703125" style="115"/>
  </cols>
  <sheetData>
    <row r="2" spans="2:36" s="113" customFormat="1">
      <c r="B2" s="113" t="s">
        <v>260</v>
      </c>
      <c r="C2" s="114"/>
      <c r="E2" s="113" t="s">
        <v>261</v>
      </c>
      <c r="H2" s="113" t="s">
        <v>262</v>
      </c>
      <c r="L2" s="113" t="s">
        <v>263</v>
      </c>
      <c r="P2" s="113" t="s">
        <v>264</v>
      </c>
    </row>
    <row r="3" spans="2:36">
      <c r="F3" s="113"/>
      <c r="H3" s="113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</row>
    <row r="4" spans="2:36">
      <c r="B4" s="113" t="s">
        <v>148</v>
      </c>
      <c r="E4" s="113" t="s">
        <v>265</v>
      </c>
      <c r="F4" s="113"/>
      <c r="H4" s="113" t="s">
        <v>266</v>
      </c>
      <c r="I4" s="115">
        <v>2023</v>
      </c>
      <c r="J4" s="115">
        <v>2024</v>
      </c>
      <c r="K4" s="115">
        <v>2025</v>
      </c>
      <c r="L4" s="115">
        <v>2026</v>
      </c>
      <c r="M4" s="115">
        <v>2027</v>
      </c>
      <c r="N4" s="115">
        <v>2028</v>
      </c>
      <c r="O4" s="115">
        <v>2029</v>
      </c>
      <c r="P4" s="115">
        <v>2030</v>
      </c>
      <c r="Q4" s="115">
        <v>2031</v>
      </c>
      <c r="R4" s="115">
        <v>2032</v>
      </c>
      <c r="S4" s="115">
        <v>2033</v>
      </c>
      <c r="T4" s="115">
        <v>2034</v>
      </c>
      <c r="U4" s="115">
        <v>2035</v>
      </c>
      <c r="V4" s="115">
        <v>2036</v>
      </c>
      <c r="W4" s="115">
        <v>2037</v>
      </c>
      <c r="X4" s="115">
        <v>2038</v>
      </c>
      <c r="Y4" s="115">
        <v>2039</v>
      </c>
      <c r="Z4" s="115">
        <v>2040</v>
      </c>
      <c r="AA4" s="115">
        <v>2041</v>
      </c>
      <c r="AB4" s="115">
        <v>2042</v>
      </c>
      <c r="AC4" s="115">
        <v>2043</v>
      </c>
      <c r="AD4" s="115">
        <v>2044</v>
      </c>
      <c r="AE4" s="115">
        <v>2045</v>
      </c>
      <c r="AF4" s="115">
        <v>2046</v>
      </c>
      <c r="AG4" s="115">
        <v>2047</v>
      </c>
      <c r="AH4" s="115">
        <v>2048</v>
      </c>
      <c r="AI4" s="115">
        <v>2049</v>
      </c>
      <c r="AJ4" s="115">
        <v>2050</v>
      </c>
    </row>
    <row r="5" spans="2:36">
      <c r="B5" s="117" t="s">
        <v>8</v>
      </c>
      <c r="C5" s="118">
        <f>'1.Input data Coal India'!E4</f>
        <v>1382519.1</v>
      </c>
      <c r="E5" s="117" t="s">
        <v>8</v>
      </c>
      <c r="F5" s="147">
        <v>-1</v>
      </c>
      <c r="H5" s="117" t="s">
        <v>8</v>
      </c>
      <c r="I5" s="120">
        <f>'1.Input data Coal India'!D22</f>
        <v>5.4219287097010085</v>
      </c>
      <c r="J5" s="121">
        <f t="shared" ref="J5:Y11" si="0">$I5*($AJ$4-J$4)/27</f>
        <v>5.2211165352676385</v>
      </c>
      <c r="K5" s="121">
        <f t="shared" si="0"/>
        <v>5.0203043608342677</v>
      </c>
      <c r="L5" s="121">
        <f t="shared" si="0"/>
        <v>4.8194921864008968</v>
      </c>
      <c r="M5" s="121">
        <f t="shared" si="0"/>
        <v>4.618680011967526</v>
      </c>
      <c r="N5" s="121">
        <f t="shared" si="0"/>
        <v>4.4178678375341551</v>
      </c>
      <c r="O5" s="121">
        <f t="shared" si="0"/>
        <v>4.2170556631007843</v>
      </c>
      <c r="P5" s="121">
        <f t="shared" si="0"/>
        <v>4.0162434886674134</v>
      </c>
      <c r="Q5" s="121">
        <f t="shared" si="0"/>
        <v>3.815431314234043</v>
      </c>
      <c r="R5" s="121">
        <f t="shared" si="0"/>
        <v>3.6146191398006722</v>
      </c>
      <c r="S5" s="121">
        <f t="shared" si="0"/>
        <v>3.4138069653673018</v>
      </c>
      <c r="T5" s="121">
        <f t="shared" si="0"/>
        <v>3.2129947909339309</v>
      </c>
      <c r="U5" s="121">
        <f t="shared" si="0"/>
        <v>3.0121826165005605</v>
      </c>
      <c r="V5" s="121">
        <f t="shared" si="0"/>
        <v>2.8113704420671897</v>
      </c>
      <c r="W5" s="121">
        <f t="shared" si="0"/>
        <v>2.6105582676338193</v>
      </c>
      <c r="X5" s="121">
        <f t="shared" si="0"/>
        <v>2.4097460932004484</v>
      </c>
      <c r="Y5" s="121">
        <f t="shared" si="0"/>
        <v>2.2089339187670776</v>
      </c>
      <c r="Z5" s="121">
        <f t="shared" ref="Z5:AJ11" si="1">$I5*($AJ$4-Z$4)/27</f>
        <v>2.0081217443337067</v>
      </c>
      <c r="AA5" s="121">
        <f t="shared" si="1"/>
        <v>1.8073095699003361</v>
      </c>
      <c r="AB5" s="121">
        <f t="shared" si="1"/>
        <v>1.6064973954669655</v>
      </c>
      <c r="AC5" s="121">
        <f t="shared" si="1"/>
        <v>1.4056852210335948</v>
      </c>
      <c r="AD5" s="121">
        <f t="shared" si="1"/>
        <v>1.2048730466002242</v>
      </c>
      <c r="AE5" s="121">
        <f t="shared" si="1"/>
        <v>1.0040608721668534</v>
      </c>
      <c r="AF5" s="121">
        <f t="shared" si="1"/>
        <v>0.80324869773348273</v>
      </c>
      <c r="AG5" s="121">
        <f t="shared" si="1"/>
        <v>0.6024365233001121</v>
      </c>
      <c r="AH5" s="121">
        <f t="shared" si="1"/>
        <v>0.40162434886674137</v>
      </c>
      <c r="AI5" s="121">
        <f t="shared" si="1"/>
        <v>0.20081217443337068</v>
      </c>
      <c r="AJ5" s="121">
        <f t="shared" si="1"/>
        <v>0</v>
      </c>
    </row>
    <row r="6" spans="2:36">
      <c r="B6" s="117" t="s">
        <v>173</v>
      </c>
      <c r="C6" s="122"/>
      <c r="E6" s="35" t="s">
        <v>12</v>
      </c>
      <c r="F6" s="121">
        <f>F$5</f>
        <v>-1</v>
      </c>
      <c r="H6" s="35" t="s">
        <v>12</v>
      </c>
      <c r="I6" s="121">
        <f>I$5</f>
        <v>5.4219287097010085</v>
      </c>
      <c r="J6" s="121">
        <f t="shared" si="0"/>
        <v>5.2211165352676385</v>
      </c>
      <c r="K6" s="121">
        <f t="shared" si="0"/>
        <v>5.0203043608342677</v>
      </c>
      <c r="L6" s="121">
        <f t="shared" si="0"/>
        <v>4.8194921864008968</v>
      </c>
      <c r="M6" s="121">
        <f t="shared" si="0"/>
        <v>4.618680011967526</v>
      </c>
      <c r="N6" s="121">
        <f t="shared" si="0"/>
        <v>4.4178678375341551</v>
      </c>
      <c r="O6" s="121">
        <f t="shared" si="0"/>
        <v>4.2170556631007843</v>
      </c>
      <c r="P6" s="121">
        <f t="shared" si="0"/>
        <v>4.0162434886674134</v>
      </c>
      <c r="Q6" s="121">
        <f t="shared" si="0"/>
        <v>3.815431314234043</v>
      </c>
      <c r="R6" s="121">
        <f t="shared" si="0"/>
        <v>3.6146191398006722</v>
      </c>
      <c r="S6" s="121">
        <f t="shared" si="0"/>
        <v>3.4138069653673018</v>
      </c>
      <c r="T6" s="121">
        <f t="shared" si="0"/>
        <v>3.2129947909339309</v>
      </c>
      <c r="U6" s="121">
        <f t="shared" si="0"/>
        <v>3.0121826165005605</v>
      </c>
      <c r="V6" s="121">
        <f t="shared" si="0"/>
        <v>2.8113704420671897</v>
      </c>
      <c r="W6" s="121">
        <f t="shared" si="0"/>
        <v>2.6105582676338193</v>
      </c>
      <c r="X6" s="121">
        <f t="shared" si="0"/>
        <v>2.4097460932004484</v>
      </c>
      <c r="Y6" s="121">
        <f t="shared" si="0"/>
        <v>2.2089339187670776</v>
      </c>
      <c r="Z6" s="121">
        <f t="shared" si="1"/>
        <v>2.0081217443337067</v>
      </c>
      <c r="AA6" s="121">
        <f t="shared" si="1"/>
        <v>1.8073095699003361</v>
      </c>
      <c r="AB6" s="121">
        <f t="shared" si="1"/>
        <v>1.6064973954669655</v>
      </c>
      <c r="AC6" s="121">
        <f t="shared" si="1"/>
        <v>1.4056852210335948</v>
      </c>
      <c r="AD6" s="121">
        <f t="shared" si="1"/>
        <v>1.2048730466002242</v>
      </c>
      <c r="AE6" s="121">
        <f t="shared" si="1"/>
        <v>1.0040608721668534</v>
      </c>
      <c r="AF6" s="121">
        <f t="shared" si="1"/>
        <v>0.80324869773348273</v>
      </c>
      <c r="AG6" s="121">
        <f t="shared" si="1"/>
        <v>0.6024365233001121</v>
      </c>
      <c r="AH6" s="121">
        <f t="shared" si="1"/>
        <v>0.40162434886674137</v>
      </c>
      <c r="AI6" s="121">
        <f t="shared" si="1"/>
        <v>0.20081217443337068</v>
      </c>
      <c r="AJ6" s="121">
        <f t="shared" si="1"/>
        <v>0</v>
      </c>
    </row>
    <row r="7" spans="2:36">
      <c r="B7" s="117" t="s">
        <v>173</v>
      </c>
      <c r="C7" s="122"/>
      <c r="E7" s="35" t="s">
        <v>15</v>
      </c>
      <c r="F7" s="121">
        <f>F$5</f>
        <v>-1</v>
      </c>
      <c r="H7" s="35" t="s">
        <v>15</v>
      </c>
      <c r="I7" s="121">
        <f>I$5</f>
        <v>5.4219287097010085</v>
      </c>
      <c r="J7" s="121">
        <f t="shared" si="0"/>
        <v>5.2211165352676385</v>
      </c>
      <c r="K7" s="121">
        <f t="shared" si="0"/>
        <v>5.0203043608342677</v>
      </c>
      <c r="L7" s="121">
        <f t="shared" si="0"/>
        <v>4.8194921864008968</v>
      </c>
      <c r="M7" s="121">
        <f t="shared" si="0"/>
        <v>4.618680011967526</v>
      </c>
      <c r="N7" s="121">
        <f t="shared" si="0"/>
        <v>4.4178678375341551</v>
      </c>
      <c r="O7" s="121">
        <f t="shared" si="0"/>
        <v>4.2170556631007843</v>
      </c>
      <c r="P7" s="121">
        <f t="shared" si="0"/>
        <v>4.0162434886674134</v>
      </c>
      <c r="Q7" s="121">
        <f t="shared" si="0"/>
        <v>3.815431314234043</v>
      </c>
      <c r="R7" s="121">
        <f t="shared" si="0"/>
        <v>3.6146191398006722</v>
      </c>
      <c r="S7" s="121">
        <f t="shared" si="0"/>
        <v>3.4138069653673018</v>
      </c>
      <c r="T7" s="121">
        <f t="shared" si="0"/>
        <v>3.2129947909339309</v>
      </c>
      <c r="U7" s="121">
        <f t="shared" si="0"/>
        <v>3.0121826165005605</v>
      </c>
      <c r="V7" s="121">
        <f t="shared" si="0"/>
        <v>2.8113704420671897</v>
      </c>
      <c r="W7" s="121">
        <f t="shared" si="0"/>
        <v>2.6105582676338193</v>
      </c>
      <c r="X7" s="121">
        <f t="shared" si="0"/>
        <v>2.4097460932004484</v>
      </c>
      <c r="Y7" s="121">
        <f t="shared" si="0"/>
        <v>2.2089339187670776</v>
      </c>
      <c r="Z7" s="121">
        <f t="shared" si="1"/>
        <v>2.0081217443337067</v>
      </c>
      <c r="AA7" s="121">
        <f t="shared" si="1"/>
        <v>1.8073095699003361</v>
      </c>
      <c r="AB7" s="121">
        <f t="shared" si="1"/>
        <v>1.6064973954669655</v>
      </c>
      <c r="AC7" s="121">
        <f t="shared" si="1"/>
        <v>1.4056852210335948</v>
      </c>
      <c r="AD7" s="121">
        <f t="shared" si="1"/>
        <v>1.2048730466002242</v>
      </c>
      <c r="AE7" s="121">
        <f t="shared" si="1"/>
        <v>1.0040608721668534</v>
      </c>
      <c r="AF7" s="121">
        <f t="shared" si="1"/>
        <v>0.80324869773348273</v>
      </c>
      <c r="AG7" s="121">
        <f t="shared" si="1"/>
        <v>0.6024365233001121</v>
      </c>
      <c r="AH7" s="121">
        <f t="shared" si="1"/>
        <v>0.40162434886674137</v>
      </c>
      <c r="AI7" s="121">
        <f t="shared" si="1"/>
        <v>0.20081217443337068</v>
      </c>
      <c r="AJ7" s="121">
        <f t="shared" si="1"/>
        <v>0</v>
      </c>
    </row>
    <row r="8" spans="2:36">
      <c r="B8" s="117" t="s">
        <v>173</v>
      </c>
      <c r="C8" s="122"/>
      <c r="E8" s="35" t="s">
        <v>19</v>
      </c>
      <c r="F8" s="121">
        <f t="shared" ref="F8:F11" si="2">F$5</f>
        <v>-1</v>
      </c>
      <c r="H8" s="35" t="s">
        <v>19</v>
      </c>
      <c r="I8" s="121">
        <f>I$5</f>
        <v>5.4219287097010085</v>
      </c>
      <c r="J8" s="121">
        <f t="shared" si="0"/>
        <v>5.2211165352676385</v>
      </c>
      <c r="K8" s="121">
        <f t="shared" si="0"/>
        <v>5.0203043608342677</v>
      </c>
      <c r="L8" s="121">
        <f t="shared" si="0"/>
        <v>4.8194921864008968</v>
      </c>
      <c r="M8" s="121">
        <f t="shared" si="0"/>
        <v>4.618680011967526</v>
      </c>
      <c r="N8" s="121">
        <f t="shared" si="0"/>
        <v>4.4178678375341551</v>
      </c>
      <c r="O8" s="121">
        <f t="shared" si="0"/>
        <v>4.2170556631007843</v>
      </c>
      <c r="P8" s="121">
        <f t="shared" si="0"/>
        <v>4.0162434886674134</v>
      </c>
      <c r="Q8" s="121">
        <f t="shared" si="0"/>
        <v>3.815431314234043</v>
      </c>
      <c r="R8" s="121">
        <f t="shared" si="0"/>
        <v>3.6146191398006722</v>
      </c>
      <c r="S8" s="121">
        <f t="shared" si="0"/>
        <v>3.4138069653673018</v>
      </c>
      <c r="T8" s="121">
        <f t="shared" si="0"/>
        <v>3.2129947909339309</v>
      </c>
      <c r="U8" s="121">
        <f t="shared" si="0"/>
        <v>3.0121826165005605</v>
      </c>
      <c r="V8" s="121">
        <f t="shared" si="0"/>
        <v>2.8113704420671897</v>
      </c>
      <c r="W8" s="121">
        <f t="shared" si="0"/>
        <v>2.6105582676338193</v>
      </c>
      <c r="X8" s="121">
        <f t="shared" si="0"/>
        <v>2.4097460932004484</v>
      </c>
      <c r="Y8" s="121">
        <f t="shared" si="0"/>
        <v>2.2089339187670776</v>
      </c>
      <c r="Z8" s="121">
        <f t="shared" si="1"/>
        <v>2.0081217443337067</v>
      </c>
      <c r="AA8" s="121">
        <f t="shared" si="1"/>
        <v>1.8073095699003361</v>
      </c>
      <c r="AB8" s="121">
        <f t="shared" si="1"/>
        <v>1.6064973954669655</v>
      </c>
      <c r="AC8" s="121">
        <f t="shared" si="1"/>
        <v>1.4056852210335948</v>
      </c>
      <c r="AD8" s="121">
        <f t="shared" si="1"/>
        <v>1.2048730466002242</v>
      </c>
      <c r="AE8" s="121">
        <f t="shared" si="1"/>
        <v>1.0040608721668534</v>
      </c>
      <c r="AF8" s="121">
        <f t="shared" si="1"/>
        <v>0.80324869773348273</v>
      </c>
      <c r="AG8" s="121">
        <f t="shared" si="1"/>
        <v>0.6024365233001121</v>
      </c>
      <c r="AH8" s="121">
        <f t="shared" si="1"/>
        <v>0.40162434886674137</v>
      </c>
      <c r="AI8" s="121">
        <f t="shared" si="1"/>
        <v>0.20081217443337068</v>
      </c>
      <c r="AJ8" s="121">
        <f t="shared" si="1"/>
        <v>0</v>
      </c>
    </row>
    <row r="9" spans="2:36">
      <c r="B9" s="117" t="s">
        <v>173</v>
      </c>
      <c r="C9" s="122"/>
      <c r="E9" s="35" t="s">
        <v>22</v>
      </c>
      <c r="F9" s="121">
        <f t="shared" si="2"/>
        <v>-1</v>
      </c>
      <c r="H9" s="35" t="s">
        <v>22</v>
      </c>
      <c r="I9" s="121">
        <f>I$5</f>
        <v>5.4219287097010085</v>
      </c>
      <c r="J9" s="121">
        <f t="shared" si="0"/>
        <v>5.2211165352676385</v>
      </c>
      <c r="K9" s="121">
        <f t="shared" si="0"/>
        <v>5.0203043608342677</v>
      </c>
      <c r="L9" s="121">
        <f t="shared" si="0"/>
        <v>4.8194921864008968</v>
      </c>
      <c r="M9" s="121">
        <f t="shared" si="0"/>
        <v>4.618680011967526</v>
      </c>
      <c r="N9" s="121">
        <f t="shared" si="0"/>
        <v>4.4178678375341551</v>
      </c>
      <c r="O9" s="121">
        <f t="shared" si="0"/>
        <v>4.2170556631007843</v>
      </c>
      <c r="P9" s="121">
        <f t="shared" si="0"/>
        <v>4.0162434886674134</v>
      </c>
      <c r="Q9" s="121">
        <f t="shared" si="0"/>
        <v>3.815431314234043</v>
      </c>
      <c r="R9" s="121">
        <f t="shared" si="0"/>
        <v>3.6146191398006722</v>
      </c>
      <c r="S9" s="121">
        <f t="shared" si="0"/>
        <v>3.4138069653673018</v>
      </c>
      <c r="T9" s="121">
        <f t="shared" si="0"/>
        <v>3.2129947909339309</v>
      </c>
      <c r="U9" s="121">
        <f t="shared" si="0"/>
        <v>3.0121826165005605</v>
      </c>
      <c r="V9" s="121">
        <f t="shared" si="0"/>
        <v>2.8113704420671897</v>
      </c>
      <c r="W9" s="121">
        <f t="shared" si="0"/>
        <v>2.6105582676338193</v>
      </c>
      <c r="X9" s="121">
        <f t="shared" si="0"/>
        <v>2.4097460932004484</v>
      </c>
      <c r="Y9" s="121">
        <f t="shared" si="0"/>
        <v>2.2089339187670776</v>
      </c>
      <c r="Z9" s="121">
        <f t="shared" si="1"/>
        <v>2.0081217443337067</v>
      </c>
      <c r="AA9" s="121">
        <f t="shared" si="1"/>
        <v>1.8073095699003361</v>
      </c>
      <c r="AB9" s="121">
        <f t="shared" si="1"/>
        <v>1.6064973954669655</v>
      </c>
      <c r="AC9" s="121">
        <f t="shared" si="1"/>
        <v>1.4056852210335948</v>
      </c>
      <c r="AD9" s="121">
        <f t="shared" si="1"/>
        <v>1.2048730466002242</v>
      </c>
      <c r="AE9" s="121">
        <f t="shared" si="1"/>
        <v>1.0040608721668534</v>
      </c>
      <c r="AF9" s="121">
        <f t="shared" si="1"/>
        <v>0.80324869773348273</v>
      </c>
      <c r="AG9" s="121">
        <f t="shared" si="1"/>
        <v>0.6024365233001121</v>
      </c>
      <c r="AH9" s="121">
        <f t="shared" si="1"/>
        <v>0.40162434886674137</v>
      </c>
      <c r="AI9" s="121">
        <f t="shared" si="1"/>
        <v>0.20081217443337068</v>
      </c>
      <c r="AJ9" s="121">
        <f t="shared" si="1"/>
        <v>0</v>
      </c>
    </row>
    <row r="10" spans="2:36">
      <c r="B10" s="117" t="s">
        <v>173</v>
      </c>
      <c r="C10" s="122"/>
      <c r="E10" s="35" t="s">
        <v>24</v>
      </c>
      <c r="F10" s="121">
        <f t="shared" si="2"/>
        <v>-1</v>
      </c>
      <c r="H10" s="35" t="s">
        <v>24</v>
      </c>
      <c r="I10" s="78">
        <f>MAX(I$5, $I$5/2)</f>
        <v>5.4219287097010085</v>
      </c>
      <c r="J10" s="121">
        <f t="shared" si="0"/>
        <v>5.2211165352676385</v>
      </c>
      <c r="K10" s="121">
        <f t="shared" si="0"/>
        <v>5.0203043608342677</v>
      </c>
      <c r="L10" s="121">
        <f t="shared" si="0"/>
        <v>4.8194921864008968</v>
      </c>
      <c r="M10" s="121">
        <f t="shared" si="0"/>
        <v>4.618680011967526</v>
      </c>
      <c r="N10" s="121">
        <f t="shared" si="0"/>
        <v>4.4178678375341551</v>
      </c>
      <c r="O10" s="121">
        <f t="shared" si="0"/>
        <v>4.2170556631007843</v>
      </c>
      <c r="P10" s="121">
        <f t="shared" si="0"/>
        <v>4.0162434886674134</v>
      </c>
      <c r="Q10" s="121">
        <f t="shared" si="0"/>
        <v>3.815431314234043</v>
      </c>
      <c r="R10" s="121">
        <f t="shared" si="0"/>
        <v>3.6146191398006722</v>
      </c>
      <c r="S10" s="121">
        <f t="shared" si="0"/>
        <v>3.4138069653673018</v>
      </c>
      <c r="T10" s="121">
        <f t="shared" si="0"/>
        <v>3.2129947909339309</v>
      </c>
      <c r="U10" s="121">
        <f t="shared" si="0"/>
        <v>3.0121826165005605</v>
      </c>
      <c r="V10" s="121">
        <f t="shared" si="0"/>
        <v>2.8113704420671897</v>
      </c>
      <c r="W10" s="121">
        <f t="shared" si="0"/>
        <v>2.6105582676338193</v>
      </c>
      <c r="X10" s="121">
        <f t="shared" si="0"/>
        <v>2.4097460932004484</v>
      </c>
      <c r="Y10" s="121">
        <f t="shared" si="0"/>
        <v>2.2089339187670776</v>
      </c>
      <c r="Z10" s="121">
        <f t="shared" si="1"/>
        <v>2.0081217443337067</v>
      </c>
      <c r="AA10" s="121">
        <f t="shared" si="1"/>
        <v>1.8073095699003361</v>
      </c>
      <c r="AB10" s="121">
        <f t="shared" si="1"/>
        <v>1.6064973954669655</v>
      </c>
      <c r="AC10" s="121">
        <f t="shared" si="1"/>
        <v>1.4056852210335948</v>
      </c>
      <c r="AD10" s="121">
        <f t="shared" si="1"/>
        <v>1.2048730466002242</v>
      </c>
      <c r="AE10" s="121">
        <f t="shared" si="1"/>
        <v>1.0040608721668534</v>
      </c>
      <c r="AF10" s="121">
        <f t="shared" si="1"/>
        <v>0.80324869773348273</v>
      </c>
      <c r="AG10" s="121">
        <f t="shared" si="1"/>
        <v>0.6024365233001121</v>
      </c>
      <c r="AH10" s="121">
        <f t="shared" si="1"/>
        <v>0.40162434886674137</v>
      </c>
      <c r="AI10" s="121">
        <f t="shared" si="1"/>
        <v>0.20081217443337068</v>
      </c>
      <c r="AJ10" s="121">
        <f t="shared" si="1"/>
        <v>0</v>
      </c>
    </row>
    <row r="11" spans="2:36">
      <c r="B11" s="117" t="s">
        <v>173</v>
      </c>
      <c r="C11" s="122"/>
      <c r="E11" s="35" t="s">
        <v>25</v>
      </c>
      <c r="F11" s="121">
        <f t="shared" si="2"/>
        <v>-1</v>
      </c>
      <c r="H11" s="35" t="s">
        <v>25</v>
      </c>
      <c r="I11" s="78">
        <f>MAX(I$5, $I$5/2)</f>
        <v>5.4219287097010085</v>
      </c>
      <c r="J11" s="121">
        <f t="shared" si="0"/>
        <v>5.2211165352676385</v>
      </c>
      <c r="K11" s="121">
        <f t="shared" si="0"/>
        <v>5.0203043608342677</v>
      </c>
      <c r="L11" s="121">
        <f t="shared" si="0"/>
        <v>4.8194921864008968</v>
      </c>
      <c r="M11" s="121">
        <f t="shared" si="0"/>
        <v>4.618680011967526</v>
      </c>
      <c r="N11" s="121">
        <f t="shared" si="0"/>
        <v>4.4178678375341551</v>
      </c>
      <c r="O11" s="121">
        <f t="shared" si="0"/>
        <v>4.2170556631007843</v>
      </c>
      <c r="P11" s="121">
        <f t="shared" si="0"/>
        <v>4.0162434886674134</v>
      </c>
      <c r="Q11" s="121">
        <f t="shared" si="0"/>
        <v>3.815431314234043</v>
      </c>
      <c r="R11" s="121">
        <f t="shared" si="0"/>
        <v>3.6146191398006722</v>
      </c>
      <c r="S11" s="121">
        <f t="shared" si="0"/>
        <v>3.4138069653673018</v>
      </c>
      <c r="T11" s="121">
        <f t="shared" si="0"/>
        <v>3.2129947909339309</v>
      </c>
      <c r="U11" s="121">
        <f t="shared" si="0"/>
        <v>3.0121826165005605</v>
      </c>
      <c r="V11" s="121">
        <f t="shared" si="0"/>
        <v>2.8113704420671897</v>
      </c>
      <c r="W11" s="121">
        <f t="shared" si="0"/>
        <v>2.6105582676338193</v>
      </c>
      <c r="X11" s="121">
        <f t="shared" si="0"/>
        <v>2.4097460932004484</v>
      </c>
      <c r="Y11" s="121">
        <f t="shared" si="0"/>
        <v>2.2089339187670776</v>
      </c>
      <c r="Z11" s="121">
        <f t="shared" si="1"/>
        <v>2.0081217443337067</v>
      </c>
      <c r="AA11" s="121">
        <f t="shared" si="1"/>
        <v>1.8073095699003361</v>
      </c>
      <c r="AB11" s="121">
        <f t="shared" si="1"/>
        <v>1.6064973954669655</v>
      </c>
      <c r="AC11" s="121">
        <f t="shared" si="1"/>
        <v>1.4056852210335948</v>
      </c>
      <c r="AD11" s="121">
        <f t="shared" si="1"/>
        <v>1.2048730466002242</v>
      </c>
      <c r="AE11" s="121">
        <f t="shared" si="1"/>
        <v>1.0040608721668534</v>
      </c>
      <c r="AF11" s="121">
        <f t="shared" si="1"/>
        <v>0.80324869773348273</v>
      </c>
      <c r="AG11" s="121">
        <f t="shared" si="1"/>
        <v>0.6024365233001121</v>
      </c>
      <c r="AH11" s="121">
        <f t="shared" si="1"/>
        <v>0.40162434886674137</v>
      </c>
      <c r="AI11" s="121">
        <f t="shared" si="1"/>
        <v>0.20081217443337068</v>
      </c>
      <c r="AJ11" s="121">
        <f t="shared" si="1"/>
        <v>0</v>
      </c>
    </row>
    <row r="12" spans="2:36">
      <c r="B12" s="117" t="s">
        <v>173</v>
      </c>
      <c r="C12" s="122"/>
      <c r="E12" s="117"/>
      <c r="F12" s="121"/>
      <c r="H12" s="117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</row>
    <row r="13" spans="2:36">
      <c r="B13" s="117" t="s">
        <v>173</v>
      </c>
      <c r="C13" s="122"/>
      <c r="E13" s="117"/>
      <c r="F13" s="121"/>
      <c r="H13" s="117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</row>
    <row r="14" spans="2:36">
      <c r="B14" s="117" t="s">
        <v>173</v>
      </c>
      <c r="C14" s="122"/>
      <c r="E14" s="117"/>
      <c r="F14" s="121"/>
      <c r="H14" s="117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</row>
    <row r="15" spans="2:36"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</row>
    <row r="16" spans="2:36">
      <c r="B16" s="113" t="s">
        <v>168</v>
      </c>
      <c r="E16" s="113" t="s">
        <v>267</v>
      </c>
      <c r="H16" s="113" t="s">
        <v>65</v>
      </c>
      <c r="I16" s="115">
        <v>2023</v>
      </c>
      <c r="J16" s="115">
        <v>2024</v>
      </c>
      <c r="K16" s="115">
        <v>2025</v>
      </c>
      <c r="L16" s="115">
        <v>2026</v>
      </c>
      <c r="M16" s="115">
        <v>2027</v>
      </c>
      <c r="N16" s="115">
        <v>2028</v>
      </c>
      <c r="O16" s="115">
        <v>2029</v>
      </c>
      <c r="P16" s="115">
        <v>2030</v>
      </c>
      <c r="Q16" s="115">
        <v>2031</v>
      </c>
      <c r="R16" s="115">
        <v>2032</v>
      </c>
      <c r="S16" s="115">
        <v>2033</v>
      </c>
      <c r="T16" s="115">
        <v>2034</v>
      </c>
      <c r="U16" s="115">
        <v>2035</v>
      </c>
      <c r="V16" s="115">
        <v>2036</v>
      </c>
      <c r="W16" s="115">
        <v>2037</v>
      </c>
      <c r="X16" s="115">
        <v>2038</v>
      </c>
      <c r="Y16" s="115">
        <v>2039</v>
      </c>
      <c r="Z16" s="115">
        <v>2040</v>
      </c>
      <c r="AA16" s="115">
        <v>2041</v>
      </c>
      <c r="AB16" s="115">
        <v>2042</v>
      </c>
      <c r="AC16" s="115">
        <v>2043</v>
      </c>
      <c r="AD16" s="115">
        <v>2044</v>
      </c>
      <c r="AE16" s="115">
        <v>2045</v>
      </c>
      <c r="AF16" s="115">
        <v>2046</v>
      </c>
      <c r="AG16" s="115">
        <v>2047</v>
      </c>
      <c r="AH16" s="115">
        <v>2048</v>
      </c>
      <c r="AI16" s="115">
        <v>2049</v>
      </c>
      <c r="AJ16" s="115">
        <v>2050</v>
      </c>
    </row>
    <row r="17" spans="2:36">
      <c r="B17" s="117" t="s">
        <v>8</v>
      </c>
      <c r="C17" s="124">
        <f>'1.Input data Coal India'!E5</f>
        <v>402913</v>
      </c>
      <c r="E17" s="117" t="s">
        <v>8</v>
      </c>
      <c r="F17" s="119">
        <v>0.1</v>
      </c>
      <c r="H17" s="117" t="s">
        <v>8</v>
      </c>
      <c r="I17" s="125">
        <f>'1.Input data Coal India'!E23</f>
        <v>0.58425955923502249</v>
      </c>
      <c r="J17" s="121">
        <f t="shared" ref="J17:AJ17" si="3">$I17*($AJ$16-J$16)/27</f>
        <v>0.562620316300392</v>
      </c>
      <c r="K17" s="121">
        <f t="shared" si="3"/>
        <v>0.54098107336576162</v>
      </c>
      <c r="L17" s="121">
        <f t="shared" si="3"/>
        <v>0.51934183043113102</v>
      </c>
      <c r="M17" s="121">
        <f t="shared" si="3"/>
        <v>0.49770258749650059</v>
      </c>
      <c r="N17" s="121">
        <f t="shared" si="3"/>
        <v>0.47606334456187016</v>
      </c>
      <c r="O17" s="121">
        <f t="shared" si="3"/>
        <v>0.45442410162723973</v>
      </c>
      <c r="P17" s="121">
        <f t="shared" si="3"/>
        <v>0.43278485869260924</v>
      </c>
      <c r="Q17" s="121">
        <f t="shared" si="3"/>
        <v>0.41114561575797881</v>
      </c>
      <c r="R17" s="121">
        <f t="shared" si="3"/>
        <v>0.38950637282334832</v>
      </c>
      <c r="S17" s="121">
        <f t="shared" si="3"/>
        <v>0.36786712988871784</v>
      </c>
      <c r="T17" s="121">
        <f t="shared" si="3"/>
        <v>0.3462278869540874</v>
      </c>
      <c r="U17" s="121">
        <f t="shared" si="3"/>
        <v>0.32458864401945697</v>
      </c>
      <c r="V17" s="121">
        <f t="shared" si="3"/>
        <v>0.30294940108482649</v>
      </c>
      <c r="W17" s="121">
        <f t="shared" si="3"/>
        <v>0.281310158150196</v>
      </c>
      <c r="X17" s="121">
        <f t="shared" si="3"/>
        <v>0.25967091521556551</v>
      </c>
      <c r="Y17" s="121">
        <f t="shared" si="3"/>
        <v>0.23803167228093508</v>
      </c>
      <c r="Z17" s="121">
        <f t="shared" si="3"/>
        <v>0.21639242934630462</v>
      </c>
      <c r="AA17" s="121">
        <f t="shared" si="3"/>
        <v>0.19475318641167416</v>
      </c>
      <c r="AB17" s="121">
        <f t="shared" si="3"/>
        <v>0.1731139434770437</v>
      </c>
      <c r="AC17" s="121">
        <f t="shared" si="3"/>
        <v>0.15147470054241324</v>
      </c>
      <c r="AD17" s="121">
        <f t="shared" si="3"/>
        <v>0.12983545760778276</v>
      </c>
      <c r="AE17" s="121">
        <f t="shared" si="3"/>
        <v>0.10819621467315231</v>
      </c>
      <c r="AF17" s="121">
        <f t="shared" si="3"/>
        <v>8.6556971738521851E-2</v>
      </c>
      <c r="AG17" s="121">
        <f t="shared" si="3"/>
        <v>6.4917728803891378E-2</v>
      </c>
      <c r="AH17" s="121">
        <f t="shared" si="3"/>
        <v>4.3278485869260926E-2</v>
      </c>
      <c r="AI17" s="121">
        <f t="shared" si="3"/>
        <v>2.1639242934630463E-2</v>
      </c>
      <c r="AJ17" s="121">
        <f t="shared" si="3"/>
        <v>0</v>
      </c>
    </row>
    <row r="18" spans="2:36">
      <c r="B18" s="117" t="s">
        <v>173</v>
      </c>
      <c r="C18" s="122"/>
      <c r="E18" s="35" t="s">
        <v>12</v>
      </c>
      <c r="F18" s="121">
        <f>F$17</f>
        <v>0.1</v>
      </c>
      <c r="H18" s="35" t="s">
        <v>12</v>
      </c>
      <c r="I18" s="123">
        <f t="shared" ref="I18:X23" si="4">I$17</f>
        <v>0.58425955923502249</v>
      </c>
      <c r="J18" s="121">
        <f t="shared" si="4"/>
        <v>0.562620316300392</v>
      </c>
      <c r="K18" s="121">
        <f t="shared" si="4"/>
        <v>0.54098107336576162</v>
      </c>
      <c r="L18" s="121">
        <f t="shared" si="4"/>
        <v>0.51934183043113102</v>
      </c>
      <c r="M18" s="121">
        <f t="shared" si="4"/>
        <v>0.49770258749650059</v>
      </c>
      <c r="N18" s="121">
        <f t="shared" si="4"/>
        <v>0.47606334456187016</v>
      </c>
      <c r="O18" s="121">
        <f t="shared" si="4"/>
        <v>0.45442410162723973</v>
      </c>
      <c r="P18" s="121">
        <f t="shared" si="4"/>
        <v>0.43278485869260924</v>
      </c>
      <c r="Q18" s="121">
        <f t="shared" si="4"/>
        <v>0.41114561575797881</v>
      </c>
      <c r="R18" s="121">
        <f t="shared" si="4"/>
        <v>0.38950637282334832</v>
      </c>
      <c r="S18" s="121">
        <f t="shared" si="4"/>
        <v>0.36786712988871784</v>
      </c>
      <c r="T18" s="121">
        <f t="shared" si="4"/>
        <v>0.3462278869540874</v>
      </c>
      <c r="U18" s="121">
        <f t="shared" si="4"/>
        <v>0.32458864401945697</v>
      </c>
      <c r="V18" s="121">
        <f t="shared" si="4"/>
        <v>0.30294940108482649</v>
      </c>
      <c r="W18" s="121">
        <f t="shared" si="4"/>
        <v>0.281310158150196</v>
      </c>
      <c r="X18" s="121">
        <f t="shared" si="4"/>
        <v>0.25967091521556551</v>
      </c>
      <c r="Y18" s="121">
        <f t="shared" ref="Y18:AJ23" si="5">Y$17</f>
        <v>0.23803167228093508</v>
      </c>
      <c r="Z18" s="121">
        <f t="shared" si="5"/>
        <v>0.21639242934630462</v>
      </c>
      <c r="AA18" s="121">
        <f t="shared" si="5"/>
        <v>0.19475318641167416</v>
      </c>
      <c r="AB18" s="121">
        <f t="shared" si="5"/>
        <v>0.1731139434770437</v>
      </c>
      <c r="AC18" s="121">
        <f t="shared" si="5"/>
        <v>0.15147470054241324</v>
      </c>
      <c r="AD18" s="121">
        <f t="shared" si="5"/>
        <v>0.12983545760778276</v>
      </c>
      <c r="AE18" s="121">
        <f t="shared" si="5"/>
        <v>0.10819621467315231</v>
      </c>
      <c r="AF18" s="121">
        <f t="shared" si="5"/>
        <v>8.6556971738521851E-2</v>
      </c>
      <c r="AG18" s="121">
        <f t="shared" si="5"/>
        <v>6.4917728803891378E-2</v>
      </c>
      <c r="AH18" s="121">
        <f t="shared" si="5"/>
        <v>4.3278485869260926E-2</v>
      </c>
      <c r="AI18" s="121">
        <f t="shared" si="5"/>
        <v>2.1639242934630463E-2</v>
      </c>
      <c r="AJ18" s="121">
        <f t="shared" si="5"/>
        <v>0</v>
      </c>
    </row>
    <row r="19" spans="2:36">
      <c r="B19" s="117" t="s">
        <v>173</v>
      </c>
      <c r="C19" s="122"/>
      <c r="E19" s="35" t="s">
        <v>15</v>
      </c>
      <c r="F19" s="121">
        <f t="shared" ref="F19:F22" si="6">F$17</f>
        <v>0.1</v>
      </c>
      <c r="H19" s="35" t="s">
        <v>15</v>
      </c>
      <c r="I19" s="123">
        <f t="shared" si="4"/>
        <v>0.58425955923502249</v>
      </c>
      <c r="J19" s="121">
        <f t="shared" si="4"/>
        <v>0.562620316300392</v>
      </c>
      <c r="K19" s="121">
        <f t="shared" si="4"/>
        <v>0.54098107336576162</v>
      </c>
      <c r="L19" s="121">
        <f t="shared" si="4"/>
        <v>0.51934183043113102</v>
      </c>
      <c r="M19" s="121">
        <f t="shared" si="4"/>
        <v>0.49770258749650059</v>
      </c>
      <c r="N19" s="121">
        <f t="shared" si="4"/>
        <v>0.47606334456187016</v>
      </c>
      <c r="O19" s="121">
        <f t="shared" si="4"/>
        <v>0.45442410162723973</v>
      </c>
      <c r="P19" s="121">
        <f t="shared" si="4"/>
        <v>0.43278485869260924</v>
      </c>
      <c r="Q19" s="121">
        <f t="shared" si="4"/>
        <v>0.41114561575797881</v>
      </c>
      <c r="R19" s="121">
        <f t="shared" si="4"/>
        <v>0.38950637282334832</v>
      </c>
      <c r="S19" s="121">
        <f t="shared" si="4"/>
        <v>0.36786712988871784</v>
      </c>
      <c r="T19" s="121">
        <f t="shared" si="4"/>
        <v>0.3462278869540874</v>
      </c>
      <c r="U19" s="121">
        <f t="shared" si="4"/>
        <v>0.32458864401945697</v>
      </c>
      <c r="V19" s="121">
        <f t="shared" si="4"/>
        <v>0.30294940108482649</v>
      </c>
      <c r="W19" s="121">
        <f t="shared" si="4"/>
        <v>0.281310158150196</v>
      </c>
      <c r="X19" s="121">
        <f t="shared" si="4"/>
        <v>0.25967091521556551</v>
      </c>
      <c r="Y19" s="121">
        <f t="shared" si="5"/>
        <v>0.23803167228093508</v>
      </c>
      <c r="Z19" s="121">
        <f t="shared" si="5"/>
        <v>0.21639242934630462</v>
      </c>
      <c r="AA19" s="121">
        <f t="shared" si="5"/>
        <v>0.19475318641167416</v>
      </c>
      <c r="AB19" s="121">
        <f t="shared" si="5"/>
        <v>0.1731139434770437</v>
      </c>
      <c r="AC19" s="121">
        <f t="shared" si="5"/>
        <v>0.15147470054241324</v>
      </c>
      <c r="AD19" s="121">
        <f t="shared" si="5"/>
        <v>0.12983545760778276</v>
      </c>
      <c r="AE19" s="121">
        <f t="shared" si="5"/>
        <v>0.10819621467315231</v>
      </c>
      <c r="AF19" s="121">
        <f t="shared" si="5"/>
        <v>8.6556971738521851E-2</v>
      </c>
      <c r="AG19" s="121">
        <f t="shared" si="5"/>
        <v>6.4917728803891378E-2</v>
      </c>
      <c r="AH19" s="121">
        <f t="shared" si="5"/>
        <v>4.3278485869260926E-2</v>
      </c>
      <c r="AI19" s="121">
        <f t="shared" si="5"/>
        <v>2.1639242934630463E-2</v>
      </c>
      <c r="AJ19" s="121">
        <f t="shared" si="5"/>
        <v>0</v>
      </c>
    </row>
    <row r="20" spans="2:36">
      <c r="B20" s="117" t="s">
        <v>173</v>
      </c>
      <c r="C20" s="122"/>
      <c r="E20" s="35" t="s">
        <v>19</v>
      </c>
      <c r="F20" s="121">
        <f t="shared" si="6"/>
        <v>0.1</v>
      </c>
      <c r="H20" s="35" t="s">
        <v>19</v>
      </c>
      <c r="I20" s="123">
        <f t="shared" si="4"/>
        <v>0.58425955923502249</v>
      </c>
      <c r="J20" s="121">
        <f t="shared" si="4"/>
        <v>0.562620316300392</v>
      </c>
      <c r="K20" s="121">
        <f t="shared" si="4"/>
        <v>0.54098107336576162</v>
      </c>
      <c r="L20" s="121">
        <f t="shared" si="4"/>
        <v>0.51934183043113102</v>
      </c>
      <c r="M20" s="121">
        <f t="shared" si="4"/>
        <v>0.49770258749650059</v>
      </c>
      <c r="N20" s="121">
        <f t="shared" si="4"/>
        <v>0.47606334456187016</v>
      </c>
      <c r="O20" s="121">
        <f t="shared" si="4"/>
        <v>0.45442410162723973</v>
      </c>
      <c r="P20" s="121">
        <f t="shared" si="4"/>
        <v>0.43278485869260924</v>
      </c>
      <c r="Q20" s="121">
        <f t="shared" si="4"/>
        <v>0.41114561575797881</v>
      </c>
      <c r="R20" s="121">
        <f t="shared" si="4"/>
        <v>0.38950637282334832</v>
      </c>
      <c r="S20" s="121">
        <f t="shared" si="4"/>
        <v>0.36786712988871784</v>
      </c>
      <c r="T20" s="121">
        <f t="shared" si="4"/>
        <v>0.3462278869540874</v>
      </c>
      <c r="U20" s="121">
        <f t="shared" si="4"/>
        <v>0.32458864401945697</v>
      </c>
      <c r="V20" s="121">
        <f t="shared" si="4"/>
        <v>0.30294940108482649</v>
      </c>
      <c r="W20" s="121">
        <f t="shared" si="4"/>
        <v>0.281310158150196</v>
      </c>
      <c r="X20" s="121">
        <f t="shared" si="4"/>
        <v>0.25967091521556551</v>
      </c>
      <c r="Y20" s="121">
        <f t="shared" si="5"/>
        <v>0.23803167228093508</v>
      </c>
      <c r="Z20" s="121">
        <f t="shared" si="5"/>
        <v>0.21639242934630462</v>
      </c>
      <c r="AA20" s="121">
        <f t="shared" si="5"/>
        <v>0.19475318641167416</v>
      </c>
      <c r="AB20" s="121">
        <f t="shared" si="5"/>
        <v>0.1731139434770437</v>
      </c>
      <c r="AC20" s="121">
        <f t="shared" si="5"/>
        <v>0.15147470054241324</v>
      </c>
      <c r="AD20" s="121">
        <f t="shared" si="5"/>
        <v>0.12983545760778276</v>
      </c>
      <c r="AE20" s="121">
        <f t="shared" si="5"/>
        <v>0.10819621467315231</v>
      </c>
      <c r="AF20" s="121">
        <f t="shared" si="5"/>
        <v>8.6556971738521851E-2</v>
      </c>
      <c r="AG20" s="121">
        <f t="shared" si="5"/>
        <v>6.4917728803891378E-2</v>
      </c>
      <c r="AH20" s="121">
        <f t="shared" si="5"/>
        <v>4.3278485869260926E-2</v>
      </c>
      <c r="AI20" s="121">
        <f t="shared" si="5"/>
        <v>2.1639242934630463E-2</v>
      </c>
      <c r="AJ20" s="121">
        <f t="shared" si="5"/>
        <v>0</v>
      </c>
    </row>
    <row r="21" spans="2:36">
      <c r="B21" s="117" t="s">
        <v>173</v>
      </c>
      <c r="C21" s="122"/>
      <c r="E21" s="35" t="s">
        <v>22</v>
      </c>
      <c r="F21" s="121">
        <f t="shared" si="6"/>
        <v>0.1</v>
      </c>
      <c r="H21" s="35" t="s">
        <v>22</v>
      </c>
      <c r="I21" s="123">
        <f t="shared" si="4"/>
        <v>0.58425955923502249</v>
      </c>
      <c r="J21" s="121">
        <f t="shared" si="4"/>
        <v>0.562620316300392</v>
      </c>
      <c r="K21" s="121">
        <f t="shared" si="4"/>
        <v>0.54098107336576162</v>
      </c>
      <c r="L21" s="121">
        <f t="shared" si="4"/>
        <v>0.51934183043113102</v>
      </c>
      <c r="M21" s="121">
        <f t="shared" si="4"/>
        <v>0.49770258749650059</v>
      </c>
      <c r="N21" s="121">
        <f t="shared" si="4"/>
        <v>0.47606334456187016</v>
      </c>
      <c r="O21" s="121">
        <f t="shared" si="4"/>
        <v>0.45442410162723973</v>
      </c>
      <c r="P21" s="121">
        <f t="shared" si="4"/>
        <v>0.43278485869260924</v>
      </c>
      <c r="Q21" s="121">
        <f t="shared" si="4"/>
        <v>0.41114561575797881</v>
      </c>
      <c r="R21" s="121">
        <f t="shared" si="4"/>
        <v>0.38950637282334832</v>
      </c>
      <c r="S21" s="121">
        <f t="shared" si="4"/>
        <v>0.36786712988871784</v>
      </c>
      <c r="T21" s="121">
        <f t="shared" si="4"/>
        <v>0.3462278869540874</v>
      </c>
      <c r="U21" s="121">
        <f t="shared" si="4"/>
        <v>0.32458864401945697</v>
      </c>
      <c r="V21" s="121">
        <f t="shared" si="4"/>
        <v>0.30294940108482649</v>
      </c>
      <c r="W21" s="121">
        <f t="shared" si="4"/>
        <v>0.281310158150196</v>
      </c>
      <c r="X21" s="121">
        <f t="shared" si="4"/>
        <v>0.25967091521556551</v>
      </c>
      <c r="Y21" s="121">
        <f t="shared" si="5"/>
        <v>0.23803167228093508</v>
      </c>
      <c r="Z21" s="121">
        <f t="shared" si="5"/>
        <v>0.21639242934630462</v>
      </c>
      <c r="AA21" s="121">
        <f t="shared" si="5"/>
        <v>0.19475318641167416</v>
      </c>
      <c r="AB21" s="121">
        <f t="shared" si="5"/>
        <v>0.1731139434770437</v>
      </c>
      <c r="AC21" s="121">
        <f t="shared" si="5"/>
        <v>0.15147470054241324</v>
      </c>
      <c r="AD21" s="121">
        <f t="shared" si="5"/>
        <v>0.12983545760778276</v>
      </c>
      <c r="AE21" s="121">
        <f t="shared" si="5"/>
        <v>0.10819621467315231</v>
      </c>
      <c r="AF21" s="121">
        <f t="shared" si="5"/>
        <v>8.6556971738521851E-2</v>
      </c>
      <c r="AG21" s="121">
        <f t="shared" si="5"/>
        <v>6.4917728803891378E-2</v>
      </c>
      <c r="AH21" s="121">
        <f t="shared" si="5"/>
        <v>4.3278485869260926E-2</v>
      </c>
      <c r="AI21" s="121">
        <f t="shared" si="5"/>
        <v>2.1639242934630463E-2</v>
      </c>
      <c r="AJ21" s="121">
        <f t="shared" si="5"/>
        <v>0</v>
      </c>
    </row>
    <row r="22" spans="2:36">
      <c r="B22" s="117" t="s">
        <v>173</v>
      </c>
      <c r="C22" s="122"/>
      <c r="E22" s="35" t="s">
        <v>24</v>
      </c>
      <c r="F22" s="121">
        <f t="shared" si="6"/>
        <v>0.1</v>
      </c>
      <c r="H22" s="35" t="s">
        <v>24</v>
      </c>
      <c r="I22" s="123">
        <f t="shared" si="4"/>
        <v>0.58425955923502249</v>
      </c>
      <c r="J22" s="121">
        <f t="shared" si="4"/>
        <v>0.562620316300392</v>
      </c>
      <c r="K22" s="121">
        <f t="shared" si="4"/>
        <v>0.54098107336576162</v>
      </c>
      <c r="L22" s="121">
        <f t="shared" si="4"/>
        <v>0.51934183043113102</v>
      </c>
      <c r="M22" s="121">
        <f t="shared" si="4"/>
        <v>0.49770258749650059</v>
      </c>
      <c r="N22" s="121">
        <f t="shared" si="4"/>
        <v>0.47606334456187016</v>
      </c>
      <c r="O22" s="121">
        <f t="shared" si="4"/>
        <v>0.45442410162723973</v>
      </c>
      <c r="P22" s="121">
        <f t="shared" si="4"/>
        <v>0.43278485869260924</v>
      </c>
      <c r="Q22" s="121">
        <f t="shared" si="4"/>
        <v>0.41114561575797881</v>
      </c>
      <c r="R22" s="121">
        <f t="shared" si="4"/>
        <v>0.38950637282334832</v>
      </c>
      <c r="S22" s="121">
        <f t="shared" si="4"/>
        <v>0.36786712988871784</v>
      </c>
      <c r="T22" s="121">
        <f t="shared" si="4"/>
        <v>0.3462278869540874</v>
      </c>
      <c r="U22" s="121">
        <f t="shared" si="4"/>
        <v>0.32458864401945697</v>
      </c>
      <c r="V22" s="121">
        <f t="shared" si="4"/>
        <v>0.30294940108482649</v>
      </c>
      <c r="W22" s="121">
        <f t="shared" si="4"/>
        <v>0.281310158150196</v>
      </c>
      <c r="X22" s="121">
        <f t="shared" si="4"/>
        <v>0.25967091521556551</v>
      </c>
      <c r="Y22" s="121">
        <f t="shared" si="5"/>
        <v>0.23803167228093508</v>
      </c>
      <c r="Z22" s="121">
        <f t="shared" si="5"/>
        <v>0.21639242934630462</v>
      </c>
      <c r="AA22" s="121">
        <f t="shared" si="5"/>
        <v>0.19475318641167416</v>
      </c>
      <c r="AB22" s="121">
        <f t="shared" si="5"/>
        <v>0.1731139434770437</v>
      </c>
      <c r="AC22" s="121">
        <f t="shared" si="5"/>
        <v>0.15147470054241324</v>
      </c>
      <c r="AD22" s="121">
        <f t="shared" si="5"/>
        <v>0.12983545760778276</v>
      </c>
      <c r="AE22" s="121">
        <f t="shared" si="5"/>
        <v>0.10819621467315231</v>
      </c>
      <c r="AF22" s="121">
        <f t="shared" si="5"/>
        <v>8.6556971738521851E-2</v>
      </c>
      <c r="AG22" s="121">
        <f t="shared" si="5"/>
        <v>6.4917728803891378E-2</v>
      </c>
      <c r="AH22" s="121">
        <f t="shared" si="5"/>
        <v>4.3278485869260926E-2</v>
      </c>
      <c r="AI22" s="121">
        <f t="shared" si="5"/>
        <v>2.1639242934630463E-2</v>
      </c>
      <c r="AJ22" s="121">
        <f t="shared" si="5"/>
        <v>0</v>
      </c>
    </row>
    <row r="23" spans="2:36">
      <c r="B23" s="117" t="s">
        <v>173</v>
      </c>
      <c r="C23" s="122"/>
      <c r="E23" s="35" t="s">
        <v>25</v>
      </c>
      <c r="F23" s="121">
        <f>F$17</f>
        <v>0.1</v>
      </c>
      <c r="H23" s="35" t="s">
        <v>25</v>
      </c>
      <c r="I23" s="123">
        <f t="shared" si="4"/>
        <v>0.58425955923502249</v>
      </c>
      <c r="J23" s="121">
        <f t="shared" si="4"/>
        <v>0.562620316300392</v>
      </c>
      <c r="K23" s="121">
        <f t="shared" si="4"/>
        <v>0.54098107336576162</v>
      </c>
      <c r="L23" s="121">
        <f t="shared" si="4"/>
        <v>0.51934183043113102</v>
      </c>
      <c r="M23" s="121">
        <f t="shared" si="4"/>
        <v>0.49770258749650059</v>
      </c>
      <c r="N23" s="121">
        <f t="shared" si="4"/>
        <v>0.47606334456187016</v>
      </c>
      <c r="O23" s="121">
        <f t="shared" si="4"/>
        <v>0.45442410162723973</v>
      </c>
      <c r="P23" s="121">
        <f t="shared" si="4"/>
        <v>0.43278485869260924</v>
      </c>
      <c r="Q23" s="121">
        <f t="shared" si="4"/>
        <v>0.41114561575797881</v>
      </c>
      <c r="R23" s="121">
        <f t="shared" si="4"/>
        <v>0.38950637282334832</v>
      </c>
      <c r="S23" s="121">
        <f t="shared" si="4"/>
        <v>0.36786712988871784</v>
      </c>
      <c r="T23" s="121">
        <f t="shared" si="4"/>
        <v>0.3462278869540874</v>
      </c>
      <c r="U23" s="121">
        <f t="shared" si="4"/>
        <v>0.32458864401945697</v>
      </c>
      <c r="V23" s="121">
        <f t="shared" si="4"/>
        <v>0.30294940108482649</v>
      </c>
      <c r="W23" s="121">
        <f t="shared" si="4"/>
        <v>0.281310158150196</v>
      </c>
      <c r="X23" s="121">
        <f t="shared" si="4"/>
        <v>0.25967091521556551</v>
      </c>
      <c r="Y23" s="121">
        <f t="shared" si="5"/>
        <v>0.23803167228093508</v>
      </c>
      <c r="Z23" s="121">
        <f t="shared" si="5"/>
        <v>0.21639242934630462</v>
      </c>
      <c r="AA23" s="121">
        <f t="shared" si="5"/>
        <v>0.19475318641167416</v>
      </c>
      <c r="AB23" s="121">
        <f t="shared" si="5"/>
        <v>0.1731139434770437</v>
      </c>
      <c r="AC23" s="121">
        <f t="shared" si="5"/>
        <v>0.15147470054241324</v>
      </c>
      <c r="AD23" s="121">
        <f t="shared" si="5"/>
        <v>0.12983545760778276</v>
      </c>
      <c r="AE23" s="121">
        <f t="shared" si="5"/>
        <v>0.10819621467315231</v>
      </c>
      <c r="AF23" s="121">
        <f t="shared" si="5"/>
        <v>8.6556971738521851E-2</v>
      </c>
      <c r="AG23" s="121">
        <f t="shared" si="5"/>
        <v>6.4917728803891378E-2</v>
      </c>
      <c r="AH23" s="121">
        <f t="shared" si="5"/>
        <v>4.3278485869260926E-2</v>
      </c>
      <c r="AI23" s="121">
        <f t="shared" si="5"/>
        <v>2.1639242934630463E-2</v>
      </c>
      <c r="AJ23" s="121">
        <f t="shared" si="5"/>
        <v>0</v>
      </c>
    </row>
    <row r="24" spans="2:36">
      <c r="B24" s="117" t="s">
        <v>173</v>
      </c>
      <c r="C24" s="122"/>
      <c r="E24" s="117"/>
      <c r="F24" s="121"/>
      <c r="H24" s="126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</row>
    <row r="25" spans="2:36">
      <c r="B25" s="117" t="s">
        <v>173</v>
      </c>
      <c r="C25" s="122"/>
      <c r="E25" s="117"/>
      <c r="F25" s="121"/>
      <c r="H25" s="117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</row>
    <row r="26" spans="2:36">
      <c r="B26" s="117" t="s">
        <v>173</v>
      </c>
      <c r="C26" s="122"/>
      <c r="E26" s="117"/>
      <c r="F26" s="121"/>
      <c r="H26" s="117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</row>
    <row r="28" spans="2:36">
      <c r="B28" s="113" t="s">
        <v>167</v>
      </c>
      <c r="E28" s="113" t="s">
        <v>268</v>
      </c>
      <c r="H28" s="113" t="s">
        <v>66</v>
      </c>
      <c r="I28" s="115">
        <v>2023</v>
      </c>
      <c r="J28" s="115">
        <v>2024</v>
      </c>
      <c r="K28" s="115">
        <v>2025</v>
      </c>
      <c r="L28" s="115">
        <v>2026</v>
      </c>
      <c r="M28" s="115">
        <v>2027</v>
      </c>
      <c r="N28" s="115">
        <v>2028</v>
      </c>
      <c r="O28" s="115">
        <v>2029</v>
      </c>
      <c r="P28" s="115">
        <v>2030</v>
      </c>
      <c r="Q28" s="115">
        <v>2031</v>
      </c>
      <c r="R28" s="115">
        <v>2032</v>
      </c>
      <c r="S28" s="115">
        <v>2033</v>
      </c>
      <c r="T28" s="115">
        <v>2034</v>
      </c>
      <c r="U28" s="115">
        <v>2035</v>
      </c>
      <c r="V28" s="115">
        <v>2036</v>
      </c>
      <c r="W28" s="115">
        <v>2037</v>
      </c>
      <c r="X28" s="115">
        <v>2038</v>
      </c>
      <c r="Y28" s="115">
        <v>2039</v>
      </c>
      <c r="Z28" s="115">
        <v>2040</v>
      </c>
      <c r="AA28" s="115">
        <v>2041</v>
      </c>
      <c r="AB28" s="115">
        <v>2042</v>
      </c>
      <c r="AC28" s="115">
        <v>2043</v>
      </c>
      <c r="AD28" s="115">
        <v>2044</v>
      </c>
      <c r="AE28" s="115">
        <v>2045</v>
      </c>
      <c r="AF28" s="115">
        <v>2046</v>
      </c>
      <c r="AG28" s="115">
        <v>2047</v>
      </c>
      <c r="AH28" s="115">
        <v>2048</v>
      </c>
      <c r="AI28" s="115">
        <v>2049</v>
      </c>
      <c r="AJ28" s="115">
        <v>2050</v>
      </c>
    </row>
    <row r="29" spans="2:36">
      <c r="B29" s="117" t="s">
        <v>8</v>
      </c>
      <c r="C29" s="124">
        <f>'1.Input data Coal India'!E6</f>
        <v>402483.6</v>
      </c>
      <c r="E29" s="117" t="s">
        <v>8</v>
      </c>
      <c r="F29" s="121">
        <v>0.1</v>
      </c>
      <c r="H29" s="117" t="s">
        <v>8</v>
      </c>
      <c r="I29" s="124">
        <f>'1.Input data Coal India'!D22</f>
        <v>5.4219287097010085</v>
      </c>
      <c r="J29" s="121">
        <f t="shared" ref="J29:AJ29" si="7">$I29*($AJ$4-J$4)/27</f>
        <v>5.2211165352676385</v>
      </c>
      <c r="K29" s="121">
        <f t="shared" si="7"/>
        <v>5.0203043608342677</v>
      </c>
      <c r="L29" s="121">
        <f t="shared" si="7"/>
        <v>4.8194921864008968</v>
      </c>
      <c r="M29" s="121">
        <f t="shared" si="7"/>
        <v>4.618680011967526</v>
      </c>
      <c r="N29" s="121">
        <f t="shared" si="7"/>
        <v>4.4178678375341551</v>
      </c>
      <c r="O29" s="121">
        <f t="shared" si="7"/>
        <v>4.2170556631007843</v>
      </c>
      <c r="P29" s="121">
        <f t="shared" si="7"/>
        <v>4.0162434886674134</v>
      </c>
      <c r="Q29" s="121">
        <f t="shared" si="7"/>
        <v>3.815431314234043</v>
      </c>
      <c r="R29" s="121">
        <f t="shared" si="7"/>
        <v>3.6146191398006722</v>
      </c>
      <c r="S29" s="121">
        <f t="shared" si="7"/>
        <v>3.4138069653673018</v>
      </c>
      <c r="T29" s="121">
        <f t="shared" si="7"/>
        <v>3.2129947909339309</v>
      </c>
      <c r="U29" s="121">
        <f t="shared" si="7"/>
        <v>3.0121826165005605</v>
      </c>
      <c r="V29" s="121">
        <f t="shared" si="7"/>
        <v>2.8113704420671897</v>
      </c>
      <c r="W29" s="121">
        <f t="shared" si="7"/>
        <v>2.6105582676338193</v>
      </c>
      <c r="X29" s="121">
        <f t="shared" si="7"/>
        <v>2.4097460932004484</v>
      </c>
      <c r="Y29" s="121">
        <f t="shared" si="7"/>
        <v>2.2089339187670776</v>
      </c>
      <c r="Z29" s="121">
        <f t="shared" si="7"/>
        <v>2.0081217443337067</v>
      </c>
      <c r="AA29" s="121">
        <f t="shared" si="7"/>
        <v>1.8073095699003361</v>
      </c>
      <c r="AB29" s="121">
        <f t="shared" si="7"/>
        <v>1.6064973954669655</v>
      </c>
      <c r="AC29" s="121">
        <f t="shared" si="7"/>
        <v>1.4056852210335948</v>
      </c>
      <c r="AD29" s="121">
        <f t="shared" si="7"/>
        <v>1.2048730466002242</v>
      </c>
      <c r="AE29" s="121">
        <f t="shared" si="7"/>
        <v>1.0040608721668534</v>
      </c>
      <c r="AF29" s="121">
        <f t="shared" si="7"/>
        <v>0.80324869773348273</v>
      </c>
      <c r="AG29" s="121">
        <f t="shared" si="7"/>
        <v>0.6024365233001121</v>
      </c>
      <c r="AH29" s="121">
        <f t="shared" si="7"/>
        <v>0.40162434886674137</v>
      </c>
      <c r="AI29" s="121">
        <f t="shared" si="7"/>
        <v>0.20081217443337068</v>
      </c>
      <c r="AJ29" s="121">
        <f t="shared" si="7"/>
        <v>0</v>
      </c>
    </row>
    <row r="30" spans="2:36">
      <c r="B30" s="117" t="s">
        <v>173</v>
      </c>
      <c r="C30" s="122"/>
      <c r="E30" s="35" t="s">
        <v>12</v>
      </c>
      <c r="F30" s="121">
        <f>F$29</f>
        <v>0.1</v>
      </c>
      <c r="H30" s="35" t="s">
        <v>12</v>
      </c>
      <c r="I30" s="121">
        <f t="shared" ref="I30:X35" si="8">I$29</f>
        <v>5.4219287097010085</v>
      </c>
      <c r="J30" s="121">
        <f t="shared" si="8"/>
        <v>5.2211165352676385</v>
      </c>
      <c r="K30" s="121">
        <f t="shared" si="8"/>
        <v>5.0203043608342677</v>
      </c>
      <c r="L30" s="121">
        <f t="shared" si="8"/>
        <v>4.8194921864008968</v>
      </c>
      <c r="M30" s="121">
        <f t="shared" si="8"/>
        <v>4.618680011967526</v>
      </c>
      <c r="N30" s="121">
        <f t="shared" si="8"/>
        <v>4.4178678375341551</v>
      </c>
      <c r="O30" s="121">
        <f t="shared" si="8"/>
        <v>4.2170556631007843</v>
      </c>
      <c r="P30" s="121">
        <f t="shared" si="8"/>
        <v>4.0162434886674134</v>
      </c>
      <c r="Q30" s="121">
        <f t="shared" si="8"/>
        <v>3.815431314234043</v>
      </c>
      <c r="R30" s="121">
        <f t="shared" si="8"/>
        <v>3.6146191398006722</v>
      </c>
      <c r="S30" s="121">
        <f t="shared" si="8"/>
        <v>3.4138069653673018</v>
      </c>
      <c r="T30" s="121">
        <f t="shared" si="8"/>
        <v>3.2129947909339309</v>
      </c>
      <c r="U30" s="121">
        <f t="shared" si="8"/>
        <v>3.0121826165005605</v>
      </c>
      <c r="V30" s="121">
        <f t="shared" si="8"/>
        <v>2.8113704420671897</v>
      </c>
      <c r="W30" s="121">
        <f t="shared" si="8"/>
        <v>2.6105582676338193</v>
      </c>
      <c r="X30" s="121">
        <f t="shared" si="8"/>
        <v>2.4097460932004484</v>
      </c>
      <c r="Y30" s="121">
        <f t="shared" ref="Y30:AJ35" si="9">Y$29</f>
        <v>2.2089339187670776</v>
      </c>
      <c r="Z30" s="121">
        <f t="shared" si="9"/>
        <v>2.0081217443337067</v>
      </c>
      <c r="AA30" s="121">
        <f t="shared" si="9"/>
        <v>1.8073095699003361</v>
      </c>
      <c r="AB30" s="121">
        <f t="shared" si="9"/>
        <v>1.6064973954669655</v>
      </c>
      <c r="AC30" s="121">
        <f t="shared" si="9"/>
        <v>1.4056852210335948</v>
      </c>
      <c r="AD30" s="121">
        <f t="shared" si="9"/>
        <v>1.2048730466002242</v>
      </c>
      <c r="AE30" s="121">
        <f t="shared" si="9"/>
        <v>1.0040608721668534</v>
      </c>
      <c r="AF30" s="121">
        <f t="shared" si="9"/>
        <v>0.80324869773348273</v>
      </c>
      <c r="AG30" s="121">
        <f t="shared" si="9"/>
        <v>0.6024365233001121</v>
      </c>
      <c r="AH30" s="121">
        <f t="shared" si="9"/>
        <v>0.40162434886674137</v>
      </c>
      <c r="AI30" s="121">
        <f t="shared" si="9"/>
        <v>0.20081217443337068</v>
      </c>
      <c r="AJ30" s="121">
        <f t="shared" si="9"/>
        <v>0</v>
      </c>
    </row>
    <row r="31" spans="2:36">
      <c r="B31" s="117" t="s">
        <v>173</v>
      </c>
      <c r="C31" s="122"/>
      <c r="E31" s="35" t="s">
        <v>15</v>
      </c>
      <c r="F31" s="121">
        <f t="shared" ref="F31:F35" si="10">F$29</f>
        <v>0.1</v>
      </c>
      <c r="H31" s="35" t="s">
        <v>15</v>
      </c>
      <c r="I31" s="121">
        <f t="shared" si="8"/>
        <v>5.4219287097010085</v>
      </c>
      <c r="J31" s="121">
        <f t="shared" si="8"/>
        <v>5.2211165352676385</v>
      </c>
      <c r="K31" s="121">
        <f t="shared" si="8"/>
        <v>5.0203043608342677</v>
      </c>
      <c r="L31" s="121">
        <f t="shared" si="8"/>
        <v>4.8194921864008968</v>
      </c>
      <c r="M31" s="121">
        <f t="shared" si="8"/>
        <v>4.618680011967526</v>
      </c>
      <c r="N31" s="121">
        <f t="shared" si="8"/>
        <v>4.4178678375341551</v>
      </c>
      <c r="O31" s="121">
        <f t="shared" si="8"/>
        <v>4.2170556631007843</v>
      </c>
      <c r="P31" s="121">
        <f t="shared" si="8"/>
        <v>4.0162434886674134</v>
      </c>
      <c r="Q31" s="121">
        <f t="shared" si="8"/>
        <v>3.815431314234043</v>
      </c>
      <c r="R31" s="121">
        <f t="shared" si="8"/>
        <v>3.6146191398006722</v>
      </c>
      <c r="S31" s="121">
        <f t="shared" si="8"/>
        <v>3.4138069653673018</v>
      </c>
      <c r="T31" s="121">
        <f t="shared" si="8"/>
        <v>3.2129947909339309</v>
      </c>
      <c r="U31" s="121">
        <f t="shared" si="8"/>
        <v>3.0121826165005605</v>
      </c>
      <c r="V31" s="121">
        <f t="shared" si="8"/>
        <v>2.8113704420671897</v>
      </c>
      <c r="W31" s="121">
        <f t="shared" si="8"/>
        <v>2.6105582676338193</v>
      </c>
      <c r="X31" s="121">
        <f t="shared" si="8"/>
        <v>2.4097460932004484</v>
      </c>
      <c r="Y31" s="121">
        <f t="shared" si="9"/>
        <v>2.2089339187670776</v>
      </c>
      <c r="Z31" s="121">
        <f t="shared" si="9"/>
        <v>2.0081217443337067</v>
      </c>
      <c r="AA31" s="121">
        <f t="shared" si="9"/>
        <v>1.8073095699003361</v>
      </c>
      <c r="AB31" s="121">
        <f t="shared" si="9"/>
        <v>1.6064973954669655</v>
      </c>
      <c r="AC31" s="121">
        <f t="shared" si="9"/>
        <v>1.4056852210335948</v>
      </c>
      <c r="AD31" s="121">
        <f t="shared" si="9"/>
        <v>1.2048730466002242</v>
      </c>
      <c r="AE31" s="121">
        <f t="shared" si="9"/>
        <v>1.0040608721668534</v>
      </c>
      <c r="AF31" s="121">
        <f t="shared" si="9"/>
        <v>0.80324869773348273</v>
      </c>
      <c r="AG31" s="121">
        <f t="shared" si="9"/>
        <v>0.6024365233001121</v>
      </c>
      <c r="AH31" s="121">
        <f t="shared" si="9"/>
        <v>0.40162434886674137</v>
      </c>
      <c r="AI31" s="121">
        <f t="shared" si="9"/>
        <v>0.20081217443337068</v>
      </c>
      <c r="AJ31" s="121">
        <f t="shared" si="9"/>
        <v>0</v>
      </c>
    </row>
    <row r="32" spans="2:36">
      <c r="B32" s="117" t="s">
        <v>173</v>
      </c>
      <c r="C32" s="122"/>
      <c r="E32" s="35" t="s">
        <v>19</v>
      </c>
      <c r="F32" s="121">
        <f t="shared" si="10"/>
        <v>0.1</v>
      </c>
      <c r="H32" s="35" t="s">
        <v>19</v>
      </c>
      <c r="I32" s="121">
        <f t="shared" si="8"/>
        <v>5.4219287097010085</v>
      </c>
      <c r="J32" s="121">
        <f t="shared" si="8"/>
        <v>5.2211165352676385</v>
      </c>
      <c r="K32" s="121">
        <f t="shared" si="8"/>
        <v>5.0203043608342677</v>
      </c>
      <c r="L32" s="121">
        <f t="shared" si="8"/>
        <v>4.8194921864008968</v>
      </c>
      <c r="M32" s="121">
        <f t="shared" si="8"/>
        <v>4.618680011967526</v>
      </c>
      <c r="N32" s="121">
        <f t="shared" si="8"/>
        <v>4.4178678375341551</v>
      </c>
      <c r="O32" s="121">
        <f t="shared" si="8"/>
        <v>4.2170556631007843</v>
      </c>
      <c r="P32" s="121">
        <f t="shared" si="8"/>
        <v>4.0162434886674134</v>
      </c>
      <c r="Q32" s="121">
        <f t="shared" si="8"/>
        <v>3.815431314234043</v>
      </c>
      <c r="R32" s="121">
        <f t="shared" si="8"/>
        <v>3.6146191398006722</v>
      </c>
      <c r="S32" s="121">
        <f t="shared" si="8"/>
        <v>3.4138069653673018</v>
      </c>
      <c r="T32" s="121">
        <f t="shared" si="8"/>
        <v>3.2129947909339309</v>
      </c>
      <c r="U32" s="121">
        <f t="shared" si="8"/>
        <v>3.0121826165005605</v>
      </c>
      <c r="V32" s="121">
        <f t="shared" si="8"/>
        <v>2.8113704420671897</v>
      </c>
      <c r="W32" s="121">
        <f t="shared" si="8"/>
        <v>2.6105582676338193</v>
      </c>
      <c r="X32" s="121">
        <f t="shared" si="8"/>
        <v>2.4097460932004484</v>
      </c>
      <c r="Y32" s="121">
        <f t="shared" si="9"/>
        <v>2.2089339187670776</v>
      </c>
      <c r="Z32" s="121">
        <f t="shared" si="9"/>
        <v>2.0081217443337067</v>
      </c>
      <c r="AA32" s="121">
        <f t="shared" si="9"/>
        <v>1.8073095699003361</v>
      </c>
      <c r="AB32" s="121">
        <f t="shared" si="9"/>
        <v>1.6064973954669655</v>
      </c>
      <c r="AC32" s="121">
        <f t="shared" si="9"/>
        <v>1.4056852210335948</v>
      </c>
      <c r="AD32" s="121">
        <f t="shared" si="9"/>
        <v>1.2048730466002242</v>
      </c>
      <c r="AE32" s="121">
        <f t="shared" si="9"/>
        <v>1.0040608721668534</v>
      </c>
      <c r="AF32" s="121">
        <f t="shared" si="9"/>
        <v>0.80324869773348273</v>
      </c>
      <c r="AG32" s="121">
        <f t="shared" si="9"/>
        <v>0.6024365233001121</v>
      </c>
      <c r="AH32" s="121">
        <f t="shared" si="9"/>
        <v>0.40162434886674137</v>
      </c>
      <c r="AI32" s="121">
        <f t="shared" si="9"/>
        <v>0.20081217443337068</v>
      </c>
      <c r="AJ32" s="121">
        <f t="shared" si="9"/>
        <v>0</v>
      </c>
    </row>
    <row r="33" spans="1:36">
      <c r="B33" s="117" t="s">
        <v>173</v>
      </c>
      <c r="C33" s="122"/>
      <c r="E33" s="35" t="s">
        <v>22</v>
      </c>
      <c r="F33" s="121">
        <f t="shared" si="10"/>
        <v>0.1</v>
      </c>
      <c r="H33" s="35" t="s">
        <v>22</v>
      </c>
      <c r="I33" s="121">
        <f t="shared" si="8"/>
        <v>5.4219287097010085</v>
      </c>
      <c r="J33" s="121">
        <f t="shared" si="8"/>
        <v>5.2211165352676385</v>
      </c>
      <c r="K33" s="121">
        <f t="shared" si="8"/>
        <v>5.0203043608342677</v>
      </c>
      <c r="L33" s="121">
        <f t="shared" si="8"/>
        <v>4.8194921864008968</v>
      </c>
      <c r="M33" s="121">
        <f t="shared" si="8"/>
        <v>4.618680011967526</v>
      </c>
      <c r="N33" s="121">
        <f t="shared" si="8"/>
        <v>4.4178678375341551</v>
      </c>
      <c r="O33" s="121">
        <f t="shared" si="8"/>
        <v>4.2170556631007843</v>
      </c>
      <c r="P33" s="121">
        <f t="shared" si="8"/>
        <v>4.0162434886674134</v>
      </c>
      <c r="Q33" s="121">
        <f t="shared" si="8"/>
        <v>3.815431314234043</v>
      </c>
      <c r="R33" s="121">
        <f t="shared" si="8"/>
        <v>3.6146191398006722</v>
      </c>
      <c r="S33" s="121">
        <f t="shared" si="8"/>
        <v>3.4138069653673018</v>
      </c>
      <c r="T33" s="121">
        <f t="shared" si="8"/>
        <v>3.2129947909339309</v>
      </c>
      <c r="U33" s="121">
        <f t="shared" si="8"/>
        <v>3.0121826165005605</v>
      </c>
      <c r="V33" s="121">
        <f t="shared" si="8"/>
        <v>2.8113704420671897</v>
      </c>
      <c r="W33" s="121">
        <f t="shared" si="8"/>
        <v>2.6105582676338193</v>
      </c>
      <c r="X33" s="121">
        <f t="shared" si="8"/>
        <v>2.4097460932004484</v>
      </c>
      <c r="Y33" s="121">
        <f t="shared" si="9"/>
        <v>2.2089339187670776</v>
      </c>
      <c r="Z33" s="121">
        <f t="shared" si="9"/>
        <v>2.0081217443337067</v>
      </c>
      <c r="AA33" s="121">
        <f t="shared" si="9"/>
        <v>1.8073095699003361</v>
      </c>
      <c r="AB33" s="121">
        <f t="shared" si="9"/>
        <v>1.6064973954669655</v>
      </c>
      <c r="AC33" s="121">
        <f t="shared" si="9"/>
        <v>1.4056852210335948</v>
      </c>
      <c r="AD33" s="121">
        <f t="shared" si="9"/>
        <v>1.2048730466002242</v>
      </c>
      <c r="AE33" s="121">
        <f t="shared" si="9"/>
        <v>1.0040608721668534</v>
      </c>
      <c r="AF33" s="121">
        <f t="shared" si="9"/>
        <v>0.80324869773348273</v>
      </c>
      <c r="AG33" s="121">
        <f t="shared" si="9"/>
        <v>0.6024365233001121</v>
      </c>
      <c r="AH33" s="121">
        <f t="shared" si="9"/>
        <v>0.40162434886674137</v>
      </c>
      <c r="AI33" s="121">
        <f t="shared" si="9"/>
        <v>0.20081217443337068</v>
      </c>
      <c r="AJ33" s="121">
        <f t="shared" si="9"/>
        <v>0</v>
      </c>
    </row>
    <row r="34" spans="1:36">
      <c r="B34" s="117" t="s">
        <v>173</v>
      </c>
      <c r="C34" s="122"/>
      <c r="E34" s="35" t="s">
        <v>24</v>
      </c>
      <c r="F34" s="121">
        <f t="shared" si="10"/>
        <v>0.1</v>
      </c>
      <c r="H34" s="35" t="s">
        <v>24</v>
      </c>
      <c r="I34" s="121">
        <f t="shared" si="8"/>
        <v>5.4219287097010085</v>
      </c>
      <c r="J34" s="121">
        <f t="shared" si="8"/>
        <v>5.2211165352676385</v>
      </c>
      <c r="K34" s="121">
        <f t="shared" si="8"/>
        <v>5.0203043608342677</v>
      </c>
      <c r="L34" s="121">
        <f t="shared" si="8"/>
        <v>4.8194921864008968</v>
      </c>
      <c r="M34" s="121">
        <f t="shared" si="8"/>
        <v>4.618680011967526</v>
      </c>
      <c r="N34" s="121">
        <f t="shared" si="8"/>
        <v>4.4178678375341551</v>
      </c>
      <c r="O34" s="121">
        <f t="shared" si="8"/>
        <v>4.2170556631007843</v>
      </c>
      <c r="P34" s="121">
        <f t="shared" si="8"/>
        <v>4.0162434886674134</v>
      </c>
      <c r="Q34" s="121">
        <f t="shared" si="8"/>
        <v>3.815431314234043</v>
      </c>
      <c r="R34" s="121">
        <f t="shared" si="8"/>
        <v>3.6146191398006722</v>
      </c>
      <c r="S34" s="121">
        <f t="shared" si="8"/>
        <v>3.4138069653673018</v>
      </c>
      <c r="T34" s="121">
        <f t="shared" si="8"/>
        <v>3.2129947909339309</v>
      </c>
      <c r="U34" s="121">
        <f t="shared" si="8"/>
        <v>3.0121826165005605</v>
      </c>
      <c r="V34" s="121">
        <f t="shared" si="8"/>
        <v>2.8113704420671897</v>
      </c>
      <c r="W34" s="121">
        <f t="shared" si="8"/>
        <v>2.6105582676338193</v>
      </c>
      <c r="X34" s="121">
        <f t="shared" si="8"/>
        <v>2.4097460932004484</v>
      </c>
      <c r="Y34" s="121">
        <f t="shared" si="9"/>
        <v>2.2089339187670776</v>
      </c>
      <c r="Z34" s="121">
        <f t="shared" si="9"/>
        <v>2.0081217443337067</v>
      </c>
      <c r="AA34" s="121">
        <f t="shared" si="9"/>
        <v>1.8073095699003361</v>
      </c>
      <c r="AB34" s="121">
        <f t="shared" si="9"/>
        <v>1.6064973954669655</v>
      </c>
      <c r="AC34" s="121">
        <f t="shared" si="9"/>
        <v>1.4056852210335948</v>
      </c>
      <c r="AD34" s="121">
        <f t="shared" si="9"/>
        <v>1.2048730466002242</v>
      </c>
      <c r="AE34" s="121">
        <f t="shared" si="9"/>
        <v>1.0040608721668534</v>
      </c>
      <c r="AF34" s="121">
        <f t="shared" si="9"/>
        <v>0.80324869773348273</v>
      </c>
      <c r="AG34" s="121">
        <f t="shared" si="9"/>
        <v>0.6024365233001121</v>
      </c>
      <c r="AH34" s="121">
        <f t="shared" si="9"/>
        <v>0.40162434886674137</v>
      </c>
      <c r="AI34" s="121">
        <f t="shared" si="9"/>
        <v>0.20081217443337068</v>
      </c>
      <c r="AJ34" s="121">
        <f t="shared" si="9"/>
        <v>0</v>
      </c>
    </row>
    <row r="35" spans="1:36">
      <c r="B35" s="117" t="s">
        <v>173</v>
      </c>
      <c r="C35" s="122"/>
      <c r="E35" s="35" t="s">
        <v>25</v>
      </c>
      <c r="F35" s="121">
        <f t="shared" si="10"/>
        <v>0.1</v>
      </c>
      <c r="H35" s="35" t="s">
        <v>25</v>
      </c>
      <c r="I35" s="121">
        <f t="shared" si="8"/>
        <v>5.4219287097010085</v>
      </c>
      <c r="J35" s="121">
        <f t="shared" si="8"/>
        <v>5.2211165352676385</v>
      </c>
      <c r="K35" s="121">
        <f t="shared" si="8"/>
        <v>5.0203043608342677</v>
      </c>
      <c r="L35" s="121">
        <f t="shared" si="8"/>
        <v>4.8194921864008968</v>
      </c>
      <c r="M35" s="121">
        <f t="shared" si="8"/>
        <v>4.618680011967526</v>
      </c>
      <c r="N35" s="121">
        <f t="shared" si="8"/>
        <v>4.4178678375341551</v>
      </c>
      <c r="O35" s="121">
        <f t="shared" si="8"/>
        <v>4.2170556631007843</v>
      </c>
      <c r="P35" s="121">
        <f t="shared" si="8"/>
        <v>4.0162434886674134</v>
      </c>
      <c r="Q35" s="121">
        <f t="shared" si="8"/>
        <v>3.815431314234043</v>
      </c>
      <c r="R35" s="121">
        <f t="shared" si="8"/>
        <v>3.6146191398006722</v>
      </c>
      <c r="S35" s="121">
        <f t="shared" si="8"/>
        <v>3.4138069653673018</v>
      </c>
      <c r="T35" s="121">
        <f t="shared" si="8"/>
        <v>3.2129947909339309</v>
      </c>
      <c r="U35" s="121">
        <f t="shared" si="8"/>
        <v>3.0121826165005605</v>
      </c>
      <c r="V35" s="121">
        <f t="shared" si="8"/>
        <v>2.8113704420671897</v>
      </c>
      <c r="W35" s="121">
        <f t="shared" si="8"/>
        <v>2.6105582676338193</v>
      </c>
      <c r="X35" s="121">
        <f t="shared" si="8"/>
        <v>2.4097460932004484</v>
      </c>
      <c r="Y35" s="121">
        <f t="shared" si="9"/>
        <v>2.2089339187670776</v>
      </c>
      <c r="Z35" s="121">
        <f t="shared" si="9"/>
        <v>2.0081217443337067</v>
      </c>
      <c r="AA35" s="121">
        <f t="shared" si="9"/>
        <v>1.8073095699003361</v>
      </c>
      <c r="AB35" s="121">
        <f t="shared" si="9"/>
        <v>1.6064973954669655</v>
      </c>
      <c r="AC35" s="121">
        <f t="shared" si="9"/>
        <v>1.4056852210335948</v>
      </c>
      <c r="AD35" s="121">
        <f t="shared" si="9"/>
        <v>1.2048730466002242</v>
      </c>
      <c r="AE35" s="121">
        <f t="shared" si="9"/>
        <v>1.0040608721668534</v>
      </c>
      <c r="AF35" s="121">
        <f t="shared" si="9"/>
        <v>0.80324869773348273</v>
      </c>
      <c r="AG35" s="121">
        <f t="shared" si="9"/>
        <v>0.6024365233001121</v>
      </c>
      <c r="AH35" s="121">
        <f t="shared" si="9"/>
        <v>0.40162434886674137</v>
      </c>
      <c r="AI35" s="121">
        <f t="shared" si="9"/>
        <v>0.20081217443337068</v>
      </c>
      <c r="AJ35" s="121">
        <f t="shared" si="9"/>
        <v>0</v>
      </c>
    </row>
    <row r="36" spans="1:36" customFormat="1">
      <c r="A36" s="115"/>
      <c r="B36" s="117" t="s">
        <v>173</v>
      </c>
      <c r="C36" s="122"/>
      <c r="D36" s="115"/>
      <c r="E36" s="35"/>
      <c r="F36" s="121"/>
      <c r="G36" s="115"/>
      <c r="H36" s="117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</row>
    <row r="37" spans="1:36" customFormat="1">
      <c r="A37" s="115"/>
      <c r="B37" s="117" t="s">
        <v>173</v>
      </c>
      <c r="C37" s="122"/>
      <c r="D37" s="115"/>
      <c r="E37" s="117"/>
      <c r="F37" s="121"/>
      <c r="G37" s="115"/>
      <c r="H37" s="117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</row>
    <row r="38" spans="1:36">
      <c r="B38" s="117" t="s">
        <v>173</v>
      </c>
      <c r="C38" s="122"/>
      <c r="E38" s="117"/>
      <c r="F38" s="121"/>
      <c r="H38" s="117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</row>
    <row r="39" spans="1:36">
      <c r="F39" s="127"/>
    </row>
    <row r="40" spans="1:36">
      <c r="B40" s="113" t="s">
        <v>40</v>
      </c>
      <c r="E40" s="113" t="s">
        <v>266</v>
      </c>
      <c r="H40" s="113" t="s">
        <v>67</v>
      </c>
      <c r="I40" s="115">
        <v>2023</v>
      </c>
      <c r="J40" s="115">
        <v>2024</v>
      </c>
      <c r="K40" s="115">
        <v>2025</v>
      </c>
      <c r="L40" s="115">
        <v>2026</v>
      </c>
      <c r="M40" s="115">
        <v>2027</v>
      </c>
      <c r="N40" s="115">
        <v>2028</v>
      </c>
      <c r="O40" s="115">
        <v>2029</v>
      </c>
      <c r="P40" s="115">
        <v>2030</v>
      </c>
      <c r="Q40" s="115">
        <v>2031</v>
      </c>
      <c r="R40" s="115">
        <v>2032</v>
      </c>
      <c r="S40" s="115">
        <v>2033</v>
      </c>
      <c r="T40" s="115">
        <v>2034</v>
      </c>
      <c r="U40" s="115">
        <v>2035</v>
      </c>
      <c r="V40" s="115">
        <v>2036</v>
      </c>
      <c r="W40" s="115">
        <v>2037</v>
      </c>
      <c r="X40" s="115">
        <v>2038</v>
      </c>
      <c r="Y40" s="115">
        <v>2039</v>
      </c>
      <c r="Z40" s="115">
        <v>2040</v>
      </c>
      <c r="AA40" s="115">
        <v>2041</v>
      </c>
      <c r="AB40" s="115">
        <v>2042</v>
      </c>
      <c r="AC40" s="115">
        <v>2043</v>
      </c>
      <c r="AD40" s="115">
        <v>2044</v>
      </c>
      <c r="AE40" s="115">
        <v>2045</v>
      </c>
      <c r="AF40" s="115">
        <v>2046</v>
      </c>
      <c r="AG40" s="115">
        <v>2047</v>
      </c>
      <c r="AH40" s="115">
        <v>2048</v>
      </c>
      <c r="AI40" s="115">
        <v>2049</v>
      </c>
      <c r="AJ40" s="115">
        <v>2050</v>
      </c>
    </row>
    <row r="41" spans="1:36">
      <c r="B41" s="117" t="s">
        <v>8</v>
      </c>
      <c r="C41" s="124">
        <f>'1.Input data Coal India'!E7</f>
        <v>356160.3</v>
      </c>
      <c r="E41" s="117"/>
      <c r="F41" s="121"/>
      <c r="H41" s="117" t="s">
        <v>8</v>
      </c>
      <c r="I41" s="124">
        <f>'1.Input data Coal India'!E23</f>
        <v>0.58425955923502249</v>
      </c>
      <c r="J41" s="121">
        <f t="shared" ref="J41:AJ41" si="11">$I41*($AJ$4-J$4)/27</f>
        <v>0.562620316300392</v>
      </c>
      <c r="K41" s="121">
        <f t="shared" si="11"/>
        <v>0.54098107336576162</v>
      </c>
      <c r="L41" s="121">
        <f t="shared" si="11"/>
        <v>0.51934183043113102</v>
      </c>
      <c r="M41" s="121">
        <f t="shared" si="11"/>
        <v>0.49770258749650059</v>
      </c>
      <c r="N41" s="121">
        <f t="shared" si="11"/>
        <v>0.47606334456187016</v>
      </c>
      <c r="O41" s="121">
        <f t="shared" si="11"/>
        <v>0.45442410162723973</v>
      </c>
      <c r="P41" s="121">
        <f t="shared" si="11"/>
        <v>0.43278485869260924</v>
      </c>
      <c r="Q41" s="121">
        <f t="shared" si="11"/>
        <v>0.41114561575797881</v>
      </c>
      <c r="R41" s="121">
        <f t="shared" si="11"/>
        <v>0.38950637282334832</v>
      </c>
      <c r="S41" s="121">
        <f t="shared" si="11"/>
        <v>0.36786712988871784</v>
      </c>
      <c r="T41" s="121">
        <f t="shared" si="11"/>
        <v>0.3462278869540874</v>
      </c>
      <c r="U41" s="121">
        <f t="shared" si="11"/>
        <v>0.32458864401945697</v>
      </c>
      <c r="V41" s="121">
        <f t="shared" si="11"/>
        <v>0.30294940108482649</v>
      </c>
      <c r="W41" s="121">
        <f t="shared" si="11"/>
        <v>0.281310158150196</v>
      </c>
      <c r="X41" s="121">
        <f t="shared" si="11"/>
        <v>0.25967091521556551</v>
      </c>
      <c r="Y41" s="121">
        <f t="shared" si="11"/>
        <v>0.23803167228093508</v>
      </c>
      <c r="Z41" s="121">
        <f t="shared" si="11"/>
        <v>0.21639242934630462</v>
      </c>
      <c r="AA41" s="121">
        <f t="shared" si="11"/>
        <v>0.19475318641167416</v>
      </c>
      <c r="AB41" s="121">
        <f t="shared" si="11"/>
        <v>0.1731139434770437</v>
      </c>
      <c r="AC41" s="121">
        <f t="shared" si="11"/>
        <v>0.15147470054241324</v>
      </c>
      <c r="AD41" s="121">
        <f t="shared" si="11"/>
        <v>0.12983545760778276</v>
      </c>
      <c r="AE41" s="121">
        <f t="shared" si="11"/>
        <v>0.10819621467315231</v>
      </c>
      <c r="AF41" s="121">
        <f t="shared" si="11"/>
        <v>8.6556971738521851E-2</v>
      </c>
      <c r="AG41" s="121">
        <f t="shared" si="11"/>
        <v>6.4917728803891378E-2</v>
      </c>
      <c r="AH41" s="121">
        <f t="shared" si="11"/>
        <v>4.3278485869260926E-2</v>
      </c>
      <c r="AI41" s="121">
        <f t="shared" si="11"/>
        <v>2.1639242934630463E-2</v>
      </c>
      <c r="AJ41" s="121">
        <f t="shared" si="11"/>
        <v>0</v>
      </c>
    </row>
    <row r="42" spans="1:36">
      <c r="B42" s="117" t="s">
        <v>173</v>
      </c>
      <c r="C42" s="122"/>
      <c r="E42" s="117"/>
      <c r="F42" s="121"/>
      <c r="H42" s="35" t="s">
        <v>12</v>
      </c>
      <c r="I42" s="121">
        <f t="shared" ref="I42:X47" si="12">I$41</f>
        <v>0.58425955923502249</v>
      </c>
      <c r="J42" s="121">
        <f t="shared" si="12"/>
        <v>0.562620316300392</v>
      </c>
      <c r="K42" s="121">
        <f t="shared" si="12"/>
        <v>0.54098107336576162</v>
      </c>
      <c r="L42" s="121">
        <f t="shared" si="12"/>
        <v>0.51934183043113102</v>
      </c>
      <c r="M42" s="121">
        <f t="shared" si="12"/>
        <v>0.49770258749650059</v>
      </c>
      <c r="N42" s="121">
        <f t="shared" si="12"/>
        <v>0.47606334456187016</v>
      </c>
      <c r="O42" s="121">
        <f t="shared" si="12"/>
        <v>0.45442410162723973</v>
      </c>
      <c r="P42" s="121">
        <f t="shared" si="12"/>
        <v>0.43278485869260924</v>
      </c>
      <c r="Q42" s="121">
        <f t="shared" si="12"/>
        <v>0.41114561575797881</v>
      </c>
      <c r="R42" s="121">
        <f t="shared" si="12"/>
        <v>0.38950637282334832</v>
      </c>
      <c r="S42" s="121">
        <f t="shared" si="12"/>
        <v>0.36786712988871784</v>
      </c>
      <c r="T42" s="121">
        <f t="shared" si="12"/>
        <v>0.3462278869540874</v>
      </c>
      <c r="U42" s="121">
        <f t="shared" si="12"/>
        <v>0.32458864401945697</v>
      </c>
      <c r="V42" s="121">
        <f t="shared" si="12"/>
        <v>0.30294940108482649</v>
      </c>
      <c r="W42" s="121">
        <f t="shared" si="12"/>
        <v>0.281310158150196</v>
      </c>
      <c r="X42" s="121">
        <f t="shared" si="12"/>
        <v>0.25967091521556551</v>
      </c>
      <c r="Y42" s="121">
        <f t="shared" ref="Y42:AJ47" si="13">Y$41</f>
        <v>0.23803167228093508</v>
      </c>
      <c r="Z42" s="121">
        <f t="shared" si="13"/>
        <v>0.21639242934630462</v>
      </c>
      <c r="AA42" s="121">
        <f t="shared" si="13"/>
        <v>0.19475318641167416</v>
      </c>
      <c r="AB42" s="121">
        <f t="shared" si="13"/>
        <v>0.1731139434770437</v>
      </c>
      <c r="AC42" s="121">
        <f t="shared" si="13"/>
        <v>0.15147470054241324</v>
      </c>
      <c r="AD42" s="121">
        <f t="shared" si="13"/>
        <v>0.12983545760778276</v>
      </c>
      <c r="AE42" s="121">
        <f t="shared" si="13"/>
        <v>0.10819621467315231</v>
      </c>
      <c r="AF42" s="121">
        <f t="shared" si="13"/>
        <v>8.6556971738521851E-2</v>
      </c>
      <c r="AG42" s="121">
        <f t="shared" si="13"/>
        <v>6.4917728803891378E-2</v>
      </c>
      <c r="AH42" s="121">
        <f t="shared" si="13"/>
        <v>4.3278485869260926E-2</v>
      </c>
      <c r="AI42" s="121">
        <f t="shared" si="13"/>
        <v>2.1639242934630463E-2</v>
      </c>
      <c r="AJ42" s="121">
        <f t="shared" si="13"/>
        <v>0</v>
      </c>
    </row>
    <row r="43" spans="1:36">
      <c r="B43" s="117" t="s">
        <v>173</v>
      </c>
      <c r="C43" s="122"/>
      <c r="E43" s="117"/>
      <c r="F43" s="121"/>
      <c r="H43" s="35" t="s">
        <v>15</v>
      </c>
      <c r="I43" s="121">
        <f t="shared" si="12"/>
        <v>0.58425955923502249</v>
      </c>
      <c r="J43" s="121">
        <f t="shared" si="12"/>
        <v>0.562620316300392</v>
      </c>
      <c r="K43" s="121">
        <f t="shared" si="12"/>
        <v>0.54098107336576162</v>
      </c>
      <c r="L43" s="121">
        <f t="shared" si="12"/>
        <v>0.51934183043113102</v>
      </c>
      <c r="M43" s="121">
        <f t="shared" si="12"/>
        <v>0.49770258749650059</v>
      </c>
      <c r="N43" s="121">
        <f t="shared" si="12"/>
        <v>0.47606334456187016</v>
      </c>
      <c r="O43" s="121">
        <f t="shared" si="12"/>
        <v>0.45442410162723973</v>
      </c>
      <c r="P43" s="121">
        <f t="shared" si="12"/>
        <v>0.43278485869260924</v>
      </c>
      <c r="Q43" s="121">
        <f t="shared" si="12"/>
        <v>0.41114561575797881</v>
      </c>
      <c r="R43" s="121">
        <f t="shared" si="12"/>
        <v>0.38950637282334832</v>
      </c>
      <c r="S43" s="121">
        <f t="shared" si="12"/>
        <v>0.36786712988871784</v>
      </c>
      <c r="T43" s="121">
        <f t="shared" si="12"/>
        <v>0.3462278869540874</v>
      </c>
      <c r="U43" s="121">
        <f t="shared" si="12"/>
        <v>0.32458864401945697</v>
      </c>
      <c r="V43" s="121">
        <f t="shared" si="12"/>
        <v>0.30294940108482649</v>
      </c>
      <c r="W43" s="121">
        <f t="shared" si="12"/>
        <v>0.281310158150196</v>
      </c>
      <c r="X43" s="121">
        <f t="shared" si="12"/>
        <v>0.25967091521556551</v>
      </c>
      <c r="Y43" s="121">
        <f t="shared" si="13"/>
        <v>0.23803167228093508</v>
      </c>
      <c r="Z43" s="121">
        <f t="shared" si="13"/>
        <v>0.21639242934630462</v>
      </c>
      <c r="AA43" s="121">
        <f t="shared" si="13"/>
        <v>0.19475318641167416</v>
      </c>
      <c r="AB43" s="121">
        <f t="shared" si="13"/>
        <v>0.1731139434770437</v>
      </c>
      <c r="AC43" s="121">
        <f t="shared" si="13"/>
        <v>0.15147470054241324</v>
      </c>
      <c r="AD43" s="121">
        <f t="shared" si="13"/>
        <v>0.12983545760778276</v>
      </c>
      <c r="AE43" s="121">
        <f t="shared" si="13"/>
        <v>0.10819621467315231</v>
      </c>
      <c r="AF43" s="121">
        <f t="shared" si="13"/>
        <v>8.6556971738521851E-2</v>
      </c>
      <c r="AG43" s="121">
        <f t="shared" si="13"/>
        <v>6.4917728803891378E-2</v>
      </c>
      <c r="AH43" s="121">
        <f t="shared" si="13"/>
        <v>4.3278485869260926E-2</v>
      </c>
      <c r="AI43" s="121">
        <f t="shared" si="13"/>
        <v>2.1639242934630463E-2</v>
      </c>
      <c r="AJ43" s="121">
        <f t="shared" si="13"/>
        <v>0</v>
      </c>
    </row>
    <row r="44" spans="1:36">
      <c r="B44" s="117" t="s">
        <v>173</v>
      </c>
      <c r="C44" s="122"/>
      <c r="E44" s="117"/>
      <c r="F44" s="121"/>
      <c r="H44" s="35" t="s">
        <v>19</v>
      </c>
      <c r="I44" s="121">
        <f t="shared" si="12"/>
        <v>0.58425955923502249</v>
      </c>
      <c r="J44" s="121">
        <f t="shared" si="12"/>
        <v>0.562620316300392</v>
      </c>
      <c r="K44" s="121">
        <f t="shared" si="12"/>
        <v>0.54098107336576162</v>
      </c>
      <c r="L44" s="121">
        <f t="shared" si="12"/>
        <v>0.51934183043113102</v>
      </c>
      <c r="M44" s="121">
        <f t="shared" si="12"/>
        <v>0.49770258749650059</v>
      </c>
      <c r="N44" s="121">
        <f t="shared" si="12"/>
        <v>0.47606334456187016</v>
      </c>
      <c r="O44" s="121">
        <f t="shared" si="12"/>
        <v>0.45442410162723973</v>
      </c>
      <c r="P44" s="121">
        <f t="shared" si="12"/>
        <v>0.43278485869260924</v>
      </c>
      <c r="Q44" s="121">
        <f t="shared" si="12"/>
        <v>0.41114561575797881</v>
      </c>
      <c r="R44" s="121">
        <f t="shared" si="12"/>
        <v>0.38950637282334832</v>
      </c>
      <c r="S44" s="121">
        <f t="shared" si="12"/>
        <v>0.36786712988871784</v>
      </c>
      <c r="T44" s="121">
        <f t="shared" si="12"/>
        <v>0.3462278869540874</v>
      </c>
      <c r="U44" s="121">
        <f t="shared" si="12"/>
        <v>0.32458864401945697</v>
      </c>
      <c r="V44" s="121">
        <f t="shared" si="12"/>
        <v>0.30294940108482649</v>
      </c>
      <c r="W44" s="121">
        <f t="shared" si="12"/>
        <v>0.281310158150196</v>
      </c>
      <c r="X44" s="121">
        <f t="shared" si="12"/>
        <v>0.25967091521556551</v>
      </c>
      <c r="Y44" s="121">
        <f t="shared" si="13"/>
        <v>0.23803167228093508</v>
      </c>
      <c r="Z44" s="121">
        <f t="shared" si="13"/>
        <v>0.21639242934630462</v>
      </c>
      <c r="AA44" s="121">
        <f t="shared" si="13"/>
        <v>0.19475318641167416</v>
      </c>
      <c r="AB44" s="121">
        <f t="shared" si="13"/>
        <v>0.1731139434770437</v>
      </c>
      <c r="AC44" s="121">
        <f t="shared" si="13"/>
        <v>0.15147470054241324</v>
      </c>
      <c r="AD44" s="121">
        <f t="shared" si="13"/>
        <v>0.12983545760778276</v>
      </c>
      <c r="AE44" s="121">
        <f t="shared" si="13"/>
        <v>0.10819621467315231</v>
      </c>
      <c r="AF44" s="121">
        <f t="shared" si="13"/>
        <v>8.6556971738521851E-2</v>
      </c>
      <c r="AG44" s="121">
        <f t="shared" si="13"/>
        <v>6.4917728803891378E-2</v>
      </c>
      <c r="AH44" s="121">
        <f t="shared" si="13"/>
        <v>4.3278485869260926E-2</v>
      </c>
      <c r="AI44" s="121">
        <f t="shared" si="13"/>
        <v>2.1639242934630463E-2</v>
      </c>
      <c r="AJ44" s="121">
        <f t="shared" si="13"/>
        <v>0</v>
      </c>
    </row>
    <row r="45" spans="1:36">
      <c r="B45" s="117" t="s">
        <v>173</v>
      </c>
      <c r="C45" s="122"/>
      <c r="E45" s="117"/>
      <c r="F45" s="121"/>
      <c r="H45" s="35" t="s">
        <v>22</v>
      </c>
      <c r="I45" s="121">
        <f t="shared" si="12"/>
        <v>0.58425955923502249</v>
      </c>
      <c r="J45" s="121">
        <f t="shared" si="12"/>
        <v>0.562620316300392</v>
      </c>
      <c r="K45" s="121">
        <f t="shared" si="12"/>
        <v>0.54098107336576162</v>
      </c>
      <c r="L45" s="121">
        <f t="shared" si="12"/>
        <v>0.51934183043113102</v>
      </c>
      <c r="M45" s="121">
        <f t="shared" si="12"/>
        <v>0.49770258749650059</v>
      </c>
      <c r="N45" s="121">
        <f t="shared" si="12"/>
        <v>0.47606334456187016</v>
      </c>
      <c r="O45" s="121">
        <f t="shared" si="12"/>
        <v>0.45442410162723973</v>
      </c>
      <c r="P45" s="121">
        <f t="shared" si="12"/>
        <v>0.43278485869260924</v>
      </c>
      <c r="Q45" s="121">
        <f t="shared" si="12"/>
        <v>0.41114561575797881</v>
      </c>
      <c r="R45" s="121">
        <f t="shared" si="12"/>
        <v>0.38950637282334832</v>
      </c>
      <c r="S45" s="121">
        <f t="shared" si="12"/>
        <v>0.36786712988871784</v>
      </c>
      <c r="T45" s="121">
        <f t="shared" si="12"/>
        <v>0.3462278869540874</v>
      </c>
      <c r="U45" s="121">
        <f t="shared" si="12"/>
        <v>0.32458864401945697</v>
      </c>
      <c r="V45" s="121">
        <f t="shared" si="12"/>
        <v>0.30294940108482649</v>
      </c>
      <c r="W45" s="121">
        <f t="shared" si="12"/>
        <v>0.281310158150196</v>
      </c>
      <c r="X45" s="121">
        <f t="shared" si="12"/>
        <v>0.25967091521556551</v>
      </c>
      <c r="Y45" s="121">
        <f t="shared" si="13"/>
        <v>0.23803167228093508</v>
      </c>
      <c r="Z45" s="121">
        <f t="shared" si="13"/>
        <v>0.21639242934630462</v>
      </c>
      <c r="AA45" s="121">
        <f t="shared" si="13"/>
        <v>0.19475318641167416</v>
      </c>
      <c r="AB45" s="121">
        <f t="shared" si="13"/>
        <v>0.1731139434770437</v>
      </c>
      <c r="AC45" s="121">
        <f t="shared" si="13"/>
        <v>0.15147470054241324</v>
      </c>
      <c r="AD45" s="121">
        <f t="shared" si="13"/>
        <v>0.12983545760778276</v>
      </c>
      <c r="AE45" s="121">
        <f t="shared" si="13"/>
        <v>0.10819621467315231</v>
      </c>
      <c r="AF45" s="121">
        <f t="shared" si="13"/>
        <v>8.6556971738521851E-2</v>
      </c>
      <c r="AG45" s="121">
        <f t="shared" si="13"/>
        <v>6.4917728803891378E-2</v>
      </c>
      <c r="AH45" s="121">
        <f t="shared" si="13"/>
        <v>4.3278485869260926E-2</v>
      </c>
      <c r="AI45" s="121">
        <f t="shared" si="13"/>
        <v>2.1639242934630463E-2</v>
      </c>
      <c r="AJ45" s="121">
        <f t="shared" si="13"/>
        <v>0</v>
      </c>
    </row>
    <row r="46" spans="1:36">
      <c r="B46" s="117" t="s">
        <v>173</v>
      </c>
      <c r="C46" s="122"/>
      <c r="E46" s="117"/>
      <c r="F46" s="121"/>
      <c r="H46" s="35" t="s">
        <v>24</v>
      </c>
      <c r="I46" s="121">
        <f t="shared" si="12"/>
        <v>0.58425955923502249</v>
      </c>
      <c r="J46" s="121">
        <f t="shared" si="12"/>
        <v>0.562620316300392</v>
      </c>
      <c r="K46" s="121">
        <f t="shared" si="12"/>
        <v>0.54098107336576162</v>
      </c>
      <c r="L46" s="121">
        <f t="shared" si="12"/>
        <v>0.51934183043113102</v>
      </c>
      <c r="M46" s="121">
        <f t="shared" si="12"/>
        <v>0.49770258749650059</v>
      </c>
      <c r="N46" s="121">
        <f t="shared" si="12"/>
        <v>0.47606334456187016</v>
      </c>
      <c r="O46" s="121">
        <f t="shared" si="12"/>
        <v>0.45442410162723973</v>
      </c>
      <c r="P46" s="121">
        <f t="shared" si="12"/>
        <v>0.43278485869260924</v>
      </c>
      <c r="Q46" s="121">
        <f t="shared" si="12"/>
        <v>0.41114561575797881</v>
      </c>
      <c r="R46" s="121">
        <f t="shared" si="12"/>
        <v>0.38950637282334832</v>
      </c>
      <c r="S46" s="121">
        <f t="shared" si="12"/>
        <v>0.36786712988871784</v>
      </c>
      <c r="T46" s="121">
        <f t="shared" si="12"/>
        <v>0.3462278869540874</v>
      </c>
      <c r="U46" s="121">
        <f t="shared" si="12"/>
        <v>0.32458864401945697</v>
      </c>
      <c r="V46" s="121">
        <f t="shared" si="12"/>
        <v>0.30294940108482649</v>
      </c>
      <c r="W46" s="121">
        <f t="shared" si="12"/>
        <v>0.281310158150196</v>
      </c>
      <c r="X46" s="121">
        <f t="shared" si="12"/>
        <v>0.25967091521556551</v>
      </c>
      <c r="Y46" s="121">
        <f t="shared" si="13"/>
        <v>0.23803167228093508</v>
      </c>
      <c r="Z46" s="121">
        <f t="shared" si="13"/>
        <v>0.21639242934630462</v>
      </c>
      <c r="AA46" s="121">
        <f t="shared" si="13"/>
        <v>0.19475318641167416</v>
      </c>
      <c r="AB46" s="121">
        <f t="shared" si="13"/>
        <v>0.1731139434770437</v>
      </c>
      <c r="AC46" s="121">
        <f t="shared" si="13"/>
        <v>0.15147470054241324</v>
      </c>
      <c r="AD46" s="121">
        <f t="shared" si="13"/>
        <v>0.12983545760778276</v>
      </c>
      <c r="AE46" s="121">
        <f t="shared" si="13"/>
        <v>0.10819621467315231</v>
      </c>
      <c r="AF46" s="121">
        <f t="shared" si="13"/>
        <v>8.6556971738521851E-2</v>
      </c>
      <c r="AG46" s="121">
        <f t="shared" si="13"/>
        <v>6.4917728803891378E-2</v>
      </c>
      <c r="AH46" s="121">
        <f t="shared" si="13"/>
        <v>4.3278485869260926E-2</v>
      </c>
      <c r="AI46" s="121">
        <f t="shared" si="13"/>
        <v>2.1639242934630463E-2</v>
      </c>
      <c r="AJ46" s="121">
        <f t="shared" si="13"/>
        <v>0</v>
      </c>
    </row>
    <row r="47" spans="1:36">
      <c r="B47" s="117" t="s">
        <v>173</v>
      </c>
      <c r="C47" s="122"/>
      <c r="E47" s="117"/>
      <c r="F47" s="121"/>
      <c r="H47" s="35" t="s">
        <v>25</v>
      </c>
      <c r="I47" s="121">
        <f t="shared" si="12"/>
        <v>0.58425955923502249</v>
      </c>
      <c r="J47" s="121">
        <f t="shared" si="12"/>
        <v>0.562620316300392</v>
      </c>
      <c r="K47" s="121">
        <f t="shared" si="12"/>
        <v>0.54098107336576162</v>
      </c>
      <c r="L47" s="121">
        <f t="shared" si="12"/>
        <v>0.51934183043113102</v>
      </c>
      <c r="M47" s="121">
        <f t="shared" si="12"/>
        <v>0.49770258749650059</v>
      </c>
      <c r="N47" s="121">
        <f t="shared" si="12"/>
        <v>0.47606334456187016</v>
      </c>
      <c r="O47" s="121">
        <f t="shared" si="12"/>
        <v>0.45442410162723973</v>
      </c>
      <c r="P47" s="121">
        <f t="shared" si="12"/>
        <v>0.43278485869260924</v>
      </c>
      <c r="Q47" s="121">
        <f t="shared" si="12"/>
        <v>0.41114561575797881</v>
      </c>
      <c r="R47" s="121">
        <f t="shared" si="12"/>
        <v>0.38950637282334832</v>
      </c>
      <c r="S47" s="121">
        <f t="shared" si="12"/>
        <v>0.36786712988871784</v>
      </c>
      <c r="T47" s="121">
        <f t="shared" si="12"/>
        <v>0.3462278869540874</v>
      </c>
      <c r="U47" s="121">
        <f t="shared" si="12"/>
        <v>0.32458864401945697</v>
      </c>
      <c r="V47" s="121">
        <f t="shared" si="12"/>
        <v>0.30294940108482649</v>
      </c>
      <c r="W47" s="121">
        <f t="shared" si="12"/>
        <v>0.281310158150196</v>
      </c>
      <c r="X47" s="121">
        <f t="shared" si="12"/>
        <v>0.25967091521556551</v>
      </c>
      <c r="Y47" s="121">
        <f t="shared" si="13"/>
        <v>0.23803167228093508</v>
      </c>
      <c r="Z47" s="121">
        <f t="shared" si="13"/>
        <v>0.21639242934630462</v>
      </c>
      <c r="AA47" s="121">
        <f t="shared" si="13"/>
        <v>0.19475318641167416</v>
      </c>
      <c r="AB47" s="121">
        <f t="shared" si="13"/>
        <v>0.1731139434770437</v>
      </c>
      <c r="AC47" s="121">
        <f t="shared" si="13"/>
        <v>0.15147470054241324</v>
      </c>
      <c r="AD47" s="121">
        <f t="shared" si="13"/>
        <v>0.12983545760778276</v>
      </c>
      <c r="AE47" s="121">
        <f t="shared" si="13"/>
        <v>0.10819621467315231</v>
      </c>
      <c r="AF47" s="121">
        <f t="shared" si="13"/>
        <v>8.6556971738521851E-2</v>
      </c>
      <c r="AG47" s="121">
        <f t="shared" si="13"/>
        <v>6.4917728803891378E-2</v>
      </c>
      <c r="AH47" s="121">
        <f t="shared" si="13"/>
        <v>4.3278485869260926E-2</v>
      </c>
      <c r="AI47" s="121">
        <f t="shared" si="13"/>
        <v>2.1639242934630463E-2</v>
      </c>
      <c r="AJ47" s="121">
        <f t="shared" si="13"/>
        <v>0</v>
      </c>
    </row>
    <row r="48" spans="1:36">
      <c r="B48" s="117" t="s">
        <v>173</v>
      </c>
      <c r="C48" s="122"/>
      <c r="E48" s="117"/>
      <c r="F48" s="121"/>
      <c r="H48" s="117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</row>
    <row r="49" spans="2:36">
      <c r="B49" s="117" t="s">
        <v>173</v>
      </c>
      <c r="C49" s="122"/>
      <c r="E49" s="117"/>
      <c r="F49" s="121"/>
      <c r="H49" s="117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</row>
    <row r="50" spans="2:36">
      <c r="B50" s="117" t="s">
        <v>173</v>
      </c>
      <c r="C50" s="122"/>
      <c r="E50" s="117"/>
      <c r="F50" s="121"/>
      <c r="H50" s="117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</row>
    <row r="51" spans="2:36"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</row>
    <row r="52" spans="2:36">
      <c r="B52" s="113" t="s">
        <v>41</v>
      </c>
      <c r="E52" s="113" t="s">
        <v>65</v>
      </c>
      <c r="H52" s="113" t="s">
        <v>68</v>
      </c>
      <c r="I52" s="115">
        <v>2023</v>
      </c>
      <c r="J52" s="115">
        <v>2024</v>
      </c>
      <c r="K52" s="115">
        <v>2025</v>
      </c>
      <c r="L52" s="115">
        <v>2026</v>
      </c>
      <c r="M52" s="115">
        <v>2027</v>
      </c>
      <c r="N52" s="115">
        <v>2028</v>
      </c>
      <c r="O52" s="115">
        <v>2029</v>
      </c>
      <c r="P52" s="115">
        <v>2030</v>
      </c>
      <c r="Q52" s="115">
        <v>2031</v>
      </c>
      <c r="R52" s="115">
        <v>2032</v>
      </c>
      <c r="S52" s="115">
        <v>2033</v>
      </c>
      <c r="T52" s="115">
        <v>2034</v>
      </c>
      <c r="U52" s="115">
        <v>2035</v>
      </c>
      <c r="V52" s="115">
        <v>2036</v>
      </c>
      <c r="W52" s="115">
        <v>2037</v>
      </c>
      <c r="X52" s="115">
        <v>2038</v>
      </c>
      <c r="Y52" s="115">
        <v>2039</v>
      </c>
      <c r="Z52" s="115">
        <v>2040</v>
      </c>
      <c r="AA52" s="115">
        <v>2041</v>
      </c>
      <c r="AB52" s="115">
        <v>2042</v>
      </c>
      <c r="AC52" s="115">
        <v>2043</v>
      </c>
      <c r="AD52" s="115">
        <v>2044</v>
      </c>
      <c r="AE52" s="115">
        <v>2045</v>
      </c>
      <c r="AF52" s="115">
        <v>2046</v>
      </c>
      <c r="AG52" s="115">
        <v>2047</v>
      </c>
      <c r="AH52" s="115">
        <v>2048</v>
      </c>
      <c r="AI52" s="115">
        <v>2049</v>
      </c>
      <c r="AJ52" s="115">
        <v>2050</v>
      </c>
    </row>
    <row r="53" spans="2:36">
      <c r="B53" s="117" t="s">
        <v>8</v>
      </c>
      <c r="C53" s="80">
        <f>'1.Input data Coal India'!E8</f>
        <v>6843.0999999999995</v>
      </c>
      <c r="E53" s="117"/>
      <c r="F53" s="121"/>
      <c r="H53" s="117" t="s">
        <v>8</v>
      </c>
      <c r="I53" s="121">
        <f>I137</f>
        <v>10.684819934898</v>
      </c>
      <c r="J53" s="121">
        <f t="shared" ref="J53:AJ53" si="14">J137</f>
        <v>10.522418050588</v>
      </c>
      <c r="K53" s="121">
        <f t="shared" si="14"/>
        <v>10.360016166277999</v>
      </c>
      <c r="L53" s="121">
        <f t="shared" si="14"/>
        <v>10.197614281968001</v>
      </c>
      <c r="M53" s="121">
        <f t="shared" si="14"/>
        <v>10.048064596531201</v>
      </c>
      <c r="N53" s="121">
        <f t="shared" si="14"/>
        <v>9.8985149110944022</v>
      </c>
      <c r="O53" s="121">
        <f t="shared" si="14"/>
        <v>9.7489652256576029</v>
      </c>
      <c r="P53" s="121">
        <f t="shared" si="14"/>
        <v>9.5994155402208037</v>
      </c>
      <c r="Q53" s="121">
        <f t="shared" si="14"/>
        <v>9.4498658547840009</v>
      </c>
      <c r="R53" s="121">
        <f t="shared" si="14"/>
        <v>9.3289080907968014</v>
      </c>
      <c r="S53" s="121">
        <f t="shared" si="14"/>
        <v>9.2079503268096019</v>
      </c>
      <c r="T53" s="121">
        <f t="shared" si="14"/>
        <v>9.0869925628224024</v>
      </c>
      <c r="U53" s="121">
        <f t="shared" si="14"/>
        <v>8.9660347988352029</v>
      </c>
      <c r="V53" s="121">
        <f t="shared" si="14"/>
        <v>8.8450770348480017</v>
      </c>
      <c r="W53" s="121">
        <f t="shared" si="14"/>
        <v>8.7615659120004015</v>
      </c>
      <c r="X53" s="121">
        <f t="shared" si="14"/>
        <v>8.6780547891528013</v>
      </c>
      <c r="Y53" s="121">
        <f t="shared" si="14"/>
        <v>8.5945436663052011</v>
      </c>
      <c r="Z53" s="121">
        <f t="shared" si="14"/>
        <v>8.5110325434576009</v>
      </c>
      <c r="AA53" s="121">
        <f t="shared" si="14"/>
        <v>8.4275214206099971</v>
      </c>
      <c r="AB53" s="121">
        <f t="shared" si="14"/>
        <v>8.3774795319675981</v>
      </c>
      <c r="AC53" s="121">
        <f t="shared" si="14"/>
        <v>8.3274376433251991</v>
      </c>
      <c r="AD53" s="121">
        <f t="shared" si="14"/>
        <v>8.2773957546828001</v>
      </c>
      <c r="AE53" s="121">
        <f t="shared" si="14"/>
        <v>8.2273538660404011</v>
      </c>
      <c r="AF53" s="121">
        <f t="shared" si="14"/>
        <v>8.1773119773979985</v>
      </c>
      <c r="AG53" s="121">
        <f t="shared" si="14"/>
        <v>8.156843246297198</v>
      </c>
      <c r="AH53" s="121">
        <f t="shared" si="14"/>
        <v>8.1363745151963975</v>
      </c>
      <c r="AI53" s="121">
        <f t="shared" si="14"/>
        <v>8.115905784095597</v>
      </c>
      <c r="AJ53" s="121">
        <f t="shared" si="14"/>
        <v>8.0954370529947965</v>
      </c>
    </row>
    <row r="54" spans="2:36">
      <c r="B54" s="117" t="s">
        <v>173</v>
      </c>
      <c r="C54" s="122"/>
      <c r="E54" s="117"/>
      <c r="F54" s="121"/>
      <c r="H54" s="35" t="s">
        <v>12</v>
      </c>
      <c r="I54" s="121">
        <f t="shared" ref="I54:AJ59" si="15">I138</f>
        <v>25.0414200753724</v>
      </c>
      <c r="J54" s="121">
        <f t="shared" si="15"/>
        <v>32.057318261299599</v>
      </c>
      <c r="K54" s="121">
        <f t="shared" si="15"/>
        <v>39.073216447226798</v>
      </c>
      <c r="L54" s="121">
        <f t="shared" si="15"/>
        <v>46.089114633153997</v>
      </c>
      <c r="M54" s="121">
        <f t="shared" si="15"/>
        <v>48.072200152634402</v>
      </c>
      <c r="N54" s="121">
        <f t="shared" si="15"/>
        <v>50.055285672114806</v>
      </c>
      <c r="O54" s="121">
        <f t="shared" si="15"/>
        <v>52.038371191595211</v>
      </c>
      <c r="P54" s="121">
        <f t="shared" si="15"/>
        <v>54.021456711075615</v>
      </c>
      <c r="Q54" s="121">
        <f t="shared" si="15"/>
        <v>56.004542230556012</v>
      </c>
      <c r="R54" s="121">
        <f t="shared" si="15"/>
        <v>58.561105124668011</v>
      </c>
      <c r="S54" s="121">
        <f t="shared" si="15"/>
        <v>61.117668018780009</v>
      </c>
      <c r="T54" s="121">
        <f t="shared" si="15"/>
        <v>63.674230912892007</v>
      </c>
      <c r="U54" s="121">
        <f t="shared" si="15"/>
        <v>66.230793807004005</v>
      </c>
      <c r="V54" s="121">
        <f t="shared" si="15"/>
        <v>68.787356701116011</v>
      </c>
      <c r="W54" s="121">
        <f t="shared" si="15"/>
        <v>71.680261317830414</v>
      </c>
      <c r="X54" s="121">
        <f t="shared" si="15"/>
        <v>74.573165934544818</v>
      </c>
      <c r="Y54" s="121">
        <f t="shared" si="15"/>
        <v>77.466070551259222</v>
      </c>
      <c r="Z54" s="121">
        <f t="shared" si="15"/>
        <v>80.358975167973625</v>
      </c>
      <c r="AA54" s="121">
        <f t="shared" si="15"/>
        <v>83.251879784688001</v>
      </c>
      <c r="AB54" s="121">
        <f t="shared" si="15"/>
        <v>86.7434979985468</v>
      </c>
      <c r="AC54" s="121">
        <f t="shared" si="15"/>
        <v>90.2351162124056</v>
      </c>
      <c r="AD54" s="121">
        <f t="shared" si="15"/>
        <v>93.7267344262644</v>
      </c>
      <c r="AE54" s="121">
        <f t="shared" si="15"/>
        <v>97.2183526401232</v>
      </c>
      <c r="AF54" s="121">
        <f t="shared" si="15"/>
        <v>100.709970853982</v>
      </c>
      <c r="AG54" s="121">
        <f t="shared" si="15"/>
        <v>104.9548035272808</v>
      </c>
      <c r="AH54" s="121">
        <f t="shared" si="15"/>
        <v>109.1996362005796</v>
      </c>
      <c r="AI54" s="121">
        <f t="shared" si="15"/>
        <v>113.44446887387841</v>
      </c>
      <c r="AJ54" s="121">
        <f t="shared" si="15"/>
        <v>117.68930154717721</v>
      </c>
    </row>
    <row r="55" spans="2:36">
      <c r="B55" s="117" t="s">
        <v>173</v>
      </c>
      <c r="C55" s="122"/>
      <c r="E55" s="117"/>
      <c r="F55" s="121"/>
      <c r="H55" s="35" t="s">
        <v>15</v>
      </c>
      <c r="I55" s="121">
        <f t="shared" si="15"/>
        <v>10.684819934898</v>
      </c>
      <c r="J55" s="121">
        <f t="shared" si="15"/>
        <v>10.522418050588</v>
      </c>
      <c r="K55" s="121">
        <f t="shared" si="15"/>
        <v>10.360016166277999</v>
      </c>
      <c r="L55" s="121">
        <f t="shared" si="15"/>
        <v>10.197614281968001</v>
      </c>
      <c r="M55" s="121">
        <f t="shared" si="15"/>
        <v>10.048064596531201</v>
      </c>
      <c r="N55" s="121">
        <f t="shared" si="15"/>
        <v>9.8985149110944022</v>
      </c>
      <c r="O55" s="121">
        <f t="shared" si="15"/>
        <v>9.7489652256576029</v>
      </c>
      <c r="P55" s="121">
        <f t="shared" si="15"/>
        <v>9.5994155402208037</v>
      </c>
      <c r="Q55" s="121">
        <f t="shared" si="15"/>
        <v>9.4498658547840009</v>
      </c>
      <c r="R55" s="121">
        <f t="shared" si="15"/>
        <v>9.3289080907968014</v>
      </c>
      <c r="S55" s="121">
        <f t="shared" si="15"/>
        <v>9.2079503268096019</v>
      </c>
      <c r="T55" s="121">
        <f t="shared" si="15"/>
        <v>9.0869925628224024</v>
      </c>
      <c r="U55" s="121">
        <f t="shared" si="15"/>
        <v>8.9660347988352029</v>
      </c>
      <c r="V55" s="121">
        <f t="shared" si="15"/>
        <v>8.8450770348480017</v>
      </c>
      <c r="W55" s="121">
        <f t="shared" si="15"/>
        <v>8.7615659120004015</v>
      </c>
      <c r="X55" s="121">
        <f t="shared" si="15"/>
        <v>8.6780547891528013</v>
      </c>
      <c r="Y55" s="121">
        <f t="shared" si="15"/>
        <v>8.5945436663052011</v>
      </c>
      <c r="Z55" s="121">
        <f t="shared" si="15"/>
        <v>8.5110325434576009</v>
      </c>
      <c r="AA55" s="121">
        <f t="shared" si="15"/>
        <v>8.4275214206099971</v>
      </c>
      <c r="AB55" s="121">
        <f t="shared" si="15"/>
        <v>8.3774795319675981</v>
      </c>
      <c r="AC55" s="121">
        <f t="shared" si="15"/>
        <v>8.3274376433251991</v>
      </c>
      <c r="AD55" s="121">
        <f t="shared" si="15"/>
        <v>8.2773957546828001</v>
      </c>
      <c r="AE55" s="121">
        <f t="shared" si="15"/>
        <v>8.2273538660404011</v>
      </c>
      <c r="AF55" s="121">
        <f t="shared" si="15"/>
        <v>8.1773119773979985</v>
      </c>
      <c r="AG55" s="121">
        <f t="shared" si="15"/>
        <v>8.156843246297198</v>
      </c>
      <c r="AH55" s="121">
        <f t="shared" si="15"/>
        <v>8.1363745151963975</v>
      </c>
      <c r="AI55" s="121">
        <f t="shared" si="15"/>
        <v>8.115905784095597</v>
      </c>
      <c r="AJ55" s="121">
        <f t="shared" si="15"/>
        <v>8.0954370529947965</v>
      </c>
    </row>
    <row r="56" spans="2:36">
      <c r="B56" s="117" t="s">
        <v>173</v>
      </c>
      <c r="C56" s="122"/>
      <c r="E56" s="117"/>
      <c r="F56" s="121"/>
      <c r="H56" s="35" t="s">
        <v>19</v>
      </c>
      <c r="I56" s="121">
        <f t="shared" si="15"/>
        <v>10.683416029531601</v>
      </c>
      <c r="J56" s="121">
        <f t="shared" si="15"/>
        <v>10.520312192538402</v>
      </c>
      <c r="K56" s="121">
        <f t="shared" si="15"/>
        <v>10.357208355545202</v>
      </c>
      <c r="L56" s="121">
        <f t="shared" si="15"/>
        <v>10.194104518552001</v>
      </c>
      <c r="M56" s="121">
        <f t="shared" si="15"/>
        <v>10.044331579195601</v>
      </c>
      <c r="N56" s="121">
        <f t="shared" si="15"/>
        <v>9.894558639839202</v>
      </c>
      <c r="O56" s="121">
        <f t="shared" si="15"/>
        <v>9.7447857004828027</v>
      </c>
      <c r="P56" s="121">
        <f t="shared" si="15"/>
        <v>9.5950127611264033</v>
      </c>
      <c r="Q56" s="121">
        <f t="shared" si="15"/>
        <v>9.4452398217700004</v>
      </c>
      <c r="R56" s="121">
        <f t="shared" si="15"/>
        <v>32.6149095809008</v>
      </c>
      <c r="S56" s="121">
        <f t="shared" si="15"/>
        <v>55.784579340031598</v>
      </c>
      <c r="T56" s="121">
        <f t="shared" si="15"/>
        <v>78.954249099162396</v>
      </c>
      <c r="U56" s="121">
        <f t="shared" si="15"/>
        <v>102.12391885829319</v>
      </c>
      <c r="V56" s="121">
        <f t="shared" si="15"/>
        <v>125.29358861742401</v>
      </c>
      <c r="W56" s="121">
        <f t="shared" si="15"/>
        <v>137.87139825438243</v>
      </c>
      <c r="X56" s="121">
        <f t="shared" si="15"/>
        <v>150.44920789134085</v>
      </c>
      <c r="Y56" s="121">
        <f t="shared" si="15"/>
        <v>163.02701752829927</v>
      </c>
      <c r="Z56" s="121">
        <f t="shared" si="15"/>
        <v>175.60482716525769</v>
      </c>
      <c r="AA56" s="121">
        <f t="shared" si="15"/>
        <v>188.18263680221611</v>
      </c>
      <c r="AB56" s="121">
        <f t="shared" si="15"/>
        <v>202.39666240802129</v>
      </c>
      <c r="AC56" s="121">
        <f t="shared" si="15"/>
        <v>216.61068801382646</v>
      </c>
      <c r="AD56" s="121">
        <f t="shared" si="15"/>
        <v>230.82471361963164</v>
      </c>
      <c r="AE56" s="121">
        <f t="shared" si="15"/>
        <v>245.03873922543681</v>
      </c>
      <c r="AF56" s="121">
        <f t="shared" si="15"/>
        <v>259.25276483124202</v>
      </c>
      <c r="AG56" s="121">
        <f t="shared" si="15"/>
        <v>274.66921805831521</v>
      </c>
      <c r="AH56" s="121">
        <f t="shared" si="15"/>
        <v>290.0856712853884</v>
      </c>
      <c r="AI56" s="121">
        <f t="shared" si="15"/>
        <v>305.50212451246159</v>
      </c>
      <c r="AJ56" s="121">
        <f t="shared" si="15"/>
        <v>320.91857773953478</v>
      </c>
    </row>
    <row r="57" spans="2:36">
      <c r="B57" s="117" t="s">
        <v>173</v>
      </c>
      <c r="C57" s="122"/>
      <c r="E57" s="117"/>
      <c r="F57" s="121"/>
      <c r="H57" s="35" t="s">
        <v>22</v>
      </c>
      <c r="I57" s="121">
        <f t="shared" si="15"/>
        <v>10.683416029531601</v>
      </c>
      <c r="J57" s="121">
        <f t="shared" si="15"/>
        <v>10.520312192538402</v>
      </c>
      <c r="K57" s="121">
        <f t="shared" si="15"/>
        <v>10.357208355545202</v>
      </c>
      <c r="L57" s="121">
        <f t="shared" si="15"/>
        <v>10.194104518552001</v>
      </c>
      <c r="M57" s="121">
        <f t="shared" si="15"/>
        <v>10.044331579195601</v>
      </c>
      <c r="N57" s="121">
        <f t="shared" si="15"/>
        <v>9.894558639839202</v>
      </c>
      <c r="O57" s="121">
        <f t="shared" si="15"/>
        <v>9.7447857004828027</v>
      </c>
      <c r="P57" s="121">
        <f t="shared" si="15"/>
        <v>9.5950127611264033</v>
      </c>
      <c r="Q57" s="121">
        <f t="shared" si="15"/>
        <v>9.4452398217700004</v>
      </c>
      <c r="R57" s="121">
        <f t="shared" si="15"/>
        <v>27.039689652890402</v>
      </c>
      <c r="S57" s="121">
        <f t="shared" si="15"/>
        <v>44.634139484010802</v>
      </c>
      <c r="T57" s="121">
        <f t="shared" si="15"/>
        <v>62.228589315131202</v>
      </c>
      <c r="U57" s="121">
        <f t="shared" si="15"/>
        <v>79.823039146251602</v>
      </c>
      <c r="V57" s="121">
        <f t="shared" si="15"/>
        <v>97.417488977372017</v>
      </c>
      <c r="W57" s="121">
        <f t="shared" si="15"/>
        <v>101.47175893300961</v>
      </c>
      <c r="X57" s="121">
        <f t="shared" si="15"/>
        <v>105.5260288886472</v>
      </c>
      <c r="Y57" s="121">
        <f t="shared" si="15"/>
        <v>109.5802988442848</v>
      </c>
      <c r="Z57" s="121">
        <f t="shared" si="15"/>
        <v>113.63456879992239</v>
      </c>
      <c r="AA57" s="121">
        <f t="shared" si="15"/>
        <v>117.68883875556</v>
      </c>
      <c r="AB57" s="121">
        <f t="shared" si="15"/>
        <v>121.4130372400912</v>
      </c>
      <c r="AC57" s="121">
        <f t="shared" si="15"/>
        <v>125.1372357246224</v>
      </c>
      <c r="AD57" s="121">
        <f t="shared" si="15"/>
        <v>128.8614342091536</v>
      </c>
      <c r="AE57" s="121">
        <f t="shared" si="15"/>
        <v>132.5856326936848</v>
      </c>
      <c r="AF57" s="121">
        <f t="shared" si="15"/>
        <v>136.309831178216</v>
      </c>
      <c r="AG57" s="121">
        <f t="shared" si="15"/>
        <v>139.9807007772028</v>
      </c>
      <c r="AH57" s="121">
        <f t="shared" si="15"/>
        <v>143.6515703761896</v>
      </c>
      <c r="AI57" s="121">
        <f t="shared" si="15"/>
        <v>147.32243997517639</v>
      </c>
      <c r="AJ57" s="121">
        <f t="shared" si="15"/>
        <v>150.99330957416319</v>
      </c>
    </row>
    <row r="58" spans="2:36">
      <c r="B58" s="117" t="s">
        <v>173</v>
      </c>
      <c r="C58" s="122"/>
      <c r="E58" s="117"/>
      <c r="F58" s="121"/>
      <c r="H58" s="35" t="s">
        <v>24</v>
      </c>
      <c r="I58" s="121">
        <f t="shared" si="15"/>
        <v>19.173481846293999</v>
      </c>
      <c r="J58" s="121">
        <f t="shared" si="15"/>
        <v>23.255410917681999</v>
      </c>
      <c r="K58" s="121">
        <f t="shared" si="15"/>
        <v>27.337339989069999</v>
      </c>
      <c r="L58" s="121">
        <f t="shared" si="15"/>
        <v>31.419269060457999</v>
      </c>
      <c r="M58" s="121">
        <f t="shared" si="15"/>
        <v>34.9382503797844</v>
      </c>
      <c r="N58" s="121">
        <f t="shared" si="15"/>
        <v>38.4572316991108</v>
      </c>
      <c r="O58" s="121">
        <f t="shared" si="15"/>
        <v>41.9762130184372</v>
      </c>
      <c r="P58" s="121">
        <f t="shared" si="15"/>
        <v>45.4951943377636</v>
      </c>
      <c r="Q58" s="121">
        <f t="shared" si="15"/>
        <v>49.014175657089993</v>
      </c>
      <c r="R58" s="121">
        <f t="shared" si="15"/>
        <v>49.260799456695992</v>
      </c>
      <c r="S58" s="121">
        <f t="shared" si="15"/>
        <v>49.50742325630199</v>
      </c>
      <c r="T58" s="121">
        <f t="shared" si="15"/>
        <v>49.754047055907989</v>
      </c>
      <c r="U58" s="121">
        <f t="shared" si="15"/>
        <v>50.000670855513988</v>
      </c>
      <c r="V58" s="121">
        <f t="shared" si="15"/>
        <v>50.247294655119987</v>
      </c>
      <c r="W58" s="121">
        <f t="shared" si="15"/>
        <v>50.783110597825988</v>
      </c>
      <c r="X58" s="121">
        <f t="shared" si="15"/>
        <v>51.31892654053199</v>
      </c>
      <c r="Y58" s="121">
        <f t="shared" si="15"/>
        <v>51.854742483237992</v>
      </c>
      <c r="Z58" s="121">
        <f t="shared" si="15"/>
        <v>52.390558425943993</v>
      </c>
      <c r="AA58" s="121">
        <f t="shared" si="15"/>
        <v>52.926374368650002</v>
      </c>
      <c r="AB58" s="121">
        <f t="shared" si="15"/>
        <v>53.642654937641602</v>
      </c>
      <c r="AC58" s="121">
        <f t="shared" si="15"/>
        <v>54.358935506633202</v>
      </c>
      <c r="AD58" s="121">
        <f t="shared" si="15"/>
        <v>55.075216075624802</v>
      </c>
      <c r="AE58" s="121">
        <f t="shared" si="15"/>
        <v>55.791496644616402</v>
      </c>
      <c r="AF58" s="121">
        <f t="shared" si="15"/>
        <v>56.507777213607987</v>
      </c>
      <c r="AG58" s="121">
        <f t="shared" si="15"/>
        <v>57.263574656870389</v>
      </c>
      <c r="AH58" s="121">
        <f t="shared" si="15"/>
        <v>58.019372100132792</v>
      </c>
      <c r="AI58" s="121">
        <f t="shared" si="15"/>
        <v>58.775169543395194</v>
      </c>
      <c r="AJ58" s="121">
        <f t="shared" si="15"/>
        <v>59.530966986657596</v>
      </c>
    </row>
    <row r="59" spans="2:36">
      <c r="B59" s="117" t="s">
        <v>173</v>
      </c>
      <c r="C59" s="122"/>
      <c r="E59" s="117"/>
      <c r="F59" s="121"/>
      <c r="H59" s="35" t="s">
        <v>25</v>
      </c>
      <c r="I59" s="121">
        <f t="shared" si="15"/>
        <v>65.469516307497202</v>
      </c>
      <c r="J59" s="121">
        <f t="shared" si="15"/>
        <v>92.699462609486801</v>
      </c>
      <c r="K59" s="121">
        <f t="shared" si="15"/>
        <v>119.9294089114764</v>
      </c>
      <c r="L59" s="121">
        <f t="shared" si="15"/>
        <v>147.159355213466</v>
      </c>
      <c r="M59" s="121">
        <f t="shared" si="15"/>
        <v>156.13345781564999</v>
      </c>
      <c r="N59" s="121">
        <f t="shared" si="15"/>
        <v>165.10756041783398</v>
      </c>
      <c r="O59" s="121">
        <f t="shared" si="15"/>
        <v>174.08166302001797</v>
      </c>
      <c r="P59" s="121">
        <f t="shared" si="15"/>
        <v>183.05576562220196</v>
      </c>
      <c r="Q59" s="121">
        <f t="shared" si="15"/>
        <v>192.02986822438601</v>
      </c>
      <c r="R59" s="121">
        <f t="shared" si="15"/>
        <v>205.74762901307679</v>
      </c>
      <c r="S59" s="121">
        <f t="shared" si="15"/>
        <v>219.46538980176757</v>
      </c>
      <c r="T59" s="121">
        <f t="shared" si="15"/>
        <v>233.18315059045835</v>
      </c>
      <c r="U59" s="121">
        <f t="shared" si="15"/>
        <v>246.90091137914914</v>
      </c>
      <c r="V59" s="121">
        <f t="shared" si="15"/>
        <v>260.61867216783997</v>
      </c>
      <c r="W59" s="121">
        <f t="shared" si="15"/>
        <v>276.92654087641876</v>
      </c>
      <c r="X59" s="121">
        <f t="shared" si="15"/>
        <v>293.23440958499754</v>
      </c>
      <c r="Y59" s="121">
        <f t="shared" si="15"/>
        <v>309.54227829357632</v>
      </c>
      <c r="Z59" s="121">
        <f t="shared" si="15"/>
        <v>325.8501470021551</v>
      </c>
      <c r="AA59" s="121">
        <f t="shared" si="15"/>
        <v>342.15801571073399</v>
      </c>
      <c r="AB59" s="121">
        <f t="shared" si="15"/>
        <v>362.56755237622519</v>
      </c>
      <c r="AC59" s="121">
        <f t="shared" si="15"/>
        <v>382.9770890417164</v>
      </c>
      <c r="AD59" s="121">
        <f t="shared" si="15"/>
        <v>403.3866257072076</v>
      </c>
      <c r="AE59" s="121">
        <f t="shared" si="15"/>
        <v>423.7961623726988</v>
      </c>
      <c r="AF59" s="121">
        <f t="shared" si="15"/>
        <v>444.20569903818989</v>
      </c>
      <c r="AG59" s="121">
        <f t="shared" si="15"/>
        <v>469.32704171267989</v>
      </c>
      <c r="AH59" s="121">
        <f t="shared" si="15"/>
        <v>494.44838438716988</v>
      </c>
      <c r="AI59" s="121">
        <f t="shared" si="15"/>
        <v>519.56972706165993</v>
      </c>
      <c r="AJ59" s="121">
        <f t="shared" si="15"/>
        <v>544.69106973614998</v>
      </c>
    </row>
    <row r="60" spans="2:36">
      <c r="B60" s="117" t="s">
        <v>173</v>
      </c>
      <c r="C60" s="122"/>
      <c r="E60" s="117"/>
      <c r="F60" s="121"/>
      <c r="H60" s="117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</row>
    <row r="61" spans="2:36">
      <c r="B61" s="117" t="s">
        <v>173</v>
      </c>
      <c r="C61" s="122"/>
      <c r="E61" s="117"/>
      <c r="F61" s="121"/>
      <c r="H61" s="117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</row>
    <row r="62" spans="2:36">
      <c r="B62" s="117" t="s">
        <v>173</v>
      </c>
      <c r="C62" s="122"/>
      <c r="E62" s="117"/>
      <c r="F62" s="121"/>
      <c r="H62" s="117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</row>
    <row r="64" spans="2:36">
      <c r="B64" s="113" t="s">
        <v>269</v>
      </c>
      <c r="E64" s="113" t="s">
        <v>66</v>
      </c>
      <c r="H64" s="113" t="s">
        <v>69</v>
      </c>
      <c r="I64" s="115">
        <v>2023</v>
      </c>
      <c r="J64" s="115">
        <v>2024</v>
      </c>
      <c r="K64" s="115">
        <v>2025</v>
      </c>
      <c r="L64" s="115">
        <v>2026</v>
      </c>
      <c r="M64" s="115">
        <v>2027</v>
      </c>
      <c r="N64" s="115">
        <v>2028</v>
      </c>
      <c r="O64" s="115">
        <v>2029</v>
      </c>
      <c r="P64" s="115">
        <v>2030</v>
      </c>
      <c r="Q64" s="115">
        <v>2031</v>
      </c>
      <c r="R64" s="115">
        <v>2032</v>
      </c>
      <c r="S64" s="115">
        <v>2033</v>
      </c>
      <c r="T64" s="115">
        <v>2034</v>
      </c>
      <c r="U64" s="115">
        <v>2035</v>
      </c>
      <c r="V64" s="115">
        <v>2036</v>
      </c>
      <c r="W64" s="115">
        <v>2037</v>
      </c>
      <c r="X64" s="115">
        <v>2038</v>
      </c>
      <c r="Y64" s="115">
        <v>2039</v>
      </c>
      <c r="Z64" s="115">
        <v>2040</v>
      </c>
      <c r="AA64" s="115">
        <v>2041</v>
      </c>
      <c r="AB64" s="115">
        <v>2042</v>
      </c>
      <c r="AC64" s="115">
        <v>2043</v>
      </c>
      <c r="AD64" s="115">
        <v>2044</v>
      </c>
      <c r="AE64" s="115">
        <v>2045</v>
      </c>
      <c r="AF64" s="115">
        <v>2046</v>
      </c>
      <c r="AG64" s="115">
        <v>2047</v>
      </c>
      <c r="AH64" s="115">
        <v>2048</v>
      </c>
      <c r="AI64" s="115">
        <v>2049</v>
      </c>
      <c r="AJ64" s="115">
        <v>2050</v>
      </c>
    </row>
    <row r="65" spans="2:36">
      <c r="B65" s="117" t="s">
        <v>173</v>
      </c>
      <c r="C65" s="122"/>
      <c r="E65" s="117"/>
      <c r="F65" s="121"/>
      <c r="H65" s="117" t="s">
        <v>8</v>
      </c>
      <c r="I65" s="121">
        <f>I137</f>
        <v>10.684819934898</v>
      </c>
      <c r="J65" s="121">
        <f t="shared" ref="J65:AJ65" si="16">J137</f>
        <v>10.522418050588</v>
      </c>
      <c r="K65" s="121">
        <f t="shared" si="16"/>
        <v>10.360016166277999</v>
      </c>
      <c r="L65" s="121">
        <f t="shared" si="16"/>
        <v>10.197614281968001</v>
      </c>
      <c r="M65" s="121">
        <f t="shared" si="16"/>
        <v>10.048064596531201</v>
      </c>
      <c r="N65" s="121">
        <f t="shared" si="16"/>
        <v>9.8985149110944022</v>
      </c>
      <c r="O65" s="121">
        <f t="shared" si="16"/>
        <v>9.7489652256576029</v>
      </c>
      <c r="P65" s="121">
        <f t="shared" si="16"/>
        <v>9.5994155402208037</v>
      </c>
      <c r="Q65" s="121">
        <f t="shared" si="16"/>
        <v>9.4498658547840009</v>
      </c>
      <c r="R65" s="121">
        <f t="shared" si="16"/>
        <v>9.3289080907968014</v>
      </c>
      <c r="S65" s="121">
        <f t="shared" si="16"/>
        <v>9.2079503268096019</v>
      </c>
      <c r="T65" s="121">
        <f t="shared" si="16"/>
        <v>9.0869925628224024</v>
      </c>
      <c r="U65" s="121">
        <f t="shared" si="16"/>
        <v>8.9660347988352029</v>
      </c>
      <c r="V65" s="121">
        <f t="shared" si="16"/>
        <v>8.8450770348480017</v>
      </c>
      <c r="W65" s="121">
        <f t="shared" si="16"/>
        <v>8.7615659120004015</v>
      </c>
      <c r="X65" s="121">
        <f t="shared" si="16"/>
        <v>8.6780547891528013</v>
      </c>
      <c r="Y65" s="121">
        <f t="shared" si="16"/>
        <v>8.5945436663052011</v>
      </c>
      <c r="Z65" s="121">
        <f t="shared" si="16"/>
        <v>8.5110325434576009</v>
      </c>
      <c r="AA65" s="121">
        <f t="shared" si="16"/>
        <v>8.4275214206099971</v>
      </c>
      <c r="AB65" s="121">
        <f t="shared" si="16"/>
        <v>8.3774795319675981</v>
      </c>
      <c r="AC65" s="121">
        <f t="shared" si="16"/>
        <v>8.3274376433251991</v>
      </c>
      <c r="AD65" s="121">
        <f t="shared" si="16"/>
        <v>8.2773957546828001</v>
      </c>
      <c r="AE65" s="121">
        <f t="shared" si="16"/>
        <v>8.2273538660404011</v>
      </c>
      <c r="AF65" s="121">
        <f t="shared" si="16"/>
        <v>8.1773119773979985</v>
      </c>
      <c r="AG65" s="121">
        <f t="shared" si="16"/>
        <v>8.156843246297198</v>
      </c>
      <c r="AH65" s="121">
        <f t="shared" si="16"/>
        <v>8.1363745151963975</v>
      </c>
      <c r="AI65" s="121">
        <f t="shared" si="16"/>
        <v>8.115905784095597</v>
      </c>
      <c r="AJ65" s="121">
        <f t="shared" si="16"/>
        <v>8.0954370529947965</v>
      </c>
    </row>
    <row r="66" spans="2:36">
      <c r="B66" s="117" t="s">
        <v>173</v>
      </c>
      <c r="C66" s="122"/>
      <c r="E66" s="117"/>
      <c r="F66" s="121"/>
      <c r="H66" s="35" t="s">
        <v>12</v>
      </c>
      <c r="I66" s="121">
        <f t="shared" ref="I66:AJ71" si="17">I138</f>
        <v>25.0414200753724</v>
      </c>
      <c r="J66" s="121">
        <f t="shared" si="17"/>
        <v>32.057318261299599</v>
      </c>
      <c r="K66" s="121">
        <f t="shared" si="17"/>
        <v>39.073216447226798</v>
      </c>
      <c r="L66" s="121">
        <f t="shared" si="17"/>
        <v>46.089114633153997</v>
      </c>
      <c r="M66" s="121">
        <f t="shared" si="17"/>
        <v>48.072200152634402</v>
      </c>
      <c r="N66" s="121">
        <f t="shared" si="17"/>
        <v>50.055285672114806</v>
      </c>
      <c r="O66" s="121">
        <f t="shared" si="17"/>
        <v>52.038371191595211</v>
      </c>
      <c r="P66" s="121">
        <f t="shared" si="17"/>
        <v>54.021456711075615</v>
      </c>
      <c r="Q66" s="121">
        <f t="shared" si="17"/>
        <v>56.004542230556012</v>
      </c>
      <c r="R66" s="121">
        <f t="shared" si="17"/>
        <v>58.561105124668011</v>
      </c>
      <c r="S66" s="121">
        <f t="shared" si="17"/>
        <v>61.117668018780009</v>
      </c>
      <c r="T66" s="121">
        <f t="shared" si="17"/>
        <v>63.674230912892007</v>
      </c>
      <c r="U66" s="121">
        <f t="shared" si="17"/>
        <v>66.230793807004005</v>
      </c>
      <c r="V66" s="121">
        <f t="shared" si="17"/>
        <v>68.787356701116011</v>
      </c>
      <c r="W66" s="121">
        <f t="shared" si="17"/>
        <v>71.680261317830414</v>
      </c>
      <c r="X66" s="121">
        <f t="shared" si="17"/>
        <v>74.573165934544818</v>
      </c>
      <c r="Y66" s="121">
        <f t="shared" si="17"/>
        <v>77.466070551259222</v>
      </c>
      <c r="Z66" s="121">
        <f t="shared" si="17"/>
        <v>80.358975167973625</v>
      </c>
      <c r="AA66" s="121">
        <f t="shared" si="17"/>
        <v>83.251879784688001</v>
      </c>
      <c r="AB66" s="121">
        <f t="shared" si="17"/>
        <v>86.7434979985468</v>
      </c>
      <c r="AC66" s="121">
        <f t="shared" si="17"/>
        <v>90.2351162124056</v>
      </c>
      <c r="AD66" s="121">
        <f t="shared" si="17"/>
        <v>93.7267344262644</v>
      </c>
      <c r="AE66" s="121">
        <f t="shared" si="17"/>
        <v>97.2183526401232</v>
      </c>
      <c r="AF66" s="121">
        <f t="shared" si="17"/>
        <v>100.709970853982</v>
      </c>
      <c r="AG66" s="121">
        <f t="shared" si="17"/>
        <v>104.9548035272808</v>
      </c>
      <c r="AH66" s="121">
        <f t="shared" si="17"/>
        <v>109.1996362005796</v>
      </c>
      <c r="AI66" s="121">
        <f t="shared" si="17"/>
        <v>113.44446887387841</v>
      </c>
      <c r="AJ66" s="121">
        <f t="shared" si="17"/>
        <v>117.68930154717721</v>
      </c>
    </row>
    <row r="67" spans="2:36">
      <c r="B67" s="117" t="s">
        <v>173</v>
      </c>
      <c r="C67" s="122"/>
      <c r="E67" s="117"/>
      <c r="F67" s="121"/>
      <c r="H67" s="35" t="s">
        <v>15</v>
      </c>
      <c r="I67" s="121">
        <f t="shared" si="17"/>
        <v>10.684819934898</v>
      </c>
      <c r="J67" s="121">
        <f t="shared" si="17"/>
        <v>10.522418050588</v>
      </c>
      <c r="K67" s="121">
        <f t="shared" si="17"/>
        <v>10.360016166277999</v>
      </c>
      <c r="L67" s="121">
        <f t="shared" si="17"/>
        <v>10.197614281968001</v>
      </c>
      <c r="M67" s="121">
        <f t="shared" si="17"/>
        <v>10.048064596531201</v>
      </c>
      <c r="N67" s="121">
        <f t="shared" si="17"/>
        <v>9.8985149110944022</v>
      </c>
      <c r="O67" s="121">
        <f t="shared" si="17"/>
        <v>9.7489652256576029</v>
      </c>
      <c r="P67" s="121">
        <f t="shared" si="17"/>
        <v>9.5994155402208037</v>
      </c>
      <c r="Q67" s="121">
        <f t="shared" si="17"/>
        <v>9.4498658547840009</v>
      </c>
      <c r="R67" s="121">
        <f t="shared" si="17"/>
        <v>9.3289080907968014</v>
      </c>
      <c r="S67" s="121">
        <f t="shared" si="17"/>
        <v>9.2079503268096019</v>
      </c>
      <c r="T67" s="121">
        <f t="shared" si="17"/>
        <v>9.0869925628224024</v>
      </c>
      <c r="U67" s="121">
        <f t="shared" si="17"/>
        <v>8.9660347988352029</v>
      </c>
      <c r="V67" s="121">
        <f t="shared" si="17"/>
        <v>8.8450770348480017</v>
      </c>
      <c r="W67" s="121">
        <f t="shared" si="17"/>
        <v>8.7615659120004015</v>
      </c>
      <c r="X67" s="121">
        <f t="shared" si="17"/>
        <v>8.6780547891528013</v>
      </c>
      <c r="Y67" s="121">
        <f t="shared" si="17"/>
        <v>8.5945436663052011</v>
      </c>
      <c r="Z67" s="121">
        <f t="shared" si="17"/>
        <v>8.5110325434576009</v>
      </c>
      <c r="AA67" s="121">
        <f t="shared" si="17"/>
        <v>8.4275214206099971</v>
      </c>
      <c r="AB67" s="121">
        <f t="shared" si="17"/>
        <v>8.3774795319675981</v>
      </c>
      <c r="AC67" s="121">
        <f t="shared" si="17"/>
        <v>8.3274376433251991</v>
      </c>
      <c r="AD67" s="121">
        <f t="shared" si="17"/>
        <v>8.2773957546828001</v>
      </c>
      <c r="AE67" s="121">
        <f t="shared" si="17"/>
        <v>8.2273538660404011</v>
      </c>
      <c r="AF67" s="121">
        <f t="shared" si="17"/>
        <v>8.1773119773979985</v>
      </c>
      <c r="AG67" s="121">
        <f t="shared" si="17"/>
        <v>8.156843246297198</v>
      </c>
      <c r="AH67" s="121">
        <f t="shared" si="17"/>
        <v>8.1363745151963975</v>
      </c>
      <c r="AI67" s="121">
        <f t="shared" si="17"/>
        <v>8.115905784095597</v>
      </c>
      <c r="AJ67" s="121">
        <f t="shared" si="17"/>
        <v>8.0954370529947965</v>
      </c>
    </row>
    <row r="68" spans="2:36">
      <c r="B68" s="117" t="s">
        <v>173</v>
      </c>
      <c r="C68" s="122"/>
      <c r="E68" s="117"/>
      <c r="F68" s="121"/>
      <c r="H68" s="35" t="s">
        <v>19</v>
      </c>
      <c r="I68" s="121">
        <f t="shared" si="17"/>
        <v>10.683416029531601</v>
      </c>
      <c r="J68" s="121">
        <f t="shared" si="17"/>
        <v>10.520312192538402</v>
      </c>
      <c r="K68" s="121">
        <f t="shared" si="17"/>
        <v>10.357208355545202</v>
      </c>
      <c r="L68" s="121">
        <f t="shared" si="17"/>
        <v>10.194104518552001</v>
      </c>
      <c r="M68" s="121">
        <f t="shared" si="17"/>
        <v>10.044331579195601</v>
      </c>
      <c r="N68" s="121">
        <f t="shared" si="17"/>
        <v>9.894558639839202</v>
      </c>
      <c r="O68" s="121">
        <f t="shared" si="17"/>
        <v>9.7447857004828027</v>
      </c>
      <c r="P68" s="121">
        <f t="shared" si="17"/>
        <v>9.5950127611264033</v>
      </c>
      <c r="Q68" s="121">
        <f t="shared" si="17"/>
        <v>9.4452398217700004</v>
      </c>
      <c r="R68" s="121">
        <f t="shared" si="17"/>
        <v>32.6149095809008</v>
      </c>
      <c r="S68" s="121">
        <f t="shared" si="17"/>
        <v>55.784579340031598</v>
      </c>
      <c r="T68" s="121">
        <f t="shared" si="17"/>
        <v>78.954249099162396</v>
      </c>
      <c r="U68" s="121">
        <f t="shared" si="17"/>
        <v>102.12391885829319</v>
      </c>
      <c r="V68" s="121">
        <f t="shared" si="17"/>
        <v>125.29358861742401</v>
      </c>
      <c r="W68" s="121">
        <f t="shared" si="17"/>
        <v>137.87139825438243</v>
      </c>
      <c r="X68" s="121">
        <f t="shared" si="17"/>
        <v>150.44920789134085</v>
      </c>
      <c r="Y68" s="121">
        <f t="shared" si="17"/>
        <v>163.02701752829927</v>
      </c>
      <c r="Z68" s="121">
        <f t="shared" si="17"/>
        <v>175.60482716525769</v>
      </c>
      <c r="AA68" s="121">
        <f t="shared" si="17"/>
        <v>188.18263680221611</v>
      </c>
      <c r="AB68" s="121">
        <f t="shared" si="17"/>
        <v>202.39666240802129</v>
      </c>
      <c r="AC68" s="121">
        <f t="shared" si="17"/>
        <v>216.61068801382646</v>
      </c>
      <c r="AD68" s="121">
        <f t="shared" si="17"/>
        <v>230.82471361963164</v>
      </c>
      <c r="AE68" s="121">
        <f t="shared" si="17"/>
        <v>245.03873922543681</v>
      </c>
      <c r="AF68" s="121">
        <f t="shared" si="17"/>
        <v>259.25276483124202</v>
      </c>
      <c r="AG68" s="121">
        <f t="shared" si="17"/>
        <v>274.66921805831521</v>
      </c>
      <c r="AH68" s="121">
        <f t="shared" si="17"/>
        <v>290.0856712853884</v>
      </c>
      <c r="AI68" s="121">
        <f t="shared" si="17"/>
        <v>305.50212451246159</v>
      </c>
      <c r="AJ68" s="121">
        <f t="shared" si="17"/>
        <v>320.91857773953478</v>
      </c>
    </row>
    <row r="69" spans="2:36">
      <c r="B69" s="117" t="s">
        <v>173</v>
      </c>
      <c r="C69" s="122"/>
      <c r="E69" s="117"/>
      <c r="F69" s="121"/>
      <c r="H69" s="35" t="s">
        <v>22</v>
      </c>
      <c r="I69" s="121">
        <f t="shared" si="17"/>
        <v>10.683416029531601</v>
      </c>
      <c r="J69" s="121">
        <f t="shared" si="17"/>
        <v>10.520312192538402</v>
      </c>
      <c r="K69" s="121">
        <f t="shared" si="17"/>
        <v>10.357208355545202</v>
      </c>
      <c r="L69" s="121">
        <f t="shared" si="17"/>
        <v>10.194104518552001</v>
      </c>
      <c r="M69" s="121">
        <f t="shared" si="17"/>
        <v>10.044331579195601</v>
      </c>
      <c r="N69" s="121">
        <f t="shared" si="17"/>
        <v>9.894558639839202</v>
      </c>
      <c r="O69" s="121">
        <f t="shared" si="17"/>
        <v>9.7447857004828027</v>
      </c>
      <c r="P69" s="121">
        <f t="shared" si="17"/>
        <v>9.5950127611264033</v>
      </c>
      <c r="Q69" s="121">
        <f t="shared" si="17"/>
        <v>9.4452398217700004</v>
      </c>
      <c r="R69" s="121">
        <f t="shared" si="17"/>
        <v>27.039689652890402</v>
      </c>
      <c r="S69" s="121">
        <f t="shared" si="17"/>
        <v>44.634139484010802</v>
      </c>
      <c r="T69" s="121">
        <f t="shared" si="17"/>
        <v>62.228589315131202</v>
      </c>
      <c r="U69" s="121">
        <f t="shared" si="17"/>
        <v>79.823039146251602</v>
      </c>
      <c r="V69" s="121">
        <f t="shared" si="17"/>
        <v>97.417488977372017</v>
      </c>
      <c r="W69" s="121">
        <f t="shared" si="17"/>
        <v>101.47175893300961</v>
      </c>
      <c r="X69" s="121">
        <f t="shared" si="17"/>
        <v>105.5260288886472</v>
      </c>
      <c r="Y69" s="121">
        <f t="shared" si="17"/>
        <v>109.5802988442848</v>
      </c>
      <c r="Z69" s="121">
        <f t="shared" si="17"/>
        <v>113.63456879992239</v>
      </c>
      <c r="AA69" s="121">
        <f t="shared" si="17"/>
        <v>117.68883875556</v>
      </c>
      <c r="AB69" s="121">
        <f t="shared" si="17"/>
        <v>121.4130372400912</v>
      </c>
      <c r="AC69" s="121">
        <f t="shared" si="17"/>
        <v>125.1372357246224</v>
      </c>
      <c r="AD69" s="121">
        <f t="shared" si="17"/>
        <v>128.8614342091536</v>
      </c>
      <c r="AE69" s="121">
        <f t="shared" si="17"/>
        <v>132.5856326936848</v>
      </c>
      <c r="AF69" s="121">
        <f t="shared" si="17"/>
        <v>136.309831178216</v>
      </c>
      <c r="AG69" s="121">
        <f t="shared" si="17"/>
        <v>139.9807007772028</v>
      </c>
      <c r="AH69" s="121">
        <f t="shared" si="17"/>
        <v>143.6515703761896</v>
      </c>
      <c r="AI69" s="121">
        <f t="shared" si="17"/>
        <v>147.32243997517639</v>
      </c>
      <c r="AJ69" s="121">
        <f t="shared" si="17"/>
        <v>150.99330957416319</v>
      </c>
    </row>
    <row r="70" spans="2:36">
      <c r="B70" s="117" t="s">
        <v>173</v>
      </c>
      <c r="C70" s="122"/>
      <c r="E70" s="117"/>
      <c r="F70" s="121"/>
      <c r="H70" s="35" t="s">
        <v>24</v>
      </c>
      <c r="I70" s="121">
        <f t="shared" si="17"/>
        <v>19.173481846293999</v>
      </c>
      <c r="J70" s="121">
        <f t="shared" si="17"/>
        <v>23.255410917681999</v>
      </c>
      <c r="K70" s="121">
        <f t="shared" si="17"/>
        <v>27.337339989069999</v>
      </c>
      <c r="L70" s="121">
        <f t="shared" si="17"/>
        <v>31.419269060457999</v>
      </c>
      <c r="M70" s="121">
        <f t="shared" si="17"/>
        <v>34.9382503797844</v>
      </c>
      <c r="N70" s="121">
        <f t="shared" si="17"/>
        <v>38.4572316991108</v>
      </c>
      <c r="O70" s="121">
        <f t="shared" si="17"/>
        <v>41.9762130184372</v>
      </c>
      <c r="P70" s="121">
        <f t="shared" si="17"/>
        <v>45.4951943377636</v>
      </c>
      <c r="Q70" s="121">
        <f t="shared" si="17"/>
        <v>49.014175657089993</v>
      </c>
      <c r="R70" s="121">
        <f t="shared" si="17"/>
        <v>49.260799456695992</v>
      </c>
      <c r="S70" s="121">
        <f t="shared" si="17"/>
        <v>49.50742325630199</v>
      </c>
      <c r="T70" s="121">
        <f t="shared" si="17"/>
        <v>49.754047055907989</v>
      </c>
      <c r="U70" s="121">
        <f t="shared" si="17"/>
        <v>50.000670855513988</v>
      </c>
      <c r="V70" s="121">
        <f t="shared" si="17"/>
        <v>50.247294655119987</v>
      </c>
      <c r="W70" s="121">
        <f t="shared" si="17"/>
        <v>50.783110597825988</v>
      </c>
      <c r="X70" s="121">
        <f t="shared" si="17"/>
        <v>51.31892654053199</v>
      </c>
      <c r="Y70" s="121">
        <f t="shared" si="17"/>
        <v>51.854742483237992</v>
      </c>
      <c r="Z70" s="121">
        <f t="shared" si="17"/>
        <v>52.390558425943993</v>
      </c>
      <c r="AA70" s="121">
        <f t="shared" si="17"/>
        <v>52.926374368650002</v>
      </c>
      <c r="AB70" s="121">
        <f t="shared" si="17"/>
        <v>53.642654937641602</v>
      </c>
      <c r="AC70" s="121">
        <f t="shared" si="17"/>
        <v>54.358935506633202</v>
      </c>
      <c r="AD70" s="121">
        <f t="shared" si="17"/>
        <v>55.075216075624802</v>
      </c>
      <c r="AE70" s="121">
        <f t="shared" si="17"/>
        <v>55.791496644616402</v>
      </c>
      <c r="AF70" s="121">
        <f t="shared" si="17"/>
        <v>56.507777213607987</v>
      </c>
      <c r="AG70" s="121">
        <f t="shared" si="17"/>
        <v>57.263574656870389</v>
      </c>
      <c r="AH70" s="121">
        <f t="shared" si="17"/>
        <v>58.019372100132792</v>
      </c>
      <c r="AI70" s="121">
        <f t="shared" si="17"/>
        <v>58.775169543395194</v>
      </c>
      <c r="AJ70" s="121">
        <f t="shared" si="17"/>
        <v>59.530966986657596</v>
      </c>
    </row>
    <row r="71" spans="2:36">
      <c r="B71" s="117" t="s">
        <v>173</v>
      </c>
      <c r="C71" s="122"/>
      <c r="E71" s="117"/>
      <c r="F71" s="121"/>
      <c r="H71" s="35" t="s">
        <v>25</v>
      </c>
      <c r="I71" s="121">
        <f t="shared" si="17"/>
        <v>65.469516307497202</v>
      </c>
      <c r="J71" s="121">
        <f t="shared" si="17"/>
        <v>92.699462609486801</v>
      </c>
      <c r="K71" s="121">
        <f t="shared" si="17"/>
        <v>119.9294089114764</v>
      </c>
      <c r="L71" s="121">
        <f t="shared" si="17"/>
        <v>147.159355213466</v>
      </c>
      <c r="M71" s="121">
        <f t="shared" si="17"/>
        <v>156.13345781564999</v>
      </c>
      <c r="N71" s="121">
        <f t="shared" si="17"/>
        <v>165.10756041783398</v>
      </c>
      <c r="O71" s="121">
        <f t="shared" si="17"/>
        <v>174.08166302001797</v>
      </c>
      <c r="P71" s="121">
        <f t="shared" si="17"/>
        <v>183.05576562220196</v>
      </c>
      <c r="Q71" s="121">
        <f t="shared" si="17"/>
        <v>192.02986822438601</v>
      </c>
      <c r="R71" s="121">
        <f t="shared" si="17"/>
        <v>205.74762901307679</v>
      </c>
      <c r="S71" s="121">
        <f t="shared" si="17"/>
        <v>219.46538980176757</v>
      </c>
      <c r="T71" s="121">
        <f t="shared" si="17"/>
        <v>233.18315059045835</v>
      </c>
      <c r="U71" s="121">
        <f t="shared" si="17"/>
        <v>246.90091137914914</v>
      </c>
      <c r="V71" s="121">
        <f t="shared" si="17"/>
        <v>260.61867216783997</v>
      </c>
      <c r="W71" s="121">
        <f t="shared" si="17"/>
        <v>276.92654087641876</v>
      </c>
      <c r="X71" s="121">
        <f t="shared" si="17"/>
        <v>293.23440958499754</v>
      </c>
      <c r="Y71" s="121">
        <f t="shared" si="17"/>
        <v>309.54227829357632</v>
      </c>
      <c r="Z71" s="121">
        <f t="shared" si="17"/>
        <v>325.8501470021551</v>
      </c>
      <c r="AA71" s="121">
        <f t="shared" si="17"/>
        <v>342.15801571073399</v>
      </c>
      <c r="AB71" s="121">
        <f t="shared" si="17"/>
        <v>362.56755237622519</v>
      </c>
      <c r="AC71" s="121">
        <f t="shared" si="17"/>
        <v>382.9770890417164</v>
      </c>
      <c r="AD71" s="121">
        <f t="shared" si="17"/>
        <v>403.3866257072076</v>
      </c>
      <c r="AE71" s="121">
        <f t="shared" si="17"/>
        <v>423.7961623726988</v>
      </c>
      <c r="AF71" s="121">
        <f t="shared" si="17"/>
        <v>444.20569903818989</v>
      </c>
      <c r="AG71" s="121">
        <f t="shared" si="17"/>
        <v>469.32704171267989</v>
      </c>
      <c r="AH71" s="121">
        <f t="shared" si="17"/>
        <v>494.44838438716988</v>
      </c>
      <c r="AI71" s="121">
        <f t="shared" si="17"/>
        <v>519.56972706165993</v>
      </c>
      <c r="AJ71" s="121">
        <f t="shared" si="17"/>
        <v>544.69106973614998</v>
      </c>
    </row>
    <row r="72" spans="2:36">
      <c r="B72" s="117" t="s">
        <v>173</v>
      </c>
      <c r="C72" s="122"/>
      <c r="E72" s="117"/>
      <c r="F72" s="121"/>
      <c r="H72" s="117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</row>
    <row r="73" spans="2:36">
      <c r="B73" s="117" t="s">
        <v>173</v>
      </c>
      <c r="C73" s="122"/>
      <c r="E73" s="117"/>
      <c r="F73" s="121"/>
      <c r="H73" s="117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</row>
    <row r="74" spans="2:36">
      <c r="B74" s="117" t="s">
        <v>173</v>
      </c>
      <c r="C74" s="122"/>
      <c r="E74" s="117"/>
      <c r="F74" s="121"/>
      <c r="H74" s="117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</row>
    <row r="76" spans="2:36">
      <c r="B76" s="113" t="s">
        <v>270</v>
      </c>
      <c r="E76" s="113" t="s">
        <v>67</v>
      </c>
      <c r="H76" s="113" t="s">
        <v>70</v>
      </c>
      <c r="I76" s="115">
        <v>2023</v>
      </c>
      <c r="J76" s="115">
        <v>2024</v>
      </c>
      <c r="K76" s="115">
        <v>2025</v>
      </c>
      <c r="L76" s="115">
        <v>2026</v>
      </c>
      <c r="M76" s="115">
        <v>2027</v>
      </c>
      <c r="N76" s="115">
        <v>2028</v>
      </c>
      <c r="O76" s="115">
        <v>2029</v>
      </c>
      <c r="P76" s="115">
        <v>2030</v>
      </c>
      <c r="Q76" s="115">
        <v>2031</v>
      </c>
      <c r="R76" s="115">
        <v>2032</v>
      </c>
      <c r="S76" s="115">
        <v>2033</v>
      </c>
      <c r="T76" s="115">
        <v>2034</v>
      </c>
      <c r="U76" s="115">
        <v>2035</v>
      </c>
      <c r="V76" s="115">
        <v>2036</v>
      </c>
      <c r="W76" s="115">
        <v>2037</v>
      </c>
      <c r="X76" s="115">
        <v>2038</v>
      </c>
      <c r="Y76" s="115">
        <v>2039</v>
      </c>
      <c r="Z76" s="115">
        <v>2040</v>
      </c>
      <c r="AA76" s="115">
        <v>2041</v>
      </c>
      <c r="AB76" s="115">
        <v>2042</v>
      </c>
      <c r="AC76" s="115">
        <v>2043</v>
      </c>
      <c r="AD76" s="115">
        <v>2044</v>
      </c>
      <c r="AE76" s="115">
        <v>2045</v>
      </c>
      <c r="AF76" s="115">
        <v>2046</v>
      </c>
      <c r="AG76" s="115">
        <v>2047</v>
      </c>
      <c r="AH76" s="115">
        <v>2048</v>
      </c>
      <c r="AI76" s="115">
        <v>2049</v>
      </c>
      <c r="AJ76" s="115">
        <v>2050</v>
      </c>
    </row>
    <row r="77" spans="2:36">
      <c r="B77" s="117" t="s">
        <v>173</v>
      </c>
      <c r="C77" s="122"/>
      <c r="E77" s="117"/>
      <c r="F77" s="121"/>
      <c r="H77" s="117" t="s">
        <v>8</v>
      </c>
      <c r="I77" s="121">
        <f>I101</f>
        <v>1.2274021734379998</v>
      </c>
      <c r="J77" s="121">
        <f t="shared" ref="J77:AJ83" si="18">J101</f>
        <v>1.2872419559159998</v>
      </c>
      <c r="K77" s="121">
        <f t="shared" si="18"/>
        <v>1.3470817383939997</v>
      </c>
      <c r="L77" s="121">
        <f t="shared" si="18"/>
        <v>1.4069215208720001</v>
      </c>
      <c r="M77" s="121">
        <f t="shared" si="18"/>
        <v>1.4762026156796</v>
      </c>
      <c r="N77" s="121">
        <f t="shared" si="18"/>
        <v>1.5454837104871999</v>
      </c>
      <c r="O77" s="121">
        <f t="shared" si="18"/>
        <v>1.6147648052947998</v>
      </c>
      <c r="P77" s="121">
        <f t="shared" si="18"/>
        <v>1.6840459001023997</v>
      </c>
      <c r="Q77" s="121">
        <f t="shared" si="18"/>
        <v>1.7533269949100001</v>
      </c>
      <c r="R77" s="121">
        <f t="shared" si="18"/>
        <v>1.8328976871844</v>
      </c>
      <c r="S77" s="121">
        <f t="shared" si="18"/>
        <v>1.9124683794588</v>
      </c>
      <c r="T77" s="121">
        <f t="shared" si="18"/>
        <v>1.9920390717331999</v>
      </c>
      <c r="U77" s="121">
        <f t="shared" si="18"/>
        <v>2.0716097640075999</v>
      </c>
      <c r="V77" s="121">
        <f t="shared" si="18"/>
        <v>2.1511804562819998</v>
      </c>
      <c r="W77" s="121">
        <f t="shared" si="18"/>
        <v>2.2421281479167998</v>
      </c>
      <c r="X77" s="121">
        <f t="shared" si="18"/>
        <v>2.3330758395515998</v>
      </c>
      <c r="Y77" s="121">
        <f t="shared" si="18"/>
        <v>2.4240235311863998</v>
      </c>
      <c r="Z77" s="121">
        <f t="shared" si="18"/>
        <v>2.5149712228211998</v>
      </c>
      <c r="AA77" s="121">
        <f t="shared" si="18"/>
        <v>2.6059189144560002</v>
      </c>
      <c r="AB77" s="121">
        <f t="shared" si="18"/>
        <v>2.7092753544872004</v>
      </c>
      <c r="AC77" s="121">
        <f t="shared" si="18"/>
        <v>2.8126317945184005</v>
      </c>
      <c r="AD77" s="121">
        <f t="shared" si="18"/>
        <v>2.9159882345496007</v>
      </c>
      <c r="AE77" s="121">
        <f t="shared" si="18"/>
        <v>3.0193446745808008</v>
      </c>
      <c r="AF77" s="121">
        <f t="shared" si="18"/>
        <v>3.1227011146120001</v>
      </c>
      <c r="AG77" s="121">
        <f t="shared" si="18"/>
        <v>3.2396168904228002</v>
      </c>
      <c r="AH77" s="121">
        <f t="shared" si="18"/>
        <v>3.3565326662336004</v>
      </c>
      <c r="AI77" s="121">
        <f t="shared" si="18"/>
        <v>3.4734484420444005</v>
      </c>
      <c r="AJ77" s="121">
        <f t="shared" si="18"/>
        <v>3.5903642178552007</v>
      </c>
    </row>
    <row r="78" spans="2:36">
      <c r="B78" s="117" t="s">
        <v>173</v>
      </c>
      <c r="C78" s="122"/>
      <c r="E78" s="117"/>
      <c r="F78" s="121"/>
      <c r="H78" s="35" t="s">
        <v>12</v>
      </c>
      <c r="I78" s="121">
        <f t="shared" ref="I78:X83" si="19">I102</f>
        <v>13.458131390376399</v>
      </c>
      <c r="J78" s="121">
        <f t="shared" si="19"/>
        <v>19.633335781323598</v>
      </c>
      <c r="K78" s="121">
        <f t="shared" si="19"/>
        <v>25.808540172270799</v>
      </c>
      <c r="L78" s="121">
        <f t="shared" si="19"/>
        <v>31.983744563218</v>
      </c>
      <c r="M78" s="121">
        <f t="shared" si="19"/>
        <v>33.368109551101597</v>
      </c>
      <c r="N78" s="121">
        <f t="shared" si="19"/>
        <v>34.752474538985197</v>
      </c>
      <c r="O78" s="121">
        <f t="shared" si="19"/>
        <v>36.136839526868798</v>
      </c>
      <c r="P78" s="121">
        <f t="shared" si="19"/>
        <v>37.521204514752398</v>
      </c>
      <c r="Q78" s="121">
        <f t="shared" si="19"/>
        <v>38.905569502635991</v>
      </c>
      <c r="R78" s="121">
        <f t="shared" si="19"/>
        <v>41.067194329817596</v>
      </c>
      <c r="S78" s="121">
        <f t="shared" si="19"/>
        <v>43.228819156999201</v>
      </c>
      <c r="T78" s="121">
        <f t="shared" si="19"/>
        <v>45.390443984180806</v>
      </c>
      <c r="U78" s="121">
        <f t="shared" si="19"/>
        <v>47.55206881136241</v>
      </c>
      <c r="V78" s="121">
        <f t="shared" si="19"/>
        <v>49.713693638544001</v>
      </c>
      <c r="W78" s="121">
        <f t="shared" si="19"/>
        <v>52.840679425011601</v>
      </c>
      <c r="X78" s="121">
        <f t="shared" si="19"/>
        <v>55.967665211479201</v>
      </c>
      <c r="Y78" s="121">
        <f t="shared" si="18"/>
        <v>59.0946509979468</v>
      </c>
      <c r="Z78" s="121">
        <f t="shared" si="18"/>
        <v>62.2216367844144</v>
      </c>
      <c r="AA78" s="121">
        <f t="shared" si="18"/>
        <v>65.348622570882</v>
      </c>
      <c r="AB78" s="121">
        <f t="shared" si="18"/>
        <v>69.779332531809203</v>
      </c>
      <c r="AC78" s="121">
        <f t="shared" si="18"/>
        <v>74.210042492736406</v>
      </c>
      <c r="AD78" s="121">
        <f t="shared" si="18"/>
        <v>78.640752453663609</v>
      </c>
      <c r="AE78" s="121">
        <f t="shared" si="18"/>
        <v>83.071462414590812</v>
      </c>
      <c r="AF78" s="121">
        <f t="shared" si="18"/>
        <v>87.502172375517986</v>
      </c>
      <c r="AG78" s="121">
        <f t="shared" si="18"/>
        <v>93.495521084597186</v>
      </c>
      <c r="AH78" s="121">
        <f t="shared" si="18"/>
        <v>99.488869793676386</v>
      </c>
      <c r="AI78" s="121">
        <f t="shared" si="18"/>
        <v>105.48221850275559</v>
      </c>
      <c r="AJ78" s="121">
        <f t="shared" si="18"/>
        <v>111.47556721183479</v>
      </c>
    </row>
    <row r="79" spans="2:36">
      <c r="B79" s="117" t="s">
        <v>173</v>
      </c>
      <c r="C79" s="122"/>
      <c r="E79" s="117"/>
      <c r="F79" s="121"/>
      <c r="H79" s="35" t="s">
        <v>15</v>
      </c>
      <c r="I79" s="121">
        <f t="shared" si="19"/>
        <v>1.2274021734379998</v>
      </c>
      <c r="J79" s="121">
        <f t="shared" si="18"/>
        <v>1.2872419559159998</v>
      </c>
      <c r="K79" s="121">
        <f t="shared" si="18"/>
        <v>1.3470817383939997</v>
      </c>
      <c r="L79" s="121">
        <f t="shared" si="18"/>
        <v>1.4069215208720001</v>
      </c>
      <c r="M79" s="121">
        <f t="shared" si="18"/>
        <v>1.4762026156796</v>
      </c>
      <c r="N79" s="121">
        <f t="shared" si="18"/>
        <v>1.5454837104871999</v>
      </c>
      <c r="O79" s="121">
        <f t="shared" si="18"/>
        <v>1.6147648052947998</v>
      </c>
      <c r="P79" s="121">
        <f t="shared" si="18"/>
        <v>1.6840459001023997</v>
      </c>
      <c r="Q79" s="121">
        <f t="shared" si="18"/>
        <v>1.7533269949100001</v>
      </c>
      <c r="R79" s="121">
        <f t="shared" si="18"/>
        <v>1.8328976871844</v>
      </c>
      <c r="S79" s="121">
        <f t="shared" si="18"/>
        <v>1.9124683794588</v>
      </c>
      <c r="T79" s="121">
        <f t="shared" si="18"/>
        <v>1.9920390717331999</v>
      </c>
      <c r="U79" s="121">
        <f t="shared" si="18"/>
        <v>2.0716097640075999</v>
      </c>
      <c r="V79" s="121">
        <f t="shared" si="18"/>
        <v>2.1511804562819998</v>
      </c>
      <c r="W79" s="121">
        <f t="shared" si="18"/>
        <v>2.2421281479167998</v>
      </c>
      <c r="X79" s="121">
        <f t="shared" si="18"/>
        <v>2.3330758395515998</v>
      </c>
      <c r="Y79" s="121">
        <f t="shared" si="18"/>
        <v>2.4240235311863998</v>
      </c>
      <c r="Z79" s="121">
        <f t="shared" si="18"/>
        <v>2.5149712228211998</v>
      </c>
      <c r="AA79" s="121">
        <f t="shared" si="18"/>
        <v>2.6059189144560002</v>
      </c>
      <c r="AB79" s="121">
        <f t="shared" si="18"/>
        <v>2.7092753544872004</v>
      </c>
      <c r="AC79" s="121">
        <f t="shared" si="18"/>
        <v>2.8126317945184005</v>
      </c>
      <c r="AD79" s="121">
        <f t="shared" si="18"/>
        <v>2.9159882345496007</v>
      </c>
      <c r="AE79" s="121">
        <f t="shared" si="18"/>
        <v>3.0193446745808008</v>
      </c>
      <c r="AF79" s="121">
        <f t="shared" si="18"/>
        <v>3.1227011146120001</v>
      </c>
      <c r="AG79" s="121">
        <f t="shared" si="18"/>
        <v>3.2396168904228002</v>
      </c>
      <c r="AH79" s="121">
        <f t="shared" si="18"/>
        <v>3.3565326662336004</v>
      </c>
      <c r="AI79" s="121">
        <f t="shared" si="18"/>
        <v>3.4734484420444005</v>
      </c>
      <c r="AJ79" s="121">
        <f t="shared" si="18"/>
        <v>3.5903642178552007</v>
      </c>
    </row>
    <row r="80" spans="2:36">
      <c r="B80" s="117" t="s">
        <v>173</v>
      </c>
      <c r="C80" s="122"/>
      <c r="E80" s="117"/>
      <c r="F80" s="121"/>
      <c r="H80" s="35" t="s">
        <v>19</v>
      </c>
      <c r="I80" s="121">
        <f t="shared" si="19"/>
        <v>1.2273726189348</v>
      </c>
      <c r="J80" s="121">
        <f t="shared" si="18"/>
        <v>1.2871976241612</v>
      </c>
      <c r="K80" s="121">
        <f t="shared" si="18"/>
        <v>1.3470226293876</v>
      </c>
      <c r="L80" s="121">
        <f t="shared" si="18"/>
        <v>1.406847634614</v>
      </c>
      <c r="M80" s="121">
        <f t="shared" si="18"/>
        <v>1.4761205986099999</v>
      </c>
      <c r="N80" s="121">
        <f t="shared" si="18"/>
        <v>1.5453935626059998</v>
      </c>
      <c r="O80" s="121">
        <f t="shared" si="18"/>
        <v>1.6146665266019997</v>
      </c>
      <c r="P80" s="121">
        <f t="shared" si="18"/>
        <v>1.6839394905979996</v>
      </c>
      <c r="Q80" s="121">
        <f t="shared" si="18"/>
        <v>1.753212454594</v>
      </c>
      <c r="R80" s="121">
        <f t="shared" si="18"/>
        <v>16.179528256277997</v>
      </c>
      <c r="S80" s="121">
        <f t="shared" si="18"/>
        <v>30.605844057961995</v>
      </c>
      <c r="T80" s="121">
        <f t="shared" si="18"/>
        <v>45.032159859645994</v>
      </c>
      <c r="U80" s="121">
        <f t="shared" si="18"/>
        <v>59.458475661329992</v>
      </c>
      <c r="V80" s="121">
        <f t="shared" si="18"/>
        <v>73.884791463013997</v>
      </c>
      <c r="W80" s="121">
        <f t="shared" si="18"/>
        <v>83.243135617449994</v>
      </c>
      <c r="X80" s="121">
        <f t="shared" si="18"/>
        <v>92.601479771885991</v>
      </c>
      <c r="Y80" s="121">
        <f t="shared" si="18"/>
        <v>101.95982392632199</v>
      </c>
      <c r="Z80" s="121">
        <f t="shared" si="18"/>
        <v>111.31816808075799</v>
      </c>
      <c r="AA80" s="121">
        <f t="shared" si="18"/>
        <v>120.676512235194</v>
      </c>
      <c r="AB80" s="121">
        <f t="shared" si="18"/>
        <v>133.572178825994</v>
      </c>
      <c r="AC80" s="121">
        <f t="shared" si="18"/>
        <v>146.46784541679401</v>
      </c>
      <c r="AD80" s="121">
        <f t="shared" si="18"/>
        <v>159.36351200759401</v>
      </c>
      <c r="AE80" s="121">
        <f t="shared" si="18"/>
        <v>172.25917859839402</v>
      </c>
      <c r="AF80" s="121">
        <f t="shared" si="18"/>
        <v>185.15484518919399</v>
      </c>
      <c r="AG80" s="121">
        <f t="shared" si="18"/>
        <v>200.136609963474</v>
      </c>
      <c r="AH80" s="121">
        <f t="shared" si="18"/>
        <v>215.11837473775401</v>
      </c>
      <c r="AI80" s="121">
        <f t="shared" si="18"/>
        <v>230.10013951203402</v>
      </c>
      <c r="AJ80" s="121">
        <f t="shared" si="18"/>
        <v>245.08190428631403</v>
      </c>
    </row>
    <row r="81" spans="2:36">
      <c r="B81" s="117" t="s">
        <v>173</v>
      </c>
      <c r="C81" s="122"/>
      <c r="E81" s="117"/>
      <c r="F81" s="121"/>
      <c r="H81" s="35" t="s">
        <v>22</v>
      </c>
      <c r="I81" s="121">
        <f t="shared" si="19"/>
        <v>1.2273726189348</v>
      </c>
      <c r="J81" s="121">
        <f t="shared" si="18"/>
        <v>1.2871976241612</v>
      </c>
      <c r="K81" s="121">
        <f t="shared" si="18"/>
        <v>1.3470226293876</v>
      </c>
      <c r="L81" s="121">
        <f t="shared" si="18"/>
        <v>1.406847634614</v>
      </c>
      <c r="M81" s="121">
        <f t="shared" si="18"/>
        <v>1.4761205986099999</v>
      </c>
      <c r="N81" s="121">
        <f t="shared" si="18"/>
        <v>1.5453935626059998</v>
      </c>
      <c r="O81" s="121">
        <f t="shared" si="18"/>
        <v>1.6146665266019997</v>
      </c>
      <c r="P81" s="121">
        <f t="shared" si="18"/>
        <v>1.6839394905979996</v>
      </c>
      <c r="Q81" s="121">
        <f t="shared" si="18"/>
        <v>1.753212454594</v>
      </c>
      <c r="R81" s="121">
        <f t="shared" si="18"/>
        <v>17.616792503824399</v>
      </c>
      <c r="S81" s="121">
        <f t="shared" si="18"/>
        <v>33.480372553054799</v>
      </c>
      <c r="T81" s="121">
        <f t="shared" si="18"/>
        <v>49.343952602285199</v>
      </c>
      <c r="U81" s="121">
        <f t="shared" si="18"/>
        <v>65.207532651515592</v>
      </c>
      <c r="V81" s="121">
        <f t="shared" si="18"/>
        <v>81.071112700745999</v>
      </c>
      <c r="W81" s="121">
        <f t="shared" si="18"/>
        <v>86.933679432099993</v>
      </c>
      <c r="X81" s="121">
        <f t="shared" si="18"/>
        <v>92.796246163453986</v>
      </c>
      <c r="Y81" s="121">
        <f t="shared" si="18"/>
        <v>98.65881289480798</v>
      </c>
      <c r="Z81" s="121">
        <f t="shared" si="18"/>
        <v>104.52137962616197</v>
      </c>
      <c r="AA81" s="121">
        <f t="shared" si="18"/>
        <v>110.383946357516</v>
      </c>
      <c r="AB81" s="121">
        <f t="shared" si="18"/>
        <v>117.24192417638679</v>
      </c>
      <c r="AC81" s="121">
        <f t="shared" si="18"/>
        <v>124.09990199525758</v>
      </c>
      <c r="AD81" s="121">
        <f t="shared" si="18"/>
        <v>130.95787981412838</v>
      </c>
      <c r="AE81" s="121">
        <f t="shared" si="18"/>
        <v>137.81585763299918</v>
      </c>
      <c r="AF81" s="121">
        <f t="shared" si="18"/>
        <v>144.67383545186999</v>
      </c>
      <c r="AG81" s="121">
        <f t="shared" si="18"/>
        <v>151.8096594976648</v>
      </c>
      <c r="AH81" s="121">
        <f t="shared" si="18"/>
        <v>158.9454835434596</v>
      </c>
      <c r="AI81" s="121">
        <f t="shared" si="18"/>
        <v>166.08130758925441</v>
      </c>
      <c r="AJ81" s="121">
        <f t="shared" si="18"/>
        <v>173.21713163504921</v>
      </c>
    </row>
    <row r="82" spans="2:36">
      <c r="B82" s="117" t="s">
        <v>173</v>
      </c>
      <c r="C82" s="122"/>
      <c r="E82" s="117"/>
      <c r="F82" s="121"/>
      <c r="H82" s="35" t="s">
        <v>24</v>
      </c>
      <c r="I82" s="121">
        <f t="shared" si="19"/>
        <v>6.5387898932644006</v>
      </c>
      <c r="J82" s="121">
        <f t="shared" si="18"/>
        <v>9.2543235356556011</v>
      </c>
      <c r="K82" s="121">
        <f t="shared" si="18"/>
        <v>11.969857178046801</v>
      </c>
      <c r="L82" s="121">
        <f t="shared" si="18"/>
        <v>14.685390820438</v>
      </c>
      <c r="M82" s="121">
        <f t="shared" si="18"/>
        <v>17.400866528027198</v>
      </c>
      <c r="N82" s="121">
        <f t="shared" si="18"/>
        <v>20.116342235616397</v>
      </c>
      <c r="O82" s="121">
        <f t="shared" si="18"/>
        <v>22.831817943205596</v>
      </c>
      <c r="P82" s="121">
        <f t="shared" si="18"/>
        <v>25.547293650794796</v>
      </c>
      <c r="Q82" s="121">
        <f t="shared" si="18"/>
        <v>28.262769358383991</v>
      </c>
      <c r="R82" s="121">
        <f t="shared" si="18"/>
        <v>28.776114485022791</v>
      </c>
      <c r="S82" s="121">
        <f t="shared" si="18"/>
        <v>29.289459611661592</v>
      </c>
      <c r="T82" s="121">
        <f t="shared" si="18"/>
        <v>29.802804738300392</v>
      </c>
      <c r="U82" s="121">
        <f t="shared" si="18"/>
        <v>30.316149864939192</v>
      </c>
      <c r="V82" s="121">
        <f t="shared" si="18"/>
        <v>30.829494991577999</v>
      </c>
      <c r="W82" s="121">
        <f t="shared" si="18"/>
        <v>31.388516204125999</v>
      </c>
      <c r="X82" s="121">
        <f t="shared" si="18"/>
        <v>31.947537416673999</v>
      </c>
      <c r="Y82" s="121">
        <f t="shared" si="18"/>
        <v>32.506558629221999</v>
      </c>
      <c r="Z82" s="121">
        <f t="shared" si="18"/>
        <v>33.065579841769996</v>
      </c>
      <c r="AA82" s="121">
        <f t="shared" si="18"/>
        <v>33.624601054317992</v>
      </c>
      <c r="AB82" s="121">
        <f t="shared" si="18"/>
        <v>34.232998470232793</v>
      </c>
      <c r="AC82" s="121">
        <f t="shared" si="18"/>
        <v>34.841395886147595</v>
      </c>
      <c r="AD82" s="121">
        <f t="shared" si="18"/>
        <v>35.449793302062396</v>
      </c>
      <c r="AE82" s="121">
        <f t="shared" si="18"/>
        <v>36.058190717977197</v>
      </c>
      <c r="AF82" s="121">
        <f t="shared" si="18"/>
        <v>36.666588133891999</v>
      </c>
      <c r="AG82" s="121">
        <f t="shared" si="18"/>
        <v>37.328936985231202</v>
      </c>
      <c r="AH82" s="121">
        <f t="shared" si="18"/>
        <v>37.991285836570405</v>
      </c>
      <c r="AI82" s="121">
        <f t="shared" si="18"/>
        <v>38.653634687909609</v>
      </c>
      <c r="AJ82" s="121">
        <f t="shared" si="18"/>
        <v>39.315983539248812</v>
      </c>
    </row>
    <row r="83" spans="2:36">
      <c r="B83" s="117" t="s">
        <v>173</v>
      </c>
      <c r="C83" s="122"/>
      <c r="E83" s="117"/>
      <c r="F83" s="121"/>
      <c r="H83" s="35" t="s">
        <v>25</v>
      </c>
      <c r="I83" s="121">
        <f t="shared" si="19"/>
        <v>25.389440745104398</v>
      </c>
      <c r="J83" s="121">
        <f t="shared" si="18"/>
        <v>37.530299813415596</v>
      </c>
      <c r="K83" s="121">
        <f t="shared" si="18"/>
        <v>49.671158881726797</v>
      </c>
      <c r="L83" s="121">
        <f t="shared" si="18"/>
        <v>61.812017950037998</v>
      </c>
      <c r="M83" s="121">
        <f t="shared" si="18"/>
        <v>67.143963640499592</v>
      </c>
      <c r="N83" s="121">
        <f t="shared" si="18"/>
        <v>72.475909330961187</v>
      </c>
      <c r="O83" s="121">
        <f t="shared" si="18"/>
        <v>77.807855021422782</v>
      </c>
      <c r="P83" s="121">
        <f t="shared" si="18"/>
        <v>83.139800711884376</v>
      </c>
      <c r="Q83" s="121">
        <f t="shared" si="18"/>
        <v>88.471746402346</v>
      </c>
      <c r="R83" s="121">
        <f t="shared" si="18"/>
        <v>98.112007994063603</v>
      </c>
      <c r="S83" s="121">
        <f t="shared" si="18"/>
        <v>107.75226958578121</v>
      </c>
      <c r="T83" s="121">
        <f t="shared" si="18"/>
        <v>117.39253117749881</v>
      </c>
      <c r="U83" s="121">
        <f t="shared" si="18"/>
        <v>127.03279276921641</v>
      </c>
      <c r="V83" s="121">
        <f t="shared" si="18"/>
        <v>136.673054360934</v>
      </c>
      <c r="W83" s="121">
        <f t="shared" si="18"/>
        <v>152.3950284390416</v>
      </c>
      <c r="X83" s="121">
        <f t="shared" si="18"/>
        <v>168.11700251714919</v>
      </c>
      <c r="Y83" s="121">
        <f t="shared" si="18"/>
        <v>183.83897659525678</v>
      </c>
      <c r="Z83" s="121">
        <f t="shared" si="18"/>
        <v>199.56095067336437</v>
      </c>
      <c r="AA83" s="121">
        <f t="shared" si="18"/>
        <v>215.282924751472</v>
      </c>
      <c r="AB83" s="121">
        <f t="shared" si="18"/>
        <v>238.91711118915001</v>
      </c>
      <c r="AC83" s="121">
        <f t="shared" si="18"/>
        <v>262.55129762682799</v>
      </c>
      <c r="AD83" s="121">
        <f t="shared" si="18"/>
        <v>286.185484064506</v>
      </c>
      <c r="AE83" s="121">
        <f t="shared" si="18"/>
        <v>309.81967050218401</v>
      </c>
      <c r="AF83" s="121">
        <f t="shared" si="18"/>
        <v>333.45385693986202</v>
      </c>
      <c r="AG83" s="121">
        <f t="shared" si="18"/>
        <v>366.77473710987164</v>
      </c>
      <c r="AH83" s="121">
        <f t="shared" si="18"/>
        <v>400.09561727988125</v>
      </c>
      <c r="AI83" s="121">
        <f t="shared" si="18"/>
        <v>433.41649744989087</v>
      </c>
      <c r="AJ83" s="121">
        <f t="shared" si="18"/>
        <v>466.73737761990049</v>
      </c>
    </row>
    <row r="84" spans="2:36">
      <c r="B84" s="117" t="s">
        <v>173</v>
      </c>
      <c r="C84" s="122"/>
      <c r="E84" s="117"/>
      <c r="F84" s="121"/>
      <c r="H84" s="117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</row>
    <row r="85" spans="2:36">
      <c r="B85" s="117" t="s">
        <v>173</v>
      </c>
      <c r="C85" s="122"/>
      <c r="E85" s="117"/>
      <c r="F85" s="121"/>
      <c r="H85" s="117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</row>
    <row r="86" spans="2:36">
      <c r="B86" s="117" t="s">
        <v>173</v>
      </c>
      <c r="C86" s="122"/>
      <c r="E86" s="117"/>
      <c r="F86" s="121"/>
      <c r="H86" s="117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</row>
    <row r="87" spans="2:36">
      <c r="F87" s="127"/>
    </row>
    <row r="88" spans="2:36">
      <c r="B88" s="113" t="s">
        <v>271</v>
      </c>
      <c r="E88" s="113" t="s">
        <v>68</v>
      </c>
      <c r="H88" s="113" t="s">
        <v>71</v>
      </c>
      <c r="I88" s="115">
        <v>2023</v>
      </c>
      <c r="J88" s="115">
        <v>2024</v>
      </c>
      <c r="K88" s="115">
        <v>2025</v>
      </c>
      <c r="L88" s="115">
        <v>2026</v>
      </c>
      <c r="M88" s="115">
        <v>2027</v>
      </c>
      <c r="N88" s="115">
        <v>2028</v>
      </c>
      <c r="O88" s="115">
        <v>2029</v>
      </c>
      <c r="P88" s="115">
        <v>2030</v>
      </c>
      <c r="Q88" s="115">
        <v>2031</v>
      </c>
      <c r="R88" s="115">
        <v>2032</v>
      </c>
      <c r="S88" s="115">
        <v>2033</v>
      </c>
      <c r="T88" s="115">
        <v>2034</v>
      </c>
      <c r="U88" s="115">
        <v>2035</v>
      </c>
      <c r="V88" s="115">
        <v>2036</v>
      </c>
      <c r="W88" s="115">
        <v>2037</v>
      </c>
      <c r="X88" s="115">
        <v>2038</v>
      </c>
      <c r="Y88" s="115">
        <v>2039</v>
      </c>
      <c r="Z88" s="115">
        <v>2040</v>
      </c>
      <c r="AA88" s="115">
        <v>2041</v>
      </c>
      <c r="AB88" s="115">
        <v>2042</v>
      </c>
      <c r="AC88" s="115">
        <v>2043</v>
      </c>
      <c r="AD88" s="115">
        <v>2044</v>
      </c>
      <c r="AE88" s="115">
        <v>2045</v>
      </c>
      <c r="AF88" s="115">
        <v>2046</v>
      </c>
      <c r="AG88" s="115">
        <v>2047</v>
      </c>
      <c r="AH88" s="115">
        <v>2048</v>
      </c>
      <c r="AI88" s="115">
        <v>2049</v>
      </c>
      <c r="AJ88" s="115">
        <v>2050</v>
      </c>
    </row>
    <row r="89" spans="2:36">
      <c r="B89" s="117" t="s">
        <v>173</v>
      </c>
      <c r="C89" s="122"/>
      <c r="E89" s="117"/>
      <c r="F89" s="121"/>
      <c r="H89" s="117" t="s">
        <v>8</v>
      </c>
      <c r="I89" s="121">
        <f>I101</f>
        <v>1.2274021734379998</v>
      </c>
      <c r="J89" s="121">
        <f t="shared" ref="J89:AJ89" si="20">J101</f>
        <v>1.2872419559159998</v>
      </c>
      <c r="K89" s="121">
        <f t="shared" si="20"/>
        <v>1.3470817383939997</v>
      </c>
      <c r="L89" s="121">
        <f t="shared" si="20"/>
        <v>1.4069215208720001</v>
      </c>
      <c r="M89" s="121">
        <f t="shared" si="20"/>
        <v>1.4762026156796</v>
      </c>
      <c r="N89" s="121">
        <f t="shared" si="20"/>
        <v>1.5454837104871999</v>
      </c>
      <c r="O89" s="121">
        <f t="shared" si="20"/>
        <v>1.6147648052947998</v>
      </c>
      <c r="P89" s="121">
        <f t="shared" si="20"/>
        <v>1.6840459001023997</v>
      </c>
      <c r="Q89" s="121">
        <f t="shared" si="20"/>
        <v>1.7533269949100001</v>
      </c>
      <c r="R89" s="121">
        <f t="shared" si="20"/>
        <v>1.8328976871844</v>
      </c>
      <c r="S89" s="121">
        <f t="shared" si="20"/>
        <v>1.9124683794588</v>
      </c>
      <c r="T89" s="121">
        <f t="shared" si="20"/>
        <v>1.9920390717331999</v>
      </c>
      <c r="U89" s="121">
        <f t="shared" si="20"/>
        <v>2.0716097640075999</v>
      </c>
      <c r="V89" s="121">
        <f t="shared" si="20"/>
        <v>2.1511804562819998</v>
      </c>
      <c r="W89" s="121">
        <f t="shared" si="20"/>
        <v>2.2421281479167998</v>
      </c>
      <c r="X89" s="121">
        <f t="shared" si="20"/>
        <v>2.3330758395515998</v>
      </c>
      <c r="Y89" s="121">
        <f t="shared" si="20"/>
        <v>2.4240235311863998</v>
      </c>
      <c r="Z89" s="121">
        <f t="shared" si="20"/>
        <v>2.5149712228211998</v>
      </c>
      <c r="AA89" s="121">
        <f t="shared" si="20"/>
        <v>2.6059189144560002</v>
      </c>
      <c r="AB89" s="121">
        <f t="shared" si="20"/>
        <v>2.7092753544872004</v>
      </c>
      <c r="AC89" s="121">
        <f t="shared" si="20"/>
        <v>2.8126317945184005</v>
      </c>
      <c r="AD89" s="121">
        <f t="shared" si="20"/>
        <v>2.9159882345496007</v>
      </c>
      <c r="AE89" s="121">
        <f t="shared" si="20"/>
        <v>3.0193446745808008</v>
      </c>
      <c r="AF89" s="121">
        <f t="shared" si="20"/>
        <v>3.1227011146120001</v>
      </c>
      <c r="AG89" s="121">
        <f t="shared" si="20"/>
        <v>3.2396168904228002</v>
      </c>
      <c r="AH89" s="121">
        <f t="shared" si="20"/>
        <v>3.3565326662336004</v>
      </c>
      <c r="AI89" s="121">
        <f t="shared" si="20"/>
        <v>3.4734484420444005</v>
      </c>
      <c r="AJ89" s="121">
        <f t="shared" si="20"/>
        <v>3.5903642178552007</v>
      </c>
    </row>
    <row r="90" spans="2:36">
      <c r="B90" s="117" t="s">
        <v>173</v>
      </c>
      <c r="C90" s="122"/>
      <c r="E90" s="117"/>
      <c r="F90" s="121"/>
      <c r="H90" s="35" t="s">
        <v>12</v>
      </c>
      <c r="I90" s="121">
        <f t="shared" ref="I90:AJ94" si="21">I102</f>
        <v>13.458131390376399</v>
      </c>
      <c r="J90" s="121">
        <f t="shared" si="21"/>
        <v>19.633335781323598</v>
      </c>
      <c r="K90" s="121">
        <f t="shared" si="21"/>
        <v>25.808540172270799</v>
      </c>
      <c r="L90" s="121">
        <f t="shared" si="21"/>
        <v>31.983744563218</v>
      </c>
      <c r="M90" s="121">
        <f t="shared" si="21"/>
        <v>33.368109551101597</v>
      </c>
      <c r="N90" s="121">
        <f t="shared" si="21"/>
        <v>34.752474538985197</v>
      </c>
      <c r="O90" s="121">
        <f t="shared" si="21"/>
        <v>36.136839526868798</v>
      </c>
      <c r="P90" s="121">
        <f t="shared" si="21"/>
        <v>37.521204514752398</v>
      </c>
      <c r="Q90" s="121">
        <f t="shared" si="21"/>
        <v>38.905569502635991</v>
      </c>
      <c r="R90" s="121">
        <f t="shared" si="21"/>
        <v>41.067194329817596</v>
      </c>
      <c r="S90" s="121">
        <f t="shared" si="21"/>
        <v>43.228819156999201</v>
      </c>
      <c r="T90" s="121">
        <f t="shared" si="21"/>
        <v>45.390443984180806</v>
      </c>
      <c r="U90" s="121">
        <f t="shared" si="21"/>
        <v>47.55206881136241</v>
      </c>
      <c r="V90" s="121">
        <f t="shared" si="21"/>
        <v>49.713693638544001</v>
      </c>
      <c r="W90" s="121">
        <f t="shared" si="21"/>
        <v>52.840679425011601</v>
      </c>
      <c r="X90" s="121">
        <f t="shared" si="21"/>
        <v>55.967665211479201</v>
      </c>
      <c r="Y90" s="121">
        <f t="shared" si="21"/>
        <v>59.0946509979468</v>
      </c>
      <c r="Z90" s="121">
        <f t="shared" si="21"/>
        <v>62.2216367844144</v>
      </c>
      <c r="AA90" s="121">
        <f t="shared" si="21"/>
        <v>65.348622570882</v>
      </c>
      <c r="AB90" s="121">
        <f t="shared" si="21"/>
        <v>69.779332531809203</v>
      </c>
      <c r="AC90" s="121">
        <f t="shared" si="21"/>
        <v>74.210042492736406</v>
      </c>
      <c r="AD90" s="121">
        <f t="shared" si="21"/>
        <v>78.640752453663609</v>
      </c>
      <c r="AE90" s="121">
        <f t="shared" si="21"/>
        <v>83.071462414590812</v>
      </c>
      <c r="AF90" s="121">
        <f t="shared" si="21"/>
        <v>87.502172375517986</v>
      </c>
      <c r="AG90" s="121">
        <f t="shared" si="21"/>
        <v>93.495521084597186</v>
      </c>
      <c r="AH90" s="121">
        <f t="shared" si="21"/>
        <v>99.488869793676386</v>
      </c>
      <c r="AI90" s="121">
        <f t="shared" si="21"/>
        <v>105.48221850275559</v>
      </c>
      <c r="AJ90" s="121">
        <f t="shared" si="21"/>
        <v>111.47556721183479</v>
      </c>
    </row>
    <row r="91" spans="2:36">
      <c r="B91" s="117" t="s">
        <v>173</v>
      </c>
      <c r="C91" s="122"/>
      <c r="E91" s="117"/>
      <c r="F91" s="121"/>
      <c r="H91" s="35" t="s">
        <v>15</v>
      </c>
      <c r="I91" s="121">
        <f t="shared" si="21"/>
        <v>1.2274021734379998</v>
      </c>
      <c r="J91" s="121">
        <f t="shared" si="21"/>
        <v>1.2872419559159998</v>
      </c>
      <c r="K91" s="121">
        <f t="shared" si="21"/>
        <v>1.3470817383939997</v>
      </c>
      <c r="L91" s="121">
        <f t="shared" si="21"/>
        <v>1.4069215208720001</v>
      </c>
      <c r="M91" s="121">
        <f t="shared" si="21"/>
        <v>1.4762026156796</v>
      </c>
      <c r="N91" s="121">
        <f t="shared" si="21"/>
        <v>1.5454837104871999</v>
      </c>
      <c r="O91" s="121">
        <f t="shared" si="21"/>
        <v>1.6147648052947998</v>
      </c>
      <c r="P91" s="121">
        <f t="shared" si="21"/>
        <v>1.6840459001023997</v>
      </c>
      <c r="Q91" s="121">
        <f t="shared" si="21"/>
        <v>1.7533269949100001</v>
      </c>
      <c r="R91" s="121">
        <f t="shared" si="21"/>
        <v>1.8328976871844</v>
      </c>
      <c r="S91" s="121">
        <f t="shared" si="21"/>
        <v>1.9124683794588</v>
      </c>
      <c r="T91" s="121">
        <f t="shared" si="21"/>
        <v>1.9920390717331999</v>
      </c>
      <c r="U91" s="121">
        <f t="shared" si="21"/>
        <v>2.0716097640075999</v>
      </c>
      <c r="V91" s="121">
        <f t="shared" si="21"/>
        <v>2.1511804562819998</v>
      </c>
      <c r="W91" s="121">
        <f t="shared" si="21"/>
        <v>2.2421281479167998</v>
      </c>
      <c r="X91" s="121">
        <f t="shared" si="21"/>
        <v>2.3330758395515998</v>
      </c>
      <c r="Y91" s="121">
        <f t="shared" si="21"/>
        <v>2.4240235311863998</v>
      </c>
      <c r="Z91" s="121">
        <f t="shared" si="21"/>
        <v>2.5149712228211998</v>
      </c>
      <c r="AA91" s="121">
        <f t="shared" si="21"/>
        <v>2.6059189144560002</v>
      </c>
      <c r="AB91" s="121">
        <f t="shared" si="21"/>
        <v>2.7092753544872004</v>
      </c>
      <c r="AC91" s="121">
        <f t="shared" si="21"/>
        <v>2.8126317945184005</v>
      </c>
      <c r="AD91" s="121">
        <f t="shared" si="21"/>
        <v>2.9159882345496007</v>
      </c>
      <c r="AE91" s="121">
        <f t="shared" si="21"/>
        <v>3.0193446745808008</v>
      </c>
      <c r="AF91" s="121">
        <f t="shared" si="21"/>
        <v>3.1227011146120001</v>
      </c>
      <c r="AG91" s="121">
        <f t="shared" si="21"/>
        <v>3.2396168904228002</v>
      </c>
      <c r="AH91" s="121">
        <f t="shared" si="21"/>
        <v>3.3565326662336004</v>
      </c>
      <c r="AI91" s="121">
        <f t="shared" si="21"/>
        <v>3.4734484420444005</v>
      </c>
      <c r="AJ91" s="121">
        <f t="shared" si="21"/>
        <v>3.5903642178552007</v>
      </c>
    </row>
    <row r="92" spans="2:36">
      <c r="B92" s="117" t="s">
        <v>173</v>
      </c>
      <c r="C92" s="122"/>
      <c r="E92" s="117"/>
      <c r="F92" s="121"/>
      <c r="H92" s="35" t="s">
        <v>19</v>
      </c>
      <c r="I92" s="121">
        <f t="shared" si="21"/>
        <v>1.2273726189348</v>
      </c>
      <c r="J92" s="121">
        <f t="shared" si="21"/>
        <v>1.2871976241612</v>
      </c>
      <c r="K92" s="121">
        <f t="shared" si="21"/>
        <v>1.3470226293876</v>
      </c>
      <c r="L92" s="121">
        <f t="shared" si="21"/>
        <v>1.406847634614</v>
      </c>
      <c r="M92" s="121">
        <f t="shared" si="21"/>
        <v>1.4761205986099999</v>
      </c>
      <c r="N92" s="121">
        <f t="shared" si="21"/>
        <v>1.5453935626059998</v>
      </c>
      <c r="O92" s="121">
        <f t="shared" si="21"/>
        <v>1.6146665266019997</v>
      </c>
      <c r="P92" s="121">
        <f t="shared" si="21"/>
        <v>1.6839394905979996</v>
      </c>
      <c r="Q92" s="121">
        <f t="shared" si="21"/>
        <v>1.753212454594</v>
      </c>
      <c r="R92" s="121">
        <f t="shared" si="21"/>
        <v>16.179528256277997</v>
      </c>
      <c r="S92" s="121">
        <f t="shared" si="21"/>
        <v>30.605844057961995</v>
      </c>
      <c r="T92" s="121">
        <f t="shared" si="21"/>
        <v>45.032159859645994</v>
      </c>
      <c r="U92" s="121">
        <f t="shared" si="21"/>
        <v>59.458475661329992</v>
      </c>
      <c r="V92" s="121">
        <f t="shared" si="21"/>
        <v>73.884791463013997</v>
      </c>
      <c r="W92" s="121">
        <f t="shared" si="21"/>
        <v>83.243135617449994</v>
      </c>
      <c r="X92" s="121">
        <f t="shared" si="21"/>
        <v>92.601479771885991</v>
      </c>
      <c r="Y92" s="121">
        <f t="shared" si="21"/>
        <v>101.95982392632199</v>
      </c>
      <c r="Z92" s="121">
        <f t="shared" si="21"/>
        <v>111.31816808075799</v>
      </c>
      <c r="AA92" s="121">
        <f t="shared" si="21"/>
        <v>120.676512235194</v>
      </c>
      <c r="AB92" s="121">
        <f t="shared" si="21"/>
        <v>133.572178825994</v>
      </c>
      <c r="AC92" s="121">
        <f t="shared" si="21"/>
        <v>146.46784541679401</v>
      </c>
      <c r="AD92" s="121">
        <f t="shared" si="21"/>
        <v>159.36351200759401</v>
      </c>
      <c r="AE92" s="121">
        <f t="shared" si="21"/>
        <v>172.25917859839402</v>
      </c>
      <c r="AF92" s="121">
        <f t="shared" si="21"/>
        <v>185.15484518919399</v>
      </c>
      <c r="AG92" s="121">
        <f t="shared" si="21"/>
        <v>200.136609963474</v>
      </c>
      <c r="AH92" s="121">
        <f t="shared" si="21"/>
        <v>215.11837473775401</v>
      </c>
      <c r="AI92" s="121">
        <f t="shared" si="21"/>
        <v>230.10013951203402</v>
      </c>
      <c r="AJ92" s="121">
        <f t="shared" si="21"/>
        <v>245.08190428631403</v>
      </c>
    </row>
    <row r="93" spans="2:36">
      <c r="B93" s="117" t="s">
        <v>173</v>
      </c>
      <c r="C93" s="122"/>
      <c r="E93" s="117"/>
      <c r="F93" s="121"/>
      <c r="H93" s="35" t="s">
        <v>22</v>
      </c>
      <c r="I93" s="121">
        <f t="shared" si="21"/>
        <v>1.2273726189348</v>
      </c>
      <c r="J93" s="121">
        <f t="shared" si="21"/>
        <v>1.2871976241612</v>
      </c>
      <c r="K93" s="121">
        <f t="shared" si="21"/>
        <v>1.3470226293876</v>
      </c>
      <c r="L93" s="121">
        <f t="shared" si="21"/>
        <v>1.406847634614</v>
      </c>
      <c r="M93" s="121">
        <f t="shared" si="21"/>
        <v>1.4761205986099999</v>
      </c>
      <c r="N93" s="121">
        <f t="shared" si="21"/>
        <v>1.5453935626059998</v>
      </c>
      <c r="O93" s="121">
        <f t="shared" si="21"/>
        <v>1.6146665266019997</v>
      </c>
      <c r="P93" s="121">
        <f t="shared" si="21"/>
        <v>1.6839394905979996</v>
      </c>
      <c r="Q93" s="121">
        <f t="shared" si="21"/>
        <v>1.753212454594</v>
      </c>
      <c r="R93" s="121">
        <f t="shared" si="21"/>
        <v>17.616792503824399</v>
      </c>
      <c r="S93" s="121">
        <f t="shared" si="21"/>
        <v>33.480372553054799</v>
      </c>
      <c r="T93" s="121">
        <f t="shared" si="21"/>
        <v>49.343952602285199</v>
      </c>
      <c r="U93" s="121">
        <f t="shared" si="21"/>
        <v>65.207532651515592</v>
      </c>
      <c r="V93" s="121">
        <f t="shared" si="21"/>
        <v>81.071112700745999</v>
      </c>
      <c r="W93" s="121">
        <f t="shared" si="21"/>
        <v>86.933679432099993</v>
      </c>
      <c r="X93" s="121">
        <f t="shared" si="21"/>
        <v>92.796246163453986</v>
      </c>
      <c r="Y93" s="121">
        <f t="shared" si="21"/>
        <v>98.65881289480798</v>
      </c>
      <c r="Z93" s="121">
        <f t="shared" si="21"/>
        <v>104.52137962616197</v>
      </c>
      <c r="AA93" s="121">
        <f t="shared" si="21"/>
        <v>110.383946357516</v>
      </c>
      <c r="AB93" s="121">
        <f t="shared" si="21"/>
        <v>117.24192417638679</v>
      </c>
      <c r="AC93" s="121">
        <f t="shared" si="21"/>
        <v>124.09990199525758</v>
      </c>
      <c r="AD93" s="121">
        <f t="shared" si="21"/>
        <v>130.95787981412838</v>
      </c>
      <c r="AE93" s="121">
        <f t="shared" si="21"/>
        <v>137.81585763299918</v>
      </c>
      <c r="AF93" s="121">
        <f t="shared" si="21"/>
        <v>144.67383545186999</v>
      </c>
      <c r="AG93" s="121">
        <f t="shared" si="21"/>
        <v>151.8096594976648</v>
      </c>
      <c r="AH93" s="121">
        <f t="shared" si="21"/>
        <v>158.9454835434596</v>
      </c>
      <c r="AI93" s="121">
        <f t="shared" si="21"/>
        <v>166.08130758925441</v>
      </c>
      <c r="AJ93" s="121">
        <f t="shared" si="21"/>
        <v>173.21713163504921</v>
      </c>
    </row>
    <row r="94" spans="2:36">
      <c r="B94" s="117" t="s">
        <v>173</v>
      </c>
      <c r="C94" s="122"/>
      <c r="E94" s="117"/>
      <c r="F94" s="121"/>
      <c r="H94" s="35" t="s">
        <v>24</v>
      </c>
      <c r="I94" s="121">
        <f>I106</f>
        <v>6.5387898932644006</v>
      </c>
      <c r="J94" s="121">
        <f t="shared" si="21"/>
        <v>9.2543235356556011</v>
      </c>
      <c r="K94" s="121">
        <f t="shared" si="21"/>
        <v>11.969857178046801</v>
      </c>
      <c r="L94" s="121">
        <f t="shared" si="21"/>
        <v>14.685390820438</v>
      </c>
      <c r="M94" s="121">
        <f t="shared" si="21"/>
        <v>17.400866528027198</v>
      </c>
      <c r="N94" s="121">
        <f t="shared" si="21"/>
        <v>20.116342235616397</v>
      </c>
      <c r="O94" s="121">
        <f t="shared" si="21"/>
        <v>22.831817943205596</v>
      </c>
      <c r="P94" s="121">
        <f t="shared" si="21"/>
        <v>25.547293650794796</v>
      </c>
      <c r="Q94" s="121">
        <f t="shared" si="21"/>
        <v>28.262769358383991</v>
      </c>
      <c r="R94" s="121">
        <f t="shared" si="21"/>
        <v>28.776114485022791</v>
      </c>
      <c r="S94" s="121">
        <f t="shared" si="21"/>
        <v>29.289459611661592</v>
      </c>
      <c r="T94" s="121">
        <f t="shared" si="21"/>
        <v>29.802804738300392</v>
      </c>
      <c r="U94" s="121">
        <f t="shared" si="21"/>
        <v>30.316149864939192</v>
      </c>
      <c r="V94" s="121">
        <f t="shared" si="21"/>
        <v>30.829494991577999</v>
      </c>
      <c r="W94" s="121">
        <f t="shared" si="21"/>
        <v>31.388516204125999</v>
      </c>
      <c r="X94" s="121">
        <f t="shared" si="21"/>
        <v>31.947537416673999</v>
      </c>
      <c r="Y94" s="121">
        <f t="shared" si="21"/>
        <v>32.506558629221999</v>
      </c>
      <c r="Z94" s="121">
        <f t="shared" si="21"/>
        <v>33.065579841769996</v>
      </c>
      <c r="AA94" s="121">
        <f t="shared" si="21"/>
        <v>33.624601054317992</v>
      </c>
      <c r="AB94" s="121">
        <f t="shared" si="21"/>
        <v>34.232998470232793</v>
      </c>
      <c r="AC94" s="121">
        <f t="shared" si="21"/>
        <v>34.841395886147595</v>
      </c>
      <c r="AD94" s="121">
        <f t="shared" si="21"/>
        <v>35.449793302062396</v>
      </c>
      <c r="AE94" s="121">
        <f t="shared" si="21"/>
        <v>36.058190717977197</v>
      </c>
      <c r="AF94" s="121">
        <f t="shared" si="21"/>
        <v>36.666588133891999</v>
      </c>
      <c r="AG94" s="121">
        <f t="shared" si="21"/>
        <v>37.328936985231202</v>
      </c>
      <c r="AH94" s="121">
        <f t="shared" si="21"/>
        <v>37.991285836570405</v>
      </c>
      <c r="AI94" s="121">
        <f t="shared" si="21"/>
        <v>38.653634687909609</v>
      </c>
      <c r="AJ94" s="121">
        <f t="shared" si="21"/>
        <v>39.315983539248812</v>
      </c>
    </row>
    <row r="95" spans="2:36">
      <c r="B95" s="117" t="s">
        <v>173</v>
      </c>
      <c r="C95" s="122"/>
      <c r="E95" s="117"/>
      <c r="F95" s="121"/>
      <c r="H95" s="35" t="s">
        <v>25</v>
      </c>
      <c r="I95" s="121">
        <f t="shared" ref="I95:AJ95" si="22">I107</f>
        <v>25.389440745104398</v>
      </c>
      <c r="J95" s="121">
        <f t="shared" si="22"/>
        <v>37.530299813415596</v>
      </c>
      <c r="K95" s="121">
        <f t="shared" si="22"/>
        <v>49.671158881726797</v>
      </c>
      <c r="L95" s="121">
        <f t="shared" si="22"/>
        <v>61.812017950037998</v>
      </c>
      <c r="M95" s="121">
        <f t="shared" si="22"/>
        <v>67.143963640499592</v>
      </c>
      <c r="N95" s="121">
        <f t="shared" si="22"/>
        <v>72.475909330961187</v>
      </c>
      <c r="O95" s="121">
        <f t="shared" si="22"/>
        <v>77.807855021422782</v>
      </c>
      <c r="P95" s="121">
        <f t="shared" si="22"/>
        <v>83.139800711884376</v>
      </c>
      <c r="Q95" s="121">
        <f t="shared" si="22"/>
        <v>88.471746402346</v>
      </c>
      <c r="R95" s="121">
        <f t="shared" si="22"/>
        <v>98.112007994063603</v>
      </c>
      <c r="S95" s="121">
        <f t="shared" si="22"/>
        <v>107.75226958578121</v>
      </c>
      <c r="T95" s="121">
        <f t="shared" si="22"/>
        <v>117.39253117749881</v>
      </c>
      <c r="U95" s="121">
        <f t="shared" si="22"/>
        <v>127.03279276921641</v>
      </c>
      <c r="V95" s="121">
        <f t="shared" si="22"/>
        <v>136.673054360934</v>
      </c>
      <c r="W95" s="121">
        <f t="shared" si="22"/>
        <v>152.3950284390416</v>
      </c>
      <c r="X95" s="121">
        <f t="shared" si="22"/>
        <v>168.11700251714919</v>
      </c>
      <c r="Y95" s="121">
        <f t="shared" si="22"/>
        <v>183.83897659525678</v>
      </c>
      <c r="Z95" s="121">
        <f t="shared" si="22"/>
        <v>199.56095067336437</v>
      </c>
      <c r="AA95" s="121">
        <f t="shared" si="22"/>
        <v>215.282924751472</v>
      </c>
      <c r="AB95" s="121">
        <f t="shared" si="22"/>
        <v>238.91711118915001</v>
      </c>
      <c r="AC95" s="121">
        <f t="shared" si="22"/>
        <v>262.55129762682799</v>
      </c>
      <c r="AD95" s="121">
        <f t="shared" si="22"/>
        <v>286.185484064506</v>
      </c>
      <c r="AE95" s="121">
        <f t="shared" si="22"/>
        <v>309.81967050218401</v>
      </c>
      <c r="AF95" s="121">
        <f t="shared" si="22"/>
        <v>333.45385693986202</v>
      </c>
      <c r="AG95" s="121">
        <f t="shared" si="22"/>
        <v>366.77473710987164</v>
      </c>
      <c r="AH95" s="121">
        <f t="shared" si="22"/>
        <v>400.09561727988125</v>
      </c>
      <c r="AI95" s="121">
        <f t="shared" si="22"/>
        <v>433.41649744989087</v>
      </c>
      <c r="AJ95" s="121">
        <f t="shared" si="22"/>
        <v>466.73737761990049</v>
      </c>
    </row>
    <row r="96" spans="2:36">
      <c r="B96" s="117" t="s">
        <v>173</v>
      </c>
      <c r="C96" s="122"/>
      <c r="E96" s="117"/>
      <c r="F96" s="121"/>
      <c r="H96" s="117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</row>
    <row r="97" spans="1:42">
      <c r="B97" s="117" t="s">
        <v>173</v>
      </c>
      <c r="C97" s="122"/>
      <c r="E97" s="117"/>
      <c r="F97" s="121"/>
      <c r="H97" s="117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</row>
    <row r="98" spans="1:42">
      <c r="B98" s="117" t="s">
        <v>173</v>
      </c>
      <c r="C98" s="122"/>
      <c r="E98" s="117"/>
      <c r="F98" s="121"/>
      <c r="H98" s="117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</row>
    <row r="100" spans="1:42">
      <c r="B100" s="113" t="s">
        <v>272</v>
      </c>
      <c r="E100" s="113" t="s">
        <v>69</v>
      </c>
      <c r="H100" s="113" t="s">
        <v>72</v>
      </c>
      <c r="I100" s="115">
        <v>2023</v>
      </c>
      <c r="J100" s="115">
        <v>2024</v>
      </c>
      <c r="K100" s="115">
        <v>2025</v>
      </c>
      <c r="L100" s="115">
        <v>2026</v>
      </c>
      <c r="M100" s="115">
        <v>2027</v>
      </c>
      <c r="N100" s="115">
        <v>2028</v>
      </c>
      <c r="O100" s="115">
        <v>2029</v>
      </c>
      <c r="P100" s="115">
        <v>2030</v>
      </c>
      <c r="Q100" s="115">
        <v>2031</v>
      </c>
      <c r="R100" s="115">
        <v>2032</v>
      </c>
      <c r="S100" s="115">
        <v>2033</v>
      </c>
      <c r="T100" s="115">
        <v>2034</v>
      </c>
      <c r="U100" s="115">
        <v>2035</v>
      </c>
      <c r="V100" s="115">
        <v>2036</v>
      </c>
      <c r="W100" s="115">
        <v>2037</v>
      </c>
      <c r="X100" s="115">
        <v>2038</v>
      </c>
      <c r="Y100" s="115">
        <v>2039</v>
      </c>
      <c r="Z100" s="115">
        <v>2040</v>
      </c>
      <c r="AA100" s="115">
        <v>2041</v>
      </c>
      <c r="AB100" s="115">
        <v>2042</v>
      </c>
      <c r="AC100" s="115">
        <v>2043</v>
      </c>
      <c r="AD100" s="115">
        <v>2044</v>
      </c>
      <c r="AE100" s="115">
        <v>2045</v>
      </c>
      <c r="AF100" s="115">
        <v>2046</v>
      </c>
      <c r="AG100" s="115">
        <v>2047</v>
      </c>
      <c r="AH100" s="115">
        <v>2048</v>
      </c>
      <c r="AI100" s="115">
        <v>2049</v>
      </c>
      <c r="AJ100" s="115">
        <v>2050</v>
      </c>
    </row>
    <row r="101" spans="1:42">
      <c r="B101" s="117" t="s">
        <v>173</v>
      </c>
      <c r="C101" s="122"/>
      <c r="E101" s="117"/>
      <c r="F101" s="121"/>
      <c r="H101" s="117" t="s">
        <v>8</v>
      </c>
      <c r="I101" s="121">
        <f>I103</f>
        <v>1.2274021734379998</v>
      </c>
      <c r="J101" s="121">
        <f t="shared" ref="J101:AJ101" si="23">J103</f>
        <v>1.2872419559159998</v>
      </c>
      <c r="K101" s="121">
        <f t="shared" si="23"/>
        <v>1.3470817383939997</v>
      </c>
      <c r="L101" s="121">
        <f t="shared" si="23"/>
        <v>1.4069215208720001</v>
      </c>
      <c r="M101" s="121">
        <f t="shared" si="23"/>
        <v>1.4762026156796</v>
      </c>
      <c r="N101" s="121">
        <f t="shared" si="23"/>
        <v>1.5454837104871999</v>
      </c>
      <c r="O101" s="121">
        <f t="shared" si="23"/>
        <v>1.6147648052947998</v>
      </c>
      <c r="P101" s="121">
        <f t="shared" si="23"/>
        <v>1.6840459001023997</v>
      </c>
      <c r="Q101" s="121">
        <f t="shared" si="23"/>
        <v>1.7533269949100001</v>
      </c>
      <c r="R101" s="121">
        <f t="shared" si="23"/>
        <v>1.8328976871844</v>
      </c>
      <c r="S101" s="121">
        <f t="shared" si="23"/>
        <v>1.9124683794588</v>
      </c>
      <c r="T101" s="121">
        <f t="shared" si="23"/>
        <v>1.9920390717331999</v>
      </c>
      <c r="U101" s="121">
        <f t="shared" si="23"/>
        <v>2.0716097640075999</v>
      </c>
      <c r="V101" s="121">
        <f t="shared" si="23"/>
        <v>2.1511804562819998</v>
      </c>
      <c r="W101" s="121">
        <f t="shared" si="23"/>
        <v>2.2421281479167998</v>
      </c>
      <c r="X101" s="121">
        <f t="shared" si="23"/>
        <v>2.3330758395515998</v>
      </c>
      <c r="Y101" s="121">
        <f t="shared" si="23"/>
        <v>2.4240235311863998</v>
      </c>
      <c r="Z101" s="121">
        <f t="shared" si="23"/>
        <v>2.5149712228211998</v>
      </c>
      <c r="AA101" s="121">
        <f t="shared" si="23"/>
        <v>2.6059189144560002</v>
      </c>
      <c r="AB101" s="121">
        <f t="shared" si="23"/>
        <v>2.7092753544872004</v>
      </c>
      <c r="AC101" s="121">
        <f t="shared" si="23"/>
        <v>2.8126317945184005</v>
      </c>
      <c r="AD101" s="121">
        <f t="shared" si="23"/>
        <v>2.9159882345496007</v>
      </c>
      <c r="AE101" s="121">
        <f t="shared" si="23"/>
        <v>3.0193446745808008</v>
      </c>
      <c r="AF101" s="121">
        <f t="shared" si="23"/>
        <v>3.1227011146120001</v>
      </c>
      <c r="AG101" s="121">
        <f t="shared" si="23"/>
        <v>3.2396168904228002</v>
      </c>
      <c r="AH101" s="121">
        <f t="shared" si="23"/>
        <v>3.3565326662336004</v>
      </c>
      <c r="AI101" s="121">
        <f t="shared" si="23"/>
        <v>3.4734484420444005</v>
      </c>
      <c r="AJ101" s="121">
        <f t="shared" si="23"/>
        <v>3.5903642178552007</v>
      </c>
    </row>
    <row r="102" spans="1:42">
      <c r="B102" s="117" t="s">
        <v>173</v>
      </c>
      <c r="C102" s="122"/>
      <c r="E102" s="117"/>
      <c r="F102" s="121"/>
      <c r="H102" s="35" t="s">
        <v>12</v>
      </c>
      <c r="I102" s="121">
        <f>I112</f>
        <v>13.458131390376399</v>
      </c>
      <c r="J102" s="121">
        <f t="shared" ref="J102:AJ107" si="24">J112</f>
        <v>19.633335781323598</v>
      </c>
      <c r="K102" s="121">
        <f t="shared" si="24"/>
        <v>25.808540172270799</v>
      </c>
      <c r="L102" s="121">
        <f t="shared" si="24"/>
        <v>31.983744563218</v>
      </c>
      <c r="M102" s="121">
        <f t="shared" si="24"/>
        <v>33.368109551101597</v>
      </c>
      <c r="N102" s="121">
        <f t="shared" si="24"/>
        <v>34.752474538985197</v>
      </c>
      <c r="O102" s="121">
        <f t="shared" si="24"/>
        <v>36.136839526868798</v>
      </c>
      <c r="P102" s="121">
        <f t="shared" si="24"/>
        <v>37.521204514752398</v>
      </c>
      <c r="Q102" s="121">
        <f t="shared" si="24"/>
        <v>38.905569502635991</v>
      </c>
      <c r="R102" s="121">
        <f t="shared" si="24"/>
        <v>41.067194329817596</v>
      </c>
      <c r="S102" s="121">
        <f t="shared" si="24"/>
        <v>43.228819156999201</v>
      </c>
      <c r="T102" s="121">
        <f t="shared" si="24"/>
        <v>45.390443984180806</v>
      </c>
      <c r="U102" s="121">
        <f t="shared" si="24"/>
        <v>47.55206881136241</v>
      </c>
      <c r="V102" s="121">
        <f t="shared" si="24"/>
        <v>49.713693638544001</v>
      </c>
      <c r="W102" s="121">
        <f t="shared" si="24"/>
        <v>52.840679425011601</v>
      </c>
      <c r="X102" s="121">
        <f t="shared" si="24"/>
        <v>55.967665211479201</v>
      </c>
      <c r="Y102" s="121">
        <f t="shared" si="24"/>
        <v>59.0946509979468</v>
      </c>
      <c r="Z102" s="121">
        <f t="shared" si="24"/>
        <v>62.2216367844144</v>
      </c>
      <c r="AA102" s="121">
        <f t="shared" si="24"/>
        <v>65.348622570882</v>
      </c>
      <c r="AB102" s="121">
        <f t="shared" si="24"/>
        <v>69.779332531809203</v>
      </c>
      <c r="AC102" s="121">
        <f t="shared" si="24"/>
        <v>74.210042492736406</v>
      </c>
      <c r="AD102" s="121">
        <f t="shared" si="24"/>
        <v>78.640752453663609</v>
      </c>
      <c r="AE102" s="121">
        <f t="shared" si="24"/>
        <v>83.071462414590812</v>
      </c>
      <c r="AF102" s="121">
        <f t="shared" si="24"/>
        <v>87.502172375517986</v>
      </c>
      <c r="AG102" s="121">
        <f t="shared" si="24"/>
        <v>93.495521084597186</v>
      </c>
      <c r="AH102" s="121">
        <f t="shared" si="24"/>
        <v>99.488869793676386</v>
      </c>
      <c r="AI102" s="121">
        <f t="shared" si="24"/>
        <v>105.48221850275559</v>
      </c>
      <c r="AJ102" s="121">
        <f t="shared" si="24"/>
        <v>111.47556721183479</v>
      </c>
    </row>
    <row r="103" spans="1:42">
      <c r="B103" s="117" t="s">
        <v>173</v>
      </c>
      <c r="C103" s="122"/>
      <c r="E103" s="117"/>
      <c r="F103" s="121"/>
      <c r="H103" s="35" t="s">
        <v>15</v>
      </c>
      <c r="I103" s="121">
        <f t="shared" ref="I103:X107" si="25">I113</f>
        <v>1.2274021734379998</v>
      </c>
      <c r="J103" s="121">
        <f t="shared" si="25"/>
        <v>1.2872419559159998</v>
      </c>
      <c r="K103" s="121">
        <f t="shared" si="25"/>
        <v>1.3470817383939997</v>
      </c>
      <c r="L103" s="121">
        <f t="shared" si="25"/>
        <v>1.4069215208720001</v>
      </c>
      <c r="M103" s="121">
        <f t="shared" si="25"/>
        <v>1.4762026156796</v>
      </c>
      <c r="N103" s="121">
        <f t="shared" si="25"/>
        <v>1.5454837104871999</v>
      </c>
      <c r="O103" s="121">
        <f t="shared" si="25"/>
        <v>1.6147648052947998</v>
      </c>
      <c r="P103" s="121">
        <f t="shared" si="25"/>
        <v>1.6840459001023997</v>
      </c>
      <c r="Q103" s="121">
        <f t="shared" si="25"/>
        <v>1.7533269949100001</v>
      </c>
      <c r="R103" s="121">
        <f t="shared" si="25"/>
        <v>1.8328976871844</v>
      </c>
      <c r="S103" s="121">
        <f t="shared" si="25"/>
        <v>1.9124683794588</v>
      </c>
      <c r="T103" s="121">
        <f t="shared" si="25"/>
        <v>1.9920390717331999</v>
      </c>
      <c r="U103" s="121">
        <f t="shared" si="25"/>
        <v>2.0716097640075999</v>
      </c>
      <c r="V103" s="121">
        <f t="shared" si="25"/>
        <v>2.1511804562819998</v>
      </c>
      <c r="W103" s="121">
        <f t="shared" si="25"/>
        <v>2.2421281479167998</v>
      </c>
      <c r="X103" s="121">
        <f t="shared" si="25"/>
        <v>2.3330758395515998</v>
      </c>
      <c r="Y103" s="121">
        <f t="shared" si="24"/>
        <v>2.4240235311863998</v>
      </c>
      <c r="Z103" s="121">
        <f t="shared" si="24"/>
        <v>2.5149712228211998</v>
      </c>
      <c r="AA103" s="121">
        <f t="shared" si="24"/>
        <v>2.6059189144560002</v>
      </c>
      <c r="AB103" s="121">
        <f t="shared" si="24"/>
        <v>2.7092753544872004</v>
      </c>
      <c r="AC103" s="121">
        <f t="shared" si="24"/>
        <v>2.8126317945184005</v>
      </c>
      <c r="AD103" s="121">
        <f t="shared" si="24"/>
        <v>2.9159882345496007</v>
      </c>
      <c r="AE103" s="121">
        <f t="shared" si="24"/>
        <v>3.0193446745808008</v>
      </c>
      <c r="AF103" s="121">
        <f t="shared" si="24"/>
        <v>3.1227011146120001</v>
      </c>
      <c r="AG103" s="121">
        <f t="shared" si="24"/>
        <v>3.2396168904228002</v>
      </c>
      <c r="AH103" s="121">
        <f t="shared" si="24"/>
        <v>3.3565326662336004</v>
      </c>
      <c r="AI103" s="121">
        <f t="shared" si="24"/>
        <v>3.4734484420444005</v>
      </c>
      <c r="AJ103" s="121">
        <f t="shared" si="24"/>
        <v>3.5903642178552007</v>
      </c>
    </row>
    <row r="104" spans="1:42">
      <c r="B104" s="117" t="s">
        <v>173</v>
      </c>
      <c r="C104" s="122"/>
      <c r="E104" s="117"/>
      <c r="F104" s="121"/>
      <c r="H104" s="35" t="s">
        <v>19</v>
      </c>
      <c r="I104" s="121">
        <f t="shared" si="25"/>
        <v>1.2273726189348</v>
      </c>
      <c r="J104" s="121">
        <f t="shared" si="24"/>
        <v>1.2871976241612</v>
      </c>
      <c r="K104" s="121">
        <f t="shared" si="24"/>
        <v>1.3470226293876</v>
      </c>
      <c r="L104" s="121">
        <f t="shared" si="24"/>
        <v>1.406847634614</v>
      </c>
      <c r="M104" s="121">
        <f t="shared" si="24"/>
        <v>1.4761205986099999</v>
      </c>
      <c r="N104" s="121">
        <f t="shared" si="24"/>
        <v>1.5453935626059998</v>
      </c>
      <c r="O104" s="121">
        <f t="shared" si="24"/>
        <v>1.6146665266019997</v>
      </c>
      <c r="P104" s="121">
        <f t="shared" si="24"/>
        <v>1.6839394905979996</v>
      </c>
      <c r="Q104" s="121">
        <f t="shared" si="24"/>
        <v>1.753212454594</v>
      </c>
      <c r="R104" s="121">
        <f t="shared" si="24"/>
        <v>16.179528256277997</v>
      </c>
      <c r="S104" s="121">
        <f t="shared" si="24"/>
        <v>30.605844057961995</v>
      </c>
      <c r="T104" s="121">
        <f t="shared" si="24"/>
        <v>45.032159859645994</v>
      </c>
      <c r="U104" s="121">
        <f t="shared" si="24"/>
        <v>59.458475661329992</v>
      </c>
      <c r="V104" s="121">
        <f t="shared" si="24"/>
        <v>73.884791463013997</v>
      </c>
      <c r="W104" s="121">
        <f t="shared" si="24"/>
        <v>83.243135617449994</v>
      </c>
      <c r="X104" s="121">
        <f t="shared" si="24"/>
        <v>92.601479771885991</v>
      </c>
      <c r="Y104" s="121">
        <f t="shared" si="24"/>
        <v>101.95982392632199</v>
      </c>
      <c r="Z104" s="121">
        <f t="shared" si="24"/>
        <v>111.31816808075799</v>
      </c>
      <c r="AA104" s="121">
        <f t="shared" si="24"/>
        <v>120.676512235194</v>
      </c>
      <c r="AB104" s="121">
        <f t="shared" si="24"/>
        <v>133.572178825994</v>
      </c>
      <c r="AC104" s="121">
        <f t="shared" si="24"/>
        <v>146.46784541679401</v>
      </c>
      <c r="AD104" s="121">
        <f t="shared" si="24"/>
        <v>159.36351200759401</v>
      </c>
      <c r="AE104" s="121">
        <f t="shared" si="24"/>
        <v>172.25917859839402</v>
      </c>
      <c r="AF104" s="121">
        <f t="shared" si="24"/>
        <v>185.15484518919399</v>
      </c>
      <c r="AG104" s="121">
        <f t="shared" si="24"/>
        <v>200.136609963474</v>
      </c>
      <c r="AH104" s="121">
        <f t="shared" si="24"/>
        <v>215.11837473775401</v>
      </c>
      <c r="AI104" s="121">
        <f t="shared" si="24"/>
        <v>230.10013951203402</v>
      </c>
      <c r="AJ104" s="121">
        <f t="shared" si="24"/>
        <v>245.08190428631403</v>
      </c>
    </row>
    <row r="105" spans="1:42">
      <c r="B105" s="117" t="s">
        <v>173</v>
      </c>
      <c r="C105" s="122"/>
      <c r="E105" s="117"/>
      <c r="F105" s="121"/>
      <c r="H105" s="35" t="s">
        <v>22</v>
      </c>
      <c r="I105" s="121">
        <f t="shared" si="25"/>
        <v>1.2273726189348</v>
      </c>
      <c r="J105" s="121">
        <f t="shared" si="24"/>
        <v>1.2871976241612</v>
      </c>
      <c r="K105" s="121">
        <f t="shared" si="24"/>
        <v>1.3470226293876</v>
      </c>
      <c r="L105" s="121">
        <f t="shared" si="24"/>
        <v>1.406847634614</v>
      </c>
      <c r="M105" s="121">
        <f t="shared" si="24"/>
        <v>1.4761205986099999</v>
      </c>
      <c r="N105" s="121">
        <f t="shared" si="24"/>
        <v>1.5453935626059998</v>
      </c>
      <c r="O105" s="121">
        <f t="shared" si="24"/>
        <v>1.6146665266019997</v>
      </c>
      <c r="P105" s="121">
        <f t="shared" si="24"/>
        <v>1.6839394905979996</v>
      </c>
      <c r="Q105" s="121">
        <f t="shared" si="24"/>
        <v>1.753212454594</v>
      </c>
      <c r="R105" s="121">
        <f t="shared" si="24"/>
        <v>17.616792503824399</v>
      </c>
      <c r="S105" s="121">
        <f t="shared" si="24"/>
        <v>33.480372553054799</v>
      </c>
      <c r="T105" s="121">
        <f t="shared" si="24"/>
        <v>49.343952602285199</v>
      </c>
      <c r="U105" s="121">
        <f t="shared" si="24"/>
        <v>65.207532651515592</v>
      </c>
      <c r="V105" s="121">
        <f t="shared" si="24"/>
        <v>81.071112700745999</v>
      </c>
      <c r="W105" s="121">
        <f t="shared" si="24"/>
        <v>86.933679432099993</v>
      </c>
      <c r="X105" s="121">
        <f t="shared" si="24"/>
        <v>92.796246163453986</v>
      </c>
      <c r="Y105" s="121">
        <f t="shared" si="24"/>
        <v>98.65881289480798</v>
      </c>
      <c r="Z105" s="121">
        <f t="shared" si="24"/>
        <v>104.52137962616197</v>
      </c>
      <c r="AA105" s="121">
        <f t="shared" si="24"/>
        <v>110.383946357516</v>
      </c>
      <c r="AB105" s="121">
        <f t="shared" si="24"/>
        <v>117.24192417638679</v>
      </c>
      <c r="AC105" s="121">
        <f t="shared" si="24"/>
        <v>124.09990199525758</v>
      </c>
      <c r="AD105" s="121">
        <f t="shared" si="24"/>
        <v>130.95787981412838</v>
      </c>
      <c r="AE105" s="121">
        <f t="shared" si="24"/>
        <v>137.81585763299918</v>
      </c>
      <c r="AF105" s="121">
        <f t="shared" si="24"/>
        <v>144.67383545186999</v>
      </c>
      <c r="AG105" s="121">
        <f t="shared" si="24"/>
        <v>151.8096594976648</v>
      </c>
      <c r="AH105" s="121">
        <f t="shared" si="24"/>
        <v>158.9454835434596</v>
      </c>
      <c r="AI105" s="121">
        <f t="shared" si="24"/>
        <v>166.08130758925441</v>
      </c>
      <c r="AJ105" s="121">
        <f t="shared" si="24"/>
        <v>173.21713163504921</v>
      </c>
    </row>
    <row r="106" spans="1:42">
      <c r="B106" s="117" t="s">
        <v>173</v>
      </c>
      <c r="C106" s="122"/>
      <c r="E106" s="117"/>
      <c r="F106" s="121"/>
      <c r="H106" s="35" t="s">
        <v>24</v>
      </c>
      <c r="I106" s="121">
        <f t="shared" si="25"/>
        <v>6.5387898932644006</v>
      </c>
      <c r="J106" s="121">
        <f t="shared" si="24"/>
        <v>9.2543235356556011</v>
      </c>
      <c r="K106" s="121">
        <f t="shared" si="24"/>
        <v>11.969857178046801</v>
      </c>
      <c r="L106" s="121">
        <f t="shared" si="24"/>
        <v>14.685390820438</v>
      </c>
      <c r="M106" s="121">
        <f t="shared" si="24"/>
        <v>17.400866528027198</v>
      </c>
      <c r="N106" s="121">
        <f t="shared" si="24"/>
        <v>20.116342235616397</v>
      </c>
      <c r="O106" s="121">
        <f t="shared" si="24"/>
        <v>22.831817943205596</v>
      </c>
      <c r="P106" s="121">
        <f t="shared" si="24"/>
        <v>25.547293650794796</v>
      </c>
      <c r="Q106" s="121">
        <f t="shared" si="24"/>
        <v>28.262769358383991</v>
      </c>
      <c r="R106" s="121">
        <f t="shared" si="24"/>
        <v>28.776114485022791</v>
      </c>
      <c r="S106" s="121">
        <f t="shared" si="24"/>
        <v>29.289459611661592</v>
      </c>
      <c r="T106" s="121">
        <f t="shared" si="24"/>
        <v>29.802804738300392</v>
      </c>
      <c r="U106" s="121">
        <f t="shared" si="24"/>
        <v>30.316149864939192</v>
      </c>
      <c r="V106" s="121">
        <f t="shared" si="24"/>
        <v>30.829494991577999</v>
      </c>
      <c r="W106" s="121">
        <f t="shared" si="24"/>
        <v>31.388516204125999</v>
      </c>
      <c r="X106" s="121">
        <f t="shared" si="24"/>
        <v>31.947537416673999</v>
      </c>
      <c r="Y106" s="121">
        <f t="shared" si="24"/>
        <v>32.506558629221999</v>
      </c>
      <c r="Z106" s="121">
        <f t="shared" si="24"/>
        <v>33.065579841769996</v>
      </c>
      <c r="AA106" s="121">
        <f t="shared" si="24"/>
        <v>33.624601054317992</v>
      </c>
      <c r="AB106" s="121">
        <f t="shared" si="24"/>
        <v>34.232998470232793</v>
      </c>
      <c r="AC106" s="121">
        <f t="shared" si="24"/>
        <v>34.841395886147595</v>
      </c>
      <c r="AD106" s="121">
        <f t="shared" si="24"/>
        <v>35.449793302062396</v>
      </c>
      <c r="AE106" s="121">
        <f t="shared" si="24"/>
        <v>36.058190717977197</v>
      </c>
      <c r="AF106" s="121">
        <f t="shared" si="24"/>
        <v>36.666588133891999</v>
      </c>
      <c r="AG106" s="121">
        <f t="shared" si="24"/>
        <v>37.328936985231202</v>
      </c>
      <c r="AH106" s="121">
        <f t="shared" si="24"/>
        <v>37.991285836570405</v>
      </c>
      <c r="AI106" s="121">
        <f t="shared" si="24"/>
        <v>38.653634687909609</v>
      </c>
      <c r="AJ106" s="121">
        <f t="shared" si="24"/>
        <v>39.315983539248812</v>
      </c>
    </row>
    <row r="107" spans="1:42">
      <c r="B107" s="117" t="s">
        <v>173</v>
      </c>
      <c r="C107" s="122"/>
      <c r="E107" s="117"/>
      <c r="F107" s="121"/>
      <c r="H107" s="35" t="s">
        <v>25</v>
      </c>
      <c r="I107" s="121">
        <f t="shared" si="25"/>
        <v>25.389440745104398</v>
      </c>
      <c r="J107" s="121">
        <f t="shared" si="24"/>
        <v>37.530299813415596</v>
      </c>
      <c r="K107" s="121">
        <f t="shared" si="24"/>
        <v>49.671158881726797</v>
      </c>
      <c r="L107" s="121">
        <f t="shared" si="24"/>
        <v>61.812017950037998</v>
      </c>
      <c r="M107" s="121">
        <f t="shared" si="24"/>
        <v>67.143963640499592</v>
      </c>
      <c r="N107" s="121">
        <f t="shared" si="24"/>
        <v>72.475909330961187</v>
      </c>
      <c r="O107" s="121">
        <f t="shared" si="24"/>
        <v>77.807855021422782</v>
      </c>
      <c r="P107" s="121">
        <f t="shared" si="24"/>
        <v>83.139800711884376</v>
      </c>
      <c r="Q107" s="121">
        <f t="shared" si="24"/>
        <v>88.471746402346</v>
      </c>
      <c r="R107" s="121">
        <f t="shared" si="24"/>
        <v>98.112007994063603</v>
      </c>
      <c r="S107" s="121">
        <f t="shared" si="24"/>
        <v>107.75226958578121</v>
      </c>
      <c r="T107" s="121">
        <f t="shared" si="24"/>
        <v>117.39253117749881</v>
      </c>
      <c r="U107" s="121">
        <f t="shared" si="24"/>
        <v>127.03279276921641</v>
      </c>
      <c r="V107" s="121">
        <f t="shared" si="24"/>
        <v>136.673054360934</v>
      </c>
      <c r="W107" s="121">
        <f t="shared" si="24"/>
        <v>152.3950284390416</v>
      </c>
      <c r="X107" s="121">
        <f t="shared" si="24"/>
        <v>168.11700251714919</v>
      </c>
      <c r="Y107" s="121">
        <f t="shared" si="24"/>
        <v>183.83897659525678</v>
      </c>
      <c r="Z107" s="121">
        <f t="shared" si="24"/>
        <v>199.56095067336437</v>
      </c>
      <c r="AA107" s="121">
        <f t="shared" si="24"/>
        <v>215.282924751472</v>
      </c>
      <c r="AB107" s="121">
        <f t="shared" si="24"/>
        <v>238.91711118915001</v>
      </c>
      <c r="AC107" s="121">
        <f t="shared" si="24"/>
        <v>262.55129762682799</v>
      </c>
      <c r="AD107" s="121">
        <f t="shared" si="24"/>
        <v>286.185484064506</v>
      </c>
      <c r="AE107" s="121">
        <f t="shared" si="24"/>
        <v>309.81967050218401</v>
      </c>
      <c r="AF107" s="121">
        <f t="shared" si="24"/>
        <v>333.45385693986202</v>
      </c>
      <c r="AG107" s="121">
        <f t="shared" si="24"/>
        <v>366.77473710987164</v>
      </c>
      <c r="AH107" s="121">
        <f t="shared" si="24"/>
        <v>400.09561727988125</v>
      </c>
      <c r="AI107" s="121">
        <f t="shared" si="24"/>
        <v>433.41649744989087</v>
      </c>
      <c r="AJ107" s="121">
        <f t="shared" si="24"/>
        <v>466.73737761990049</v>
      </c>
    </row>
    <row r="108" spans="1:42">
      <c r="B108" s="117" t="s">
        <v>173</v>
      </c>
      <c r="C108" s="122"/>
      <c r="E108" s="117"/>
      <c r="F108" s="121"/>
      <c r="H108" s="117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</row>
    <row r="109" spans="1:42">
      <c r="B109" s="117" t="s">
        <v>173</v>
      </c>
      <c r="C109" s="122"/>
      <c r="E109" s="117"/>
      <c r="F109" s="121"/>
      <c r="H109" s="117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</row>
    <row r="110" spans="1:42" customFormat="1">
      <c r="A110" s="115"/>
      <c r="B110" s="117" t="s">
        <v>173</v>
      </c>
      <c r="C110" s="122"/>
      <c r="D110" s="115"/>
      <c r="E110" s="117"/>
      <c r="F110" s="121"/>
      <c r="G110" s="115"/>
      <c r="H110" s="117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</row>
    <row r="111" spans="1:42">
      <c r="H111" s="171" t="s">
        <v>273</v>
      </c>
      <c r="I111" s="129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</row>
    <row r="112" spans="1:42">
      <c r="B112" s="113" t="s">
        <v>274</v>
      </c>
      <c r="E112" s="113" t="s">
        <v>70</v>
      </c>
      <c r="H112" s="130" t="s">
        <v>12</v>
      </c>
      <c r="I112" s="149">
        <v>13.458131390376399</v>
      </c>
      <c r="J112" s="149">
        <v>19.633335781323598</v>
      </c>
      <c r="K112" s="149">
        <v>25.808540172270799</v>
      </c>
      <c r="L112" s="149">
        <v>31.983744563218</v>
      </c>
      <c r="M112" s="149">
        <v>33.368109551101597</v>
      </c>
      <c r="N112" s="149">
        <v>34.752474538985197</v>
      </c>
      <c r="O112" s="149">
        <v>36.136839526868798</v>
      </c>
      <c r="P112" s="149">
        <v>37.521204514752398</v>
      </c>
      <c r="Q112" s="149">
        <v>38.905569502635991</v>
      </c>
      <c r="R112" s="149">
        <v>41.067194329817596</v>
      </c>
      <c r="S112" s="149">
        <v>43.228819156999201</v>
      </c>
      <c r="T112" s="149">
        <v>45.390443984180806</v>
      </c>
      <c r="U112" s="149">
        <v>47.55206881136241</v>
      </c>
      <c r="V112" s="149">
        <v>49.713693638544001</v>
      </c>
      <c r="W112" s="149">
        <v>52.840679425011601</v>
      </c>
      <c r="X112" s="149">
        <v>55.967665211479201</v>
      </c>
      <c r="Y112" s="149">
        <v>59.0946509979468</v>
      </c>
      <c r="Z112" s="149">
        <v>62.2216367844144</v>
      </c>
      <c r="AA112" s="149">
        <v>65.348622570882</v>
      </c>
      <c r="AB112" s="149">
        <v>69.779332531809203</v>
      </c>
      <c r="AC112" s="149">
        <v>74.210042492736406</v>
      </c>
      <c r="AD112" s="149">
        <v>78.640752453663609</v>
      </c>
      <c r="AE112" s="149">
        <v>83.071462414590812</v>
      </c>
      <c r="AF112" s="149">
        <v>87.502172375517986</v>
      </c>
      <c r="AG112" s="149">
        <v>93.495521084597186</v>
      </c>
      <c r="AH112" s="149">
        <v>99.488869793676386</v>
      </c>
      <c r="AI112" s="149">
        <v>105.48221850275559</v>
      </c>
      <c r="AJ112" s="149">
        <v>111.47556721183479</v>
      </c>
      <c r="AK112" s="115">
        <v>117.468915920914</v>
      </c>
      <c r="AL112" s="115">
        <v>119.98010959525161</v>
      </c>
      <c r="AM112" s="115">
        <v>122.49130326958921</v>
      </c>
      <c r="AN112" s="115">
        <v>125.00249694392681</v>
      </c>
      <c r="AO112" s="115">
        <v>127.51369061826442</v>
      </c>
      <c r="AP112" s="115">
        <v>130.024884292602</v>
      </c>
    </row>
    <row r="113" spans="2:42">
      <c r="B113" s="117" t="s">
        <v>173</v>
      </c>
      <c r="C113" s="122"/>
      <c r="E113" s="117"/>
      <c r="F113" s="121"/>
      <c r="H113" s="130" t="s">
        <v>15</v>
      </c>
      <c r="I113" s="149">
        <v>1.2274021734379998</v>
      </c>
      <c r="J113" s="149">
        <v>1.2872419559159998</v>
      </c>
      <c r="K113" s="149">
        <v>1.3470817383939997</v>
      </c>
      <c r="L113" s="149">
        <v>1.4069215208720001</v>
      </c>
      <c r="M113" s="149">
        <v>1.4762026156796</v>
      </c>
      <c r="N113" s="149">
        <v>1.5454837104871999</v>
      </c>
      <c r="O113" s="149">
        <v>1.6147648052947998</v>
      </c>
      <c r="P113" s="149">
        <v>1.6840459001023997</v>
      </c>
      <c r="Q113" s="149">
        <v>1.7533269949100001</v>
      </c>
      <c r="R113" s="149">
        <v>1.8328976871844</v>
      </c>
      <c r="S113" s="149">
        <v>1.9124683794588</v>
      </c>
      <c r="T113" s="149">
        <v>1.9920390717331999</v>
      </c>
      <c r="U113" s="149">
        <v>2.0716097640075999</v>
      </c>
      <c r="V113" s="149">
        <v>2.1511804562819998</v>
      </c>
      <c r="W113" s="149">
        <v>2.2421281479167998</v>
      </c>
      <c r="X113" s="149">
        <v>2.3330758395515998</v>
      </c>
      <c r="Y113" s="149">
        <v>2.4240235311863998</v>
      </c>
      <c r="Z113" s="149">
        <v>2.5149712228211998</v>
      </c>
      <c r="AA113" s="149">
        <v>2.6059189144560002</v>
      </c>
      <c r="AB113" s="149">
        <v>2.7092753544872004</v>
      </c>
      <c r="AC113" s="149">
        <v>2.8126317945184005</v>
      </c>
      <c r="AD113" s="149">
        <v>2.9159882345496007</v>
      </c>
      <c r="AE113" s="149">
        <v>3.0193446745808008</v>
      </c>
      <c r="AF113" s="149">
        <v>3.1227011146120001</v>
      </c>
      <c r="AG113" s="149">
        <v>3.2396168904228002</v>
      </c>
      <c r="AH113" s="149">
        <v>3.3565326662336004</v>
      </c>
      <c r="AI113" s="149">
        <v>3.4734484420444005</v>
      </c>
      <c r="AJ113" s="149">
        <v>3.5903642178552007</v>
      </c>
      <c r="AK113" s="115">
        <v>3.7072799936659999</v>
      </c>
      <c r="AL113" s="115">
        <v>3.8390105513079997</v>
      </c>
      <c r="AM113" s="115">
        <v>3.9707411089499995</v>
      </c>
      <c r="AN113" s="115">
        <v>4.1024716665919998</v>
      </c>
      <c r="AO113" s="115">
        <v>4.2342022242340001</v>
      </c>
      <c r="AP113" s="115">
        <v>4.3659327818759994</v>
      </c>
    </row>
    <row r="114" spans="2:42">
      <c r="B114" s="117" t="s">
        <v>173</v>
      </c>
      <c r="C114" s="122"/>
      <c r="E114" s="117"/>
      <c r="F114" s="121"/>
      <c r="H114" s="130" t="s">
        <v>19</v>
      </c>
      <c r="I114" s="149">
        <v>1.2273726189348</v>
      </c>
      <c r="J114" s="149">
        <v>1.2871976241612</v>
      </c>
      <c r="K114" s="149">
        <v>1.3470226293876</v>
      </c>
      <c r="L114" s="149">
        <v>1.406847634614</v>
      </c>
      <c r="M114" s="149">
        <v>1.4761205986099999</v>
      </c>
      <c r="N114" s="149">
        <v>1.5453935626059998</v>
      </c>
      <c r="O114" s="149">
        <v>1.6146665266019997</v>
      </c>
      <c r="P114" s="149">
        <v>1.6839394905979996</v>
      </c>
      <c r="Q114" s="149">
        <v>1.753212454594</v>
      </c>
      <c r="R114" s="149">
        <v>16.179528256277997</v>
      </c>
      <c r="S114" s="149">
        <v>30.605844057961995</v>
      </c>
      <c r="T114" s="149">
        <v>45.032159859645994</v>
      </c>
      <c r="U114" s="149">
        <v>59.458475661329992</v>
      </c>
      <c r="V114" s="149">
        <v>73.884791463013997</v>
      </c>
      <c r="W114" s="149">
        <v>83.243135617449994</v>
      </c>
      <c r="X114" s="149">
        <v>92.601479771885991</v>
      </c>
      <c r="Y114" s="149">
        <v>101.95982392632199</v>
      </c>
      <c r="Z114" s="149">
        <v>111.31816808075799</v>
      </c>
      <c r="AA114" s="149">
        <v>120.676512235194</v>
      </c>
      <c r="AB114" s="149">
        <v>133.572178825994</v>
      </c>
      <c r="AC114" s="149">
        <v>146.46784541679401</v>
      </c>
      <c r="AD114" s="149">
        <v>159.36351200759401</v>
      </c>
      <c r="AE114" s="149">
        <v>172.25917859839402</v>
      </c>
      <c r="AF114" s="149">
        <v>185.15484518919399</v>
      </c>
      <c r="AG114" s="149">
        <v>200.136609963474</v>
      </c>
      <c r="AH114" s="149">
        <v>215.11837473775401</v>
      </c>
      <c r="AI114" s="149">
        <v>230.10013951203402</v>
      </c>
      <c r="AJ114" s="149">
        <v>245.08190428631403</v>
      </c>
      <c r="AK114" s="115">
        <v>260.06366906059401</v>
      </c>
      <c r="AL114" s="115">
        <v>270.47673826300161</v>
      </c>
      <c r="AM114" s="115">
        <v>280.88980746540921</v>
      </c>
      <c r="AN114" s="115">
        <v>291.3028766678168</v>
      </c>
      <c r="AO114" s="115">
        <v>301.7159458702244</v>
      </c>
      <c r="AP114" s="115">
        <v>312.12901507263189</v>
      </c>
    </row>
    <row r="115" spans="2:42">
      <c r="B115" s="117" t="s">
        <v>173</v>
      </c>
      <c r="C115" s="122"/>
      <c r="E115" s="117"/>
      <c r="F115" s="121"/>
      <c r="H115" s="130" t="s">
        <v>22</v>
      </c>
      <c r="I115" s="149">
        <v>1.2273726189348</v>
      </c>
      <c r="J115" s="149">
        <v>1.2871976241612</v>
      </c>
      <c r="K115" s="149">
        <v>1.3470226293876</v>
      </c>
      <c r="L115" s="149">
        <v>1.406847634614</v>
      </c>
      <c r="M115" s="149">
        <v>1.4761205986099999</v>
      </c>
      <c r="N115" s="149">
        <v>1.5453935626059998</v>
      </c>
      <c r="O115" s="149">
        <v>1.6146665266019997</v>
      </c>
      <c r="P115" s="149">
        <v>1.6839394905979996</v>
      </c>
      <c r="Q115" s="149">
        <v>1.753212454594</v>
      </c>
      <c r="R115" s="149">
        <v>17.616792503824399</v>
      </c>
      <c r="S115" s="149">
        <v>33.480372553054799</v>
      </c>
      <c r="T115" s="149">
        <v>49.343952602285199</v>
      </c>
      <c r="U115" s="149">
        <v>65.207532651515592</v>
      </c>
      <c r="V115" s="149">
        <v>81.071112700745999</v>
      </c>
      <c r="W115" s="149">
        <v>86.933679432099993</v>
      </c>
      <c r="X115" s="149">
        <v>92.796246163453986</v>
      </c>
      <c r="Y115" s="149">
        <v>98.65881289480798</v>
      </c>
      <c r="Z115" s="149">
        <v>104.52137962616197</v>
      </c>
      <c r="AA115" s="149">
        <v>110.383946357516</v>
      </c>
      <c r="AB115" s="149">
        <v>117.24192417638679</v>
      </c>
      <c r="AC115" s="149">
        <v>124.09990199525758</v>
      </c>
      <c r="AD115" s="149">
        <v>130.95787981412838</v>
      </c>
      <c r="AE115" s="149">
        <v>137.81585763299918</v>
      </c>
      <c r="AF115" s="149">
        <v>144.67383545186999</v>
      </c>
      <c r="AG115" s="149">
        <v>151.8096594976648</v>
      </c>
      <c r="AH115" s="149">
        <v>158.9454835434596</v>
      </c>
      <c r="AI115" s="149">
        <v>166.08130758925441</v>
      </c>
      <c r="AJ115" s="149">
        <v>173.21713163504921</v>
      </c>
      <c r="AK115" s="115">
        <v>180.35295568084399</v>
      </c>
      <c r="AL115" s="115">
        <v>187.9392293700096</v>
      </c>
      <c r="AM115" s="115">
        <v>195.52550305917521</v>
      </c>
      <c r="AN115" s="115">
        <v>203.11177674834082</v>
      </c>
      <c r="AO115" s="115">
        <v>210.69805043750642</v>
      </c>
      <c r="AP115" s="115">
        <v>218.284324126672</v>
      </c>
    </row>
    <row r="116" spans="2:42">
      <c r="B116" s="117" t="s">
        <v>173</v>
      </c>
      <c r="C116" s="122"/>
      <c r="E116" s="117"/>
      <c r="F116" s="121"/>
      <c r="H116" s="130" t="s">
        <v>24</v>
      </c>
      <c r="I116" s="149">
        <v>6.5387898932644006</v>
      </c>
      <c r="J116" s="149">
        <v>9.2543235356556011</v>
      </c>
      <c r="K116" s="149">
        <v>11.969857178046801</v>
      </c>
      <c r="L116" s="149">
        <v>14.685390820438</v>
      </c>
      <c r="M116" s="149">
        <v>17.400866528027198</v>
      </c>
      <c r="N116" s="149">
        <v>20.116342235616397</v>
      </c>
      <c r="O116" s="149">
        <v>22.831817943205596</v>
      </c>
      <c r="P116" s="149">
        <v>25.547293650794796</v>
      </c>
      <c r="Q116" s="149">
        <v>28.262769358383991</v>
      </c>
      <c r="R116" s="149">
        <v>28.776114485022791</v>
      </c>
      <c r="S116" s="149">
        <v>29.289459611661592</v>
      </c>
      <c r="T116" s="149">
        <v>29.802804738300392</v>
      </c>
      <c r="U116" s="149">
        <v>30.316149864939192</v>
      </c>
      <c r="V116" s="149">
        <v>30.829494991577999</v>
      </c>
      <c r="W116" s="149">
        <v>31.388516204125999</v>
      </c>
      <c r="X116" s="149">
        <v>31.947537416673999</v>
      </c>
      <c r="Y116" s="149">
        <v>32.506558629221999</v>
      </c>
      <c r="Z116" s="149">
        <v>33.065579841769996</v>
      </c>
      <c r="AA116" s="149">
        <v>33.624601054317992</v>
      </c>
      <c r="AB116" s="149">
        <v>34.232998470232793</v>
      </c>
      <c r="AC116" s="149">
        <v>34.841395886147595</v>
      </c>
      <c r="AD116" s="149">
        <v>35.449793302062396</v>
      </c>
      <c r="AE116" s="149">
        <v>36.058190717977197</v>
      </c>
      <c r="AF116" s="149">
        <v>36.666588133891999</v>
      </c>
      <c r="AG116" s="149">
        <v>37.328936985231202</v>
      </c>
      <c r="AH116" s="149">
        <v>37.991285836570405</v>
      </c>
      <c r="AI116" s="149">
        <v>38.653634687909609</v>
      </c>
      <c r="AJ116" s="149">
        <v>39.315983539248812</v>
      </c>
      <c r="AK116" s="115">
        <v>39.978332390588022</v>
      </c>
      <c r="AL116" s="115">
        <v>40.699253858464417</v>
      </c>
      <c r="AM116" s="115">
        <v>41.420175326340811</v>
      </c>
      <c r="AN116" s="115">
        <v>42.141096794217205</v>
      </c>
      <c r="AO116" s="115">
        <v>42.862018262093599</v>
      </c>
      <c r="AP116" s="115">
        <v>43.582939729970008</v>
      </c>
    </row>
    <row r="117" spans="2:42">
      <c r="B117" s="117" t="s">
        <v>173</v>
      </c>
      <c r="C117" s="122"/>
      <c r="E117" s="117"/>
      <c r="F117" s="121"/>
      <c r="H117" s="130" t="s">
        <v>25</v>
      </c>
      <c r="I117" s="149">
        <v>25.389440745104398</v>
      </c>
      <c r="J117" s="149">
        <v>37.530299813415596</v>
      </c>
      <c r="K117" s="149">
        <v>49.671158881726797</v>
      </c>
      <c r="L117" s="149">
        <v>61.812017950037998</v>
      </c>
      <c r="M117" s="149">
        <v>67.143963640499592</v>
      </c>
      <c r="N117" s="149">
        <v>72.475909330961187</v>
      </c>
      <c r="O117" s="149">
        <v>77.807855021422782</v>
      </c>
      <c r="P117" s="149">
        <v>83.139800711884376</v>
      </c>
      <c r="Q117" s="149">
        <v>88.471746402346</v>
      </c>
      <c r="R117" s="149">
        <v>98.112007994063603</v>
      </c>
      <c r="S117" s="149">
        <v>107.75226958578121</v>
      </c>
      <c r="T117" s="149">
        <v>117.39253117749881</v>
      </c>
      <c r="U117" s="149">
        <v>127.03279276921641</v>
      </c>
      <c r="V117" s="149">
        <v>136.673054360934</v>
      </c>
      <c r="W117" s="149">
        <v>152.3950284390416</v>
      </c>
      <c r="X117" s="149">
        <v>168.11700251714919</v>
      </c>
      <c r="Y117" s="149">
        <v>183.83897659525678</v>
      </c>
      <c r="Z117" s="149">
        <v>199.56095067336437</v>
      </c>
      <c r="AA117" s="149">
        <v>215.282924751472</v>
      </c>
      <c r="AB117" s="149">
        <v>238.91711118915001</v>
      </c>
      <c r="AC117" s="149">
        <v>262.55129762682799</v>
      </c>
      <c r="AD117" s="149">
        <v>286.185484064506</v>
      </c>
      <c r="AE117" s="149">
        <v>309.81967050218401</v>
      </c>
      <c r="AF117" s="149">
        <v>333.45385693986202</v>
      </c>
      <c r="AG117" s="149">
        <v>366.77473710987164</v>
      </c>
      <c r="AH117" s="149">
        <v>400.09561727988125</v>
      </c>
      <c r="AI117" s="149">
        <v>433.41649744989087</v>
      </c>
      <c r="AJ117" s="149">
        <v>466.73737761990049</v>
      </c>
      <c r="AK117" s="115">
        <v>500.05825778990999</v>
      </c>
      <c r="AL117" s="115">
        <v>507.33038259626483</v>
      </c>
      <c r="AM117" s="115">
        <v>514.60250740261961</v>
      </c>
      <c r="AN117" s="115">
        <v>521.87463220897439</v>
      </c>
      <c r="AO117" s="115">
        <v>529.14675701532917</v>
      </c>
      <c r="AP117" s="115">
        <v>536.41888182168407</v>
      </c>
    </row>
    <row r="118" spans="2:42">
      <c r="B118" s="117" t="s">
        <v>173</v>
      </c>
      <c r="C118" s="122"/>
      <c r="E118" s="117"/>
      <c r="F118" s="121"/>
      <c r="H118" s="117" t="s">
        <v>173</v>
      </c>
      <c r="I118" s="129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</row>
    <row r="119" spans="2:42">
      <c r="B119" s="117" t="s">
        <v>173</v>
      </c>
      <c r="C119" s="122"/>
      <c r="E119" s="117"/>
      <c r="F119" s="121"/>
      <c r="H119" s="117" t="s">
        <v>173</v>
      </c>
      <c r="I119" s="129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</row>
    <row r="120" spans="2:42">
      <c r="B120" s="117" t="s">
        <v>173</v>
      </c>
      <c r="C120" s="122"/>
      <c r="E120" s="117"/>
      <c r="F120" s="121"/>
      <c r="H120" s="117" t="s">
        <v>173</v>
      </c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</row>
    <row r="121" spans="2:42">
      <c r="B121" s="117" t="s">
        <v>173</v>
      </c>
      <c r="C121" s="122"/>
      <c r="E121" s="117"/>
      <c r="F121" s="121"/>
      <c r="H121" s="117" t="s">
        <v>173</v>
      </c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</row>
    <row r="122" spans="2:42">
      <c r="B122" s="117" t="s">
        <v>173</v>
      </c>
      <c r="C122" s="122"/>
      <c r="E122" s="117"/>
      <c r="F122" s="121"/>
      <c r="H122" s="117" t="s">
        <v>173</v>
      </c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</row>
    <row r="123" spans="2:42">
      <c r="H123" s="117" t="s">
        <v>173</v>
      </c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</row>
    <row r="124" spans="2:42">
      <c r="B124" s="113" t="s">
        <v>275</v>
      </c>
      <c r="E124" s="113" t="s">
        <v>71</v>
      </c>
      <c r="H124" s="117" t="s">
        <v>173</v>
      </c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</row>
    <row r="125" spans="2:42">
      <c r="B125" s="117" t="s">
        <v>8</v>
      </c>
      <c r="C125" s="124">
        <f>'1.Input data Coal India'!E11</f>
        <v>580155.69999999995</v>
      </c>
      <c r="E125" s="117"/>
      <c r="F125" s="121"/>
      <c r="H125" s="117" t="s">
        <v>173</v>
      </c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</row>
    <row r="126" spans="2:42">
      <c r="B126" s="117" t="s">
        <v>173</v>
      </c>
      <c r="C126" s="122"/>
      <c r="E126" s="117"/>
      <c r="F126" s="121"/>
      <c r="H126" s="117" t="s">
        <v>173</v>
      </c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</row>
    <row r="127" spans="2:42">
      <c r="B127" s="117" t="s">
        <v>173</v>
      </c>
      <c r="C127" s="122"/>
      <c r="E127" s="117"/>
      <c r="F127" s="121"/>
      <c r="H127" s="117" t="s">
        <v>173</v>
      </c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</row>
    <row r="128" spans="2:42">
      <c r="B128" s="117" t="s">
        <v>173</v>
      </c>
      <c r="C128" s="122"/>
      <c r="E128" s="117"/>
      <c r="F128" s="121"/>
      <c r="H128" s="117" t="s">
        <v>173</v>
      </c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</row>
    <row r="129" spans="2:36">
      <c r="B129" s="117" t="s">
        <v>173</v>
      </c>
      <c r="C129" s="122"/>
      <c r="E129" s="117"/>
      <c r="F129" s="121"/>
      <c r="H129" s="117" t="s">
        <v>173</v>
      </c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</row>
    <row r="130" spans="2:36">
      <c r="B130" s="117" t="s">
        <v>173</v>
      </c>
      <c r="C130" s="122"/>
      <c r="E130" s="117"/>
      <c r="F130" s="121"/>
      <c r="H130" s="117" t="s">
        <v>173</v>
      </c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</row>
    <row r="131" spans="2:36">
      <c r="B131" s="117" t="s">
        <v>173</v>
      </c>
      <c r="C131" s="122"/>
      <c r="E131" s="117"/>
      <c r="F131" s="121"/>
      <c r="H131" s="117" t="s">
        <v>173</v>
      </c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</row>
    <row r="132" spans="2:36">
      <c r="B132" s="117" t="s">
        <v>173</v>
      </c>
      <c r="C132" s="122"/>
      <c r="E132" s="117"/>
      <c r="F132" s="121"/>
      <c r="H132" s="117" t="s">
        <v>173</v>
      </c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</row>
    <row r="133" spans="2:36">
      <c r="B133" s="117" t="s">
        <v>173</v>
      </c>
      <c r="C133" s="122"/>
      <c r="E133" s="117"/>
      <c r="F133" s="121"/>
      <c r="H133" s="117" t="s">
        <v>173</v>
      </c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</row>
    <row r="134" spans="2:36">
      <c r="B134" s="117" t="s">
        <v>173</v>
      </c>
      <c r="C134" s="122"/>
      <c r="E134" s="117"/>
      <c r="F134" s="121"/>
      <c r="H134" s="117" t="s">
        <v>173</v>
      </c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</row>
    <row r="136" spans="2:36">
      <c r="B136" s="113" t="s">
        <v>147</v>
      </c>
      <c r="E136" s="113" t="s">
        <v>55</v>
      </c>
      <c r="H136" s="113" t="s">
        <v>73</v>
      </c>
      <c r="I136" s="115">
        <v>2023</v>
      </c>
      <c r="J136" s="115">
        <v>2024</v>
      </c>
      <c r="K136" s="115">
        <v>2025</v>
      </c>
      <c r="L136" s="115">
        <v>2026</v>
      </c>
      <c r="M136" s="115">
        <v>2027</v>
      </c>
      <c r="N136" s="115">
        <v>2028</v>
      </c>
      <c r="O136" s="115">
        <v>2029</v>
      </c>
      <c r="P136" s="115">
        <v>2030</v>
      </c>
      <c r="Q136" s="115">
        <v>2031</v>
      </c>
      <c r="R136" s="115">
        <v>2032</v>
      </c>
      <c r="S136" s="115">
        <v>2033</v>
      </c>
      <c r="T136" s="115">
        <v>2034</v>
      </c>
      <c r="U136" s="115">
        <v>2035</v>
      </c>
      <c r="V136" s="115">
        <v>2036</v>
      </c>
      <c r="W136" s="115">
        <v>2037</v>
      </c>
      <c r="X136" s="115">
        <v>2038</v>
      </c>
      <c r="Y136" s="115">
        <v>2039</v>
      </c>
      <c r="Z136" s="115">
        <v>2040</v>
      </c>
      <c r="AA136" s="115">
        <v>2041</v>
      </c>
      <c r="AB136" s="115">
        <v>2042</v>
      </c>
      <c r="AC136" s="115">
        <v>2043</v>
      </c>
      <c r="AD136" s="115">
        <v>2044</v>
      </c>
      <c r="AE136" s="115">
        <v>2045</v>
      </c>
      <c r="AF136" s="115">
        <v>2046</v>
      </c>
      <c r="AG136" s="115">
        <v>2047</v>
      </c>
      <c r="AH136" s="115">
        <v>2048</v>
      </c>
      <c r="AI136" s="115">
        <v>2049</v>
      </c>
      <c r="AJ136" s="115">
        <v>2050</v>
      </c>
    </row>
    <row r="137" spans="2:36">
      <c r="B137" s="117" t="s">
        <v>8</v>
      </c>
      <c r="C137" s="124">
        <f>'1.Input data Coal India'!E12</f>
        <v>2112066.5</v>
      </c>
      <c r="E137" s="117" t="s">
        <v>8</v>
      </c>
      <c r="F137" s="131">
        <f>'1.Input data Coal India'!C18</f>
        <v>0.20343256017222472</v>
      </c>
      <c r="H137" s="117" t="s">
        <v>8</v>
      </c>
      <c r="I137" s="121">
        <f>I139</f>
        <v>10.684819934898</v>
      </c>
      <c r="J137" s="121">
        <f t="shared" ref="J137:AJ137" si="26">J139</f>
        <v>10.522418050588</v>
      </c>
      <c r="K137" s="121">
        <f t="shared" si="26"/>
        <v>10.360016166277999</v>
      </c>
      <c r="L137" s="121">
        <f t="shared" si="26"/>
        <v>10.197614281968001</v>
      </c>
      <c r="M137" s="121">
        <f t="shared" si="26"/>
        <v>10.048064596531201</v>
      </c>
      <c r="N137" s="121">
        <f t="shared" si="26"/>
        <v>9.8985149110944022</v>
      </c>
      <c r="O137" s="121">
        <f t="shared" si="26"/>
        <v>9.7489652256576029</v>
      </c>
      <c r="P137" s="121">
        <f t="shared" si="26"/>
        <v>9.5994155402208037</v>
      </c>
      <c r="Q137" s="121">
        <f t="shared" si="26"/>
        <v>9.4498658547840009</v>
      </c>
      <c r="R137" s="121">
        <f t="shared" si="26"/>
        <v>9.3289080907968014</v>
      </c>
      <c r="S137" s="121">
        <f t="shared" si="26"/>
        <v>9.2079503268096019</v>
      </c>
      <c r="T137" s="121">
        <f t="shared" si="26"/>
        <v>9.0869925628224024</v>
      </c>
      <c r="U137" s="121">
        <f t="shared" si="26"/>
        <v>8.9660347988352029</v>
      </c>
      <c r="V137" s="121">
        <f t="shared" si="26"/>
        <v>8.8450770348480017</v>
      </c>
      <c r="W137" s="121">
        <f t="shared" si="26"/>
        <v>8.7615659120004015</v>
      </c>
      <c r="X137" s="121">
        <f t="shared" si="26"/>
        <v>8.6780547891528013</v>
      </c>
      <c r="Y137" s="121">
        <f t="shared" si="26"/>
        <v>8.5945436663052011</v>
      </c>
      <c r="Z137" s="121">
        <f t="shared" si="26"/>
        <v>8.5110325434576009</v>
      </c>
      <c r="AA137" s="121">
        <f t="shared" si="26"/>
        <v>8.4275214206099971</v>
      </c>
      <c r="AB137" s="121">
        <f t="shared" si="26"/>
        <v>8.3774795319675981</v>
      </c>
      <c r="AC137" s="121">
        <f t="shared" si="26"/>
        <v>8.3274376433251991</v>
      </c>
      <c r="AD137" s="121">
        <f t="shared" si="26"/>
        <v>8.2773957546828001</v>
      </c>
      <c r="AE137" s="121">
        <f t="shared" si="26"/>
        <v>8.2273538660404011</v>
      </c>
      <c r="AF137" s="121">
        <f t="shared" si="26"/>
        <v>8.1773119773979985</v>
      </c>
      <c r="AG137" s="121">
        <f t="shared" si="26"/>
        <v>8.156843246297198</v>
      </c>
      <c r="AH137" s="121">
        <f t="shared" si="26"/>
        <v>8.1363745151963975</v>
      </c>
      <c r="AI137" s="121">
        <f t="shared" si="26"/>
        <v>8.115905784095597</v>
      </c>
      <c r="AJ137" s="121">
        <f t="shared" si="26"/>
        <v>8.0954370529947965</v>
      </c>
    </row>
    <row r="138" spans="2:36">
      <c r="B138" s="117" t="s">
        <v>173</v>
      </c>
      <c r="C138" s="122"/>
      <c r="E138" s="35" t="s">
        <v>12</v>
      </c>
      <c r="F138" s="131">
        <f>F$137</f>
        <v>0.20343256017222472</v>
      </c>
      <c r="H138" s="35" t="s">
        <v>12</v>
      </c>
      <c r="I138" s="121">
        <f>I148</f>
        <v>25.0414200753724</v>
      </c>
      <c r="J138" s="121">
        <f t="shared" ref="J138:AJ143" si="27">J148</f>
        <v>32.057318261299599</v>
      </c>
      <c r="K138" s="121">
        <f t="shared" si="27"/>
        <v>39.073216447226798</v>
      </c>
      <c r="L138" s="121">
        <f t="shared" si="27"/>
        <v>46.089114633153997</v>
      </c>
      <c r="M138" s="121">
        <f t="shared" si="27"/>
        <v>48.072200152634402</v>
      </c>
      <c r="N138" s="121">
        <f t="shared" si="27"/>
        <v>50.055285672114806</v>
      </c>
      <c r="O138" s="121">
        <f t="shared" si="27"/>
        <v>52.038371191595211</v>
      </c>
      <c r="P138" s="121">
        <f t="shared" si="27"/>
        <v>54.021456711075615</v>
      </c>
      <c r="Q138" s="121">
        <f t="shared" si="27"/>
        <v>56.004542230556012</v>
      </c>
      <c r="R138" s="121">
        <f t="shared" si="27"/>
        <v>58.561105124668011</v>
      </c>
      <c r="S138" s="121">
        <f t="shared" si="27"/>
        <v>61.117668018780009</v>
      </c>
      <c r="T138" s="121">
        <f t="shared" si="27"/>
        <v>63.674230912892007</v>
      </c>
      <c r="U138" s="121">
        <f t="shared" si="27"/>
        <v>66.230793807004005</v>
      </c>
      <c r="V138" s="121">
        <f t="shared" si="27"/>
        <v>68.787356701116011</v>
      </c>
      <c r="W138" s="121">
        <f t="shared" si="27"/>
        <v>71.680261317830414</v>
      </c>
      <c r="X138" s="121">
        <f t="shared" si="27"/>
        <v>74.573165934544818</v>
      </c>
      <c r="Y138" s="121">
        <f t="shared" si="27"/>
        <v>77.466070551259222</v>
      </c>
      <c r="Z138" s="121">
        <f t="shared" si="27"/>
        <v>80.358975167973625</v>
      </c>
      <c r="AA138" s="121">
        <f t="shared" si="27"/>
        <v>83.251879784688001</v>
      </c>
      <c r="AB138" s="121">
        <f t="shared" si="27"/>
        <v>86.7434979985468</v>
      </c>
      <c r="AC138" s="121">
        <f t="shared" si="27"/>
        <v>90.2351162124056</v>
      </c>
      <c r="AD138" s="121">
        <f t="shared" si="27"/>
        <v>93.7267344262644</v>
      </c>
      <c r="AE138" s="121">
        <f t="shared" si="27"/>
        <v>97.2183526401232</v>
      </c>
      <c r="AF138" s="121">
        <f t="shared" si="27"/>
        <v>100.709970853982</v>
      </c>
      <c r="AG138" s="121">
        <f t="shared" si="27"/>
        <v>104.9548035272808</v>
      </c>
      <c r="AH138" s="121">
        <f t="shared" si="27"/>
        <v>109.1996362005796</v>
      </c>
      <c r="AI138" s="121">
        <f t="shared" si="27"/>
        <v>113.44446887387841</v>
      </c>
      <c r="AJ138" s="121">
        <f t="shared" si="27"/>
        <v>117.68930154717721</v>
      </c>
    </row>
    <row r="139" spans="2:36">
      <c r="B139" s="117" t="s">
        <v>173</v>
      </c>
      <c r="C139" s="122"/>
      <c r="E139" s="35" t="s">
        <v>15</v>
      </c>
      <c r="F139" s="131">
        <f t="shared" ref="F139:F146" si="28">F$137</f>
        <v>0.20343256017222472</v>
      </c>
      <c r="H139" s="35" t="s">
        <v>15</v>
      </c>
      <c r="I139" s="121">
        <f t="shared" ref="I139:X143" si="29">I149</f>
        <v>10.684819934898</v>
      </c>
      <c r="J139" s="121">
        <f t="shared" si="29"/>
        <v>10.522418050588</v>
      </c>
      <c r="K139" s="121">
        <f t="shared" si="29"/>
        <v>10.360016166277999</v>
      </c>
      <c r="L139" s="121">
        <f t="shared" si="29"/>
        <v>10.197614281968001</v>
      </c>
      <c r="M139" s="121">
        <f t="shared" si="29"/>
        <v>10.048064596531201</v>
      </c>
      <c r="N139" s="121">
        <f t="shared" si="29"/>
        <v>9.8985149110944022</v>
      </c>
      <c r="O139" s="121">
        <f t="shared" si="29"/>
        <v>9.7489652256576029</v>
      </c>
      <c r="P139" s="121">
        <f t="shared" si="29"/>
        <v>9.5994155402208037</v>
      </c>
      <c r="Q139" s="121">
        <f t="shared" si="29"/>
        <v>9.4498658547840009</v>
      </c>
      <c r="R139" s="121">
        <f t="shared" si="29"/>
        <v>9.3289080907968014</v>
      </c>
      <c r="S139" s="121">
        <f t="shared" si="29"/>
        <v>9.2079503268096019</v>
      </c>
      <c r="T139" s="121">
        <f t="shared" si="29"/>
        <v>9.0869925628224024</v>
      </c>
      <c r="U139" s="121">
        <f t="shared" si="29"/>
        <v>8.9660347988352029</v>
      </c>
      <c r="V139" s="121">
        <f t="shared" si="29"/>
        <v>8.8450770348480017</v>
      </c>
      <c r="W139" s="121">
        <f t="shared" si="29"/>
        <v>8.7615659120004015</v>
      </c>
      <c r="X139" s="121">
        <f t="shared" si="29"/>
        <v>8.6780547891528013</v>
      </c>
      <c r="Y139" s="121">
        <f t="shared" si="27"/>
        <v>8.5945436663052011</v>
      </c>
      <c r="Z139" s="121">
        <f t="shared" si="27"/>
        <v>8.5110325434576009</v>
      </c>
      <c r="AA139" s="121">
        <f t="shared" si="27"/>
        <v>8.4275214206099971</v>
      </c>
      <c r="AB139" s="121">
        <f t="shared" si="27"/>
        <v>8.3774795319675981</v>
      </c>
      <c r="AC139" s="121">
        <f t="shared" si="27"/>
        <v>8.3274376433251991</v>
      </c>
      <c r="AD139" s="121">
        <f t="shared" si="27"/>
        <v>8.2773957546828001</v>
      </c>
      <c r="AE139" s="121">
        <f t="shared" si="27"/>
        <v>8.2273538660404011</v>
      </c>
      <c r="AF139" s="121">
        <f t="shared" si="27"/>
        <v>8.1773119773979985</v>
      </c>
      <c r="AG139" s="121">
        <f t="shared" si="27"/>
        <v>8.156843246297198</v>
      </c>
      <c r="AH139" s="121">
        <f t="shared" si="27"/>
        <v>8.1363745151963975</v>
      </c>
      <c r="AI139" s="121">
        <f t="shared" si="27"/>
        <v>8.115905784095597</v>
      </c>
      <c r="AJ139" s="121">
        <f t="shared" si="27"/>
        <v>8.0954370529947965</v>
      </c>
    </row>
    <row r="140" spans="2:36">
      <c r="B140" s="117" t="s">
        <v>173</v>
      </c>
      <c r="C140" s="122"/>
      <c r="E140" s="35" t="s">
        <v>19</v>
      </c>
      <c r="F140" s="131">
        <f t="shared" si="28"/>
        <v>0.20343256017222472</v>
      </c>
      <c r="H140" s="35" t="s">
        <v>19</v>
      </c>
      <c r="I140" s="121">
        <f t="shared" si="29"/>
        <v>10.683416029531601</v>
      </c>
      <c r="J140" s="121">
        <f t="shared" si="27"/>
        <v>10.520312192538402</v>
      </c>
      <c r="K140" s="121">
        <f t="shared" si="27"/>
        <v>10.357208355545202</v>
      </c>
      <c r="L140" s="121">
        <f t="shared" si="27"/>
        <v>10.194104518552001</v>
      </c>
      <c r="M140" s="121">
        <f t="shared" si="27"/>
        <v>10.044331579195601</v>
      </c>
      <c r="N140" s="121">
        <f t="shared" si="27"/>
        <v>9.894558639839202</v>
      </c>
      <c r="O140" s="121">
        <f t="shared" si="27"/>
        <v>9.7447857004828027</v>
      </c>
      <c r="P140" s="121">
        <f t="shared" si="27"/>
        <v>9.5950127611264033</v>
      </c>
      <c r="Q140" s="121">
        <f t="shared" si="27"/>
        <v>9.4452398217700004</v>
      </c>
      <c r="R140" s="121">
        <f t="shared" si="27"/>
        <v>32.6149095809008</v>
      </c>
      <c r="S140" s="121">
        <f t="shared" si="27"/>
        <v>55.784579340031598</v>
      </c>
      <c r="T140" s="121">
        <f t="shared" si="27"/>
        <v>78.954249099162396</v>
      </c>
      <c r="U140" s="121">
        <f t="shared" si="27"/>
        <v>102.12391885829319</v>
      </c>
      <c r="V140" s="121">
        <f t="shared" si="27"/>
        <v>125.29358861742401</v>
      </c>
      <c r="W140" s="121">
        <f t="shared" si="27"/>
        <v>137.87139825438243</v>
      </c>
      <c r="X140" s="121">
        <f t="shared" si="27"/>
        <v>150.44920789134085</v>
      </c>
      <c r="Y140" s="121">
        <f t="shared" si="27"/>
        <v>163.02701752829927</v>
      </c>
      <c r="Z140" s="121">
        <f t="shared" si="27"/>
        <v>175.60482716525769</v>
      </c>
      <c r="AA140" s="121">
        <f t="shared" si="27"/>
        <v>188.18263680221611</v>
      </c>
      <c r="AB140" s="121">
        <f t="shared" si="27"/>
        <v>202.39666240802129</v>
      </c>
      <c r="AC140" s="121">
        <f t="shared" si="27"/>
        <v>216.61068801382646</v>
      </c>
      <c r="AD140" s="121">
        <f t="shared" si="27"/>
        <v>230.82471361963164</v>
      </c>
      <c r="AE140" s="121">
        <f t="shared" si="27"/>
        <v>245.03873922543681</v>
      </c>
      <c r="AF140" s="121">
        <f t="shared" si="27"/>
        <v>259.25276483124202</v>
      </c>
      <c r="AG140" s="121">
        <f t="shared" si="27"/>
        <v>274.66921805831521</v>
      </c>
      <c r="AH140" s="121">
        <f t="shared" si="27"/>
        <v>290.0856712853884</v>
      </c>
      <c r="AI140" s="121">
        <f t="shared" si="27"/>
        <v>305.50212451246159</v>
      </c>
      <c r="AJ140" s="121">
        <f t="shared" si="27"/>
        <v>320.91857773953478</v>
      </c>
    </row>
    <row r="141" spans="2:36">
      <c r="B141" s="117" t="s">
        <v>173</v>
      </c>
      <c r="C141" s="122"/>
      <c r="E141" s="35" t="s">
        <v>22</v>
      </c>
      <c r="F141" s="131">
        <f t="shared" si="28"/>
        <v>0.20343256017222472</v>
      </c>
      <c r="H141" s="35" t="s">
        <v>22</v>
      </c>
      <c r="I141" s="121">
        <f t="shared" si="29"/>
        <v>10.683416029531601</v>
      </c>
      <c r="J141" s="121">
        <f t="shared" si="27"/>
        <v>10.520312192538402</v>
      </c>
      <c r="K141" s="121">
        <f t="shared" si="27"/>
        <v>10.357208355545202</v>
      </c>
      <c r="L141" s="121">
        <f t="shared" si="27"/>
        <v>10.194104518552001</v>
      </c>
      <c r="M141" s="121">
        <f t="shared" si="27"/>
        <v>10.044331579195601</v>
      </c>
      <c r="N141" s="121">
        <f t="shared" si="27"/>
        <v>9.894558639839202</v>
      </c>
      <c r="O141" s="121">
        <f t="shared" si="27"/>
        <v>9.7447857004828027</v>
      </c>
      <c r="P141" s="121">
        <f t="shared" si="27"/>
        <v>9.5950127611264033</v>
      </c>
      <c r="Q141" s="121">
        <f t="shared" si="27"/>
        <v>9.4452398217700004</v>
      </c>
      <c r="R141" s="121">
        <f t="shared" si="27"/>
        <v>27.039689652890402</v>
      </c>
      <c r="S141" s="121">
        <f t="shared" si="27"/>
        <v>44.634139484010802</v>
      </c>
      <c r="T141" s="121">
        <f t="shared" si="27"/>
        <v>62.228589315131202</v>
      </c>
      <c r="U141" s="121">
        <f t="shared" si="27"/>
        <v>79.823039146251602</v>
      </c>
      <c r="V141" s="121">
        <f t="shared" si="27"/>
        <v>97.417488977372017</v>
      </c>
      <c r="W141" s="121">
        <f t="shared" si="27"/>
        <v>101.47175893300961</v>
      </c>
      <c r="X141" s="121">
        <f t="shared" si="27"/>
        <v>105.5260288886472</v>
      </c>
      <c r="Y141" s="121">
        <f t="shared" si="27"/>
        <v>109.5802988442848</v>
      </c>
      <c r="Z141" s="121">
        <f t="shared" si="27"/>
        <v>113.63456879992239</v>
      </c>
      <c r="AA141" s="121">
        <f t="shared" si="27"/>
        <v>117.68883875556</v>
      </c>
      <c r="AB141" s="121">
        <f t="shared" si="27"/>
        <v>121.4130372400912</v>
      </c>
      <c r="AC141" s="121">
        <f t="shared" si="27"/>
        <v>125.1372357246224</v>
      </c>
      <c r="AD141" s="121">
        <f t="shared" si="27"/>
        <v>128.8614342091536</v>
      </c>
      <c r="AE141" s="121">
        <f t="shared" si="27"/>
        <v>132.5856326936848</v>
      </c>
      <c r="AF141" s="121">
        <f t="shared" si="27"/>
        <v>136.309831178216</v>
      </c>
      <c r="AG141" s="121">
        <f t="shared" si="27"/>
        <v>139.9807007772028</v>
      </c>
      <c r="AH141" s="121">
        <f t="shared" si="27"/>
        <v>143.6515703761896</v>
      </c>
      <c r="AI141" s="121">
        <f t="shared" si="27"/>
        <v>147.32243997517639</v>
      </c>
      <c r="AJ141" s="121">
        <f t="shared" si="27"/>
        <v>150.99330957416319</v>
      </c>
    </row>
    <row r="142" spans="2:36">
      <c r="B142" s="117" t="s">
        <v>173</v>
      </c>
      <c r="C142" s="122"/>
      <c r="E142" s="35" t="s">
        <v>24</v>
      </c>
      <c r="F142" s="131">
        <f t="shared" si="28"/>
        <v>0.20343256017222472</v>
      </c>
      <c r="H142" s="35" t="s">
        <v>24</v>
      </c>
      <c r="I142" s="121">
        <f t="shared" si="29"/>
        <v>19.173481846293999</v>
      </c>
      <c r="J142" s="121">
        <f t="shared" si="27"/>
        <v>23.255410917681999</v>
      </c>
      <c r="K142" s="121">
        <f t="shared" si="27"/>
        <v>27.337339989069999</v>
      </c>
      <c r="L142" s="121">
        <f t="shared" si="27"/>
        <v>31.419269060457999</v>
      </c>
      <c r="M142" s="121">
        <f t="shared" si="27"/>
        <v>34.9382503797844</v>
      </c>
      <c r="N142" s="121">
        <f t="shared" si="27"/>
        <v>38.4572316991108</v>
      </c>
      <c r="O142" s="121">
        <f t="shared" si="27"/>
        <v>41.9762130184372</v>
      </c>
      <c r="P142" s="121">
        <f t="shared" si="27"/>
        <v>45.4951943377636</v>
      </c>
      <c r="Q142" s="121">
        <f t="shared" si="27"/>
        <v>49.014175657089993</v>
      </c>
      <c r="R142" s="121">
        <f t="shared" si="27"/>
        <v>49.260799456695992</v>
      </c>
      <c r="S142" s="121">
        <f t="shared" si="27"/>
        <v>49.50742325630199</v>
      </c>
      <c r="T142" s="121">
        <f t="shared" si="27"/>
        <v>49.754047055907989</v>
      </c>
      <c r="U142" s="121">
        <f t="shared" si="27"/>
        <v>50.000670855513988</v>
      </c>
      <c r="V142" s="121">
        <f t="shared" si="27"/>
        <v>50.247294655119987</v>
      </c>
      <c r="W142" s="121">
        <f t="shared" si="27"/>
        <v>50.783110597825988</v>
      </c>
      <c r="X142" s="121">
        <f t="shared" si="27"/>
        <v>51.31892654053199</v>
      </c>
      <c r="Y142" s="121">
        <f t="shared" si="27"/>
        <v>51.854742483237992</v>
      </c>
      <c r="Z142" s="121">
        <f t="shared" si="27"/>
        <v>52.390558425943993</v>
      </c>
      <c r="AA142" s="121">
        <f t="shared" si="27"/>
        <v>52.926374368650002</v>
      </c>
      <c r="AB142" s="121">
        <f t="shared" si="27"/>
        <v>53.642654937641602</v>
      </c>
      <c r="AC142" s="121">
        <f t="shared" si="27"/>
        <v>54.358935506633202</v>
      </c>
      <c r="AD142" s="121">
        <f t="shared" si="27"/>
        <v>55.075216075624802</v>
      </c>
      <c r="AE142" s="121">
        <f t="shared" si="27"/>
        <v>55.791496644616402</v>
      </c>
      <c r="AF142" s="121">
        <f t="shared" si="27"/>
        <v>56.507777213607987</v>
      </c>
      <c r="AG142" s="121">
        <f t="shared" si="27"/>
        <v>57.263574656870389</v>
      </c>
      <c r="AH142" s="121">
        <f t="shared" si="27"/>
        <v>58.019372100132792</v>
      </c>
      <c r="AI142" s="121">
        <f t="shared" si="27"/>
        <v>58.775169543395194</v>
      </c>
      <c r="AJ142" s="121">
        <f t="shared" si="27"/>
        <v>59.530966986657596</v>
      </c>
    </row>
    <row r="143" spans="2:36">
      <c r="B143" s="117" t="s">
        <v>173</v>
      </c>
      <c r="C143" s="122"/>
      <c r="E143" s="35" t="s">
        <v>25</v>
      </c>
      <c r="F143" s="131">
        <f t="shared" si="28"/>
        <v>0.20343256017222472</v>
      </c>
      <c r="H143" s="35" t="s">
        <v>25</v>
      </c>
      <c r="I143" s="121">
        <f t="shared" si="29"/>
        <v>65.469516307497202</v>
      </c>
      <c r="J143" s="121">
        <f t="shared" si="27"/>
        <v>92.699462609486801</v>
      </c>
      <c r="K143" s="121">
        <f t="shared" si="27"/>
        <v>119.9294089114764</v>
      </c>
      <c r="L143" s="121">
        <f t="shared" si="27"/>
        <v>147.159355213466</v>
      </c>
      <c r="M143" s="121">
        <f t="shared" si="27"/>
        <v>156.13345781564999</v>
      </c>
      <c r="N143" s="121">
        <f t="shared" si="27"/>
        <v>165.10756041783398</v>
      </c>
      <c r="O143" s="121">
        <f t="shared" si="27"/>
        <v>174.08166302001797</v>
      </c>
      <c r="P143" s="121">
        <f t="shared" si="27"/>
        <v>183.05576562220196</v>
      </c>
      <c r="Q143" s="121">
        <f t="shared" si="27"/>
        <v>192.02986822438601</v>
      </c>
      <c r="R143" s="121">
        <f t="shared" si="27"/>
        <v>205.74762901307679</v>
      </c>
      <c r="S143" s="121">
        <f t="shared" si="27"/>
        <v>219.46538980176757</v>
      </c>
      <c r="T143" s="121">
        <f t="shared" si="27"/>
        <v>233.18315059045835</v>
      </c>
      <c r="U143" s="121">
        <f t="shared" si="27"/>
        <v>246.90091137914914</v>
      </c>
      <c r="V143" s="121">
        <f t="shared" si="27"/>
        <v>260.61867216783997</v>
      </c>
      <c r="W143" s="121">
        <f t="shared" si="27"/>
        <v>276.92654087641876</v>
      </c>
      <c r="X143" s="121">
        <f t="shared" si="27"/>
        <v>293.23440958499754</v>
      </c>
      <c r="Y143" s="121">
        <f t="shared" si="27"/>
        <v>309.54227829357632</v>
      </c>
      <c r="Z143" s="121">
        <f t="shared" si="27"/>
        <v>325.8501470021551</v>
      </c>
      <c r="AA143" s="121">
        <f t="shared" si="27"/>
        <v>342.15801571073399</v>
      </c>
      <c r="AB143" s="121">
        <f t="shared" si="27"/>
        <v>362.56755237622519</v>
      </c>
      <c r="AC143" s="121">
        <f t="shared" si="27"/>
        <v>382.9770890417164</v>
      </c>
      <c r="AD143" s="121">
        <f t="shared" si="27"/>
        <v>403.3866257072076</v>
      </c>
      <c r="AE143" s="121">
        <f t="shared" si="27"/>
        <v>423.7961623726988</v>
      </c>
      <c r="AF143" s="121">
        <f t="shared" si="27"/>
        <v>444.20569903818989</v>
      </c>
      <c r="AG143" s="121">
        <f t="shared" si="27"/>
        <v>469.32704171267989</v>
      </c>
      <c r="AH143" s="121">
        <f t="shared" si="27"/>
        <v>494.44838438716988</v>
      </c>
      <c r="AI143" s="121">
        <f t="shared" si="27"/>
        <v>519.56972706165993</v>
      </c>
      <c r="AJ143" s="121">
        <f t="shared" si="27"/>
        <v>544.69106973614998</v>
      </c>
    </row>
    <row r="144" spans="2:36">
      <c r="B144" s="117" t="s">
        <v>173</v>
      </c>
      <c r="C144" s="122"/>
      <c r="E144" s="117"/>
      <c r="F144" s="131">
        <f t="shared" si="28"/>
        <v>0.20343256017222472</v>
      </c>
      <c r="H144" s="117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</row>
    <row r="145" spans="2:42">
      <c r="B145" s="117" t="s">
        <v>173</v>
      </c>
      <c r="C145" s="122"/>
      <c r="E145" s="117"/>
      <c r="F145" s="131">
        <f t="shared" si="28"/>
        <v>0.20343256017222472</v>
      </c>
      <c r="H145" s="117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</row>
    <row r="146" spans="2:42">
      <c r="B146" s="117" t="s">
        <v>173</v>
      </c>
      <c r="C146" s="122"/>
      <c r="E146" s="117"/>
      <c r="F146" s="131">
        <f t="shared" si="28"/>
        <v>0.20343256017222472</v>
      </c>
      <c r="H146" s="117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</row>
    <row r="147" spans="2:42">
      <c r="H147" s="128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</row>
    <row r="148" spans="2:42">
      <c r="B148" s="113" t="s">
        <v>42</v>
      </c>
      <c r="E148" s="113" t="s">
        <v>276</v>
      </c>
      <c r="H148" s="130" t="s">
        <v>12</v>
      </c>
      <c r="I148" s="132">
        <v>25.0414200753724</v>
      </c>
      <c r="J148" s="132">
        <v>32.057318261299599</v>
      </c>
      <c r="K148" s="132">
        <v>39.073216447226798</v>
      </c>
      <c r="L148" s="132">
        <v>46.089114633153997</v>
      </c>
      <c r="M148" s="132">
        <v>48.072200152634402</v>
      </c>
      <c r="N148" s="132">
        <v>50.055285672114806</v>
      </c>
      <c r="O148" s="132">
        <v>52.038371191595211</v>
      </c>
      <c r="P148" s="132">
        <v>54.021456711075615</v>
      </c>
      <c r="Q148" s="132">
        <v>56.004542230556012</v>
      </c>
      <c r="R148" s="132">
        <v>58.561105124668011</v>
      </c>
      <c r="S148" s="132">
        <v>61.117668018780009</v>
      </c>
      <c r="T148" s="132">
        <v>63.674230912892007</v>
      </c>
      <c r="U148" s="132">
        <v>66.230793807004005</v>
      </c>
      <c r="V148" s="132">
        <v>68.787356701116011</v>
      </c>
      <c r="W148" s="132">
        <v>71.680261317830414</v>
      </c>
      <c r="X148" s="132">
        <v>74.573165934544818</v>
      </c>
      <c r="Y148" s="132">
        <v>77.466070551259222</v>
      </c>
      <c r="Z148" s="132">
        <v>80.358975167973625</v>
      </c>
      <c r="AA148" s="132">
        <v>83.251879784688001</v>
      </c>
      <c r="AB148" s="132">
        <v>86.7434979985468</v>
      </c>
      <c r="AC148" s="132">
        <v>90.2351162124056</v>
      </c>
      <c r="AD148" s="132">
        <v>93.7267344262644</v>
      </c>
      <c r="AE148" s="132">
        <v>97.2183526401232</v>
      </c>
      <c r="AF148" s="132">
        <v>100.709970853982</v>
      </c>
      <c r="AG148" s="132">
        <v>104.9548035272808</v>
      </c>
      <c r="AH148" s="132">
        <v>109.1996362005796</v>
      </c>
      <c r="AI148" s="132">
        <v>113.44446887387841</v>
      </c>
      <c r="AJ148" s="132">
        <v>117.68930154717721</v>
      </c>
      <c r="AK148" s="115">
        <v>121.934134220476</v>
      </c>
      <c r="AL148" s="115">
        <v>124.38703154863239</v>
      </c>
      <c r="AM148" s="115">
        <v>126.83992887678879</v>
      </c>
      <c r="AN148" s="115">
        <v>129.29282620494519</v>
      </c>
      <c r="AO148" s="115">
        <v>131.7457235331016</v>
      </c>
      <c r="AP148" s="115">
        <v>134.19862086125801</v>
      </c>
    </row>
    <row r="149" spans="2:42">
      <c r="B149" s="117" t="s">
        <v>173</v>
      </c>
      <c r="C149" s="122"/>
      <c r="E149" s="117" t="s">
        <v>8</v>
      </c>
      <c r="F149" s="131">
        <v>0.5</v>
      </c>
      <c r="H149" s="130" t="s">
        <v>15</v>
      </c>
      <c r="I149" s="132">
        <v>10.684819934898</v>
      </c>
      <c r="J149" s="132">
        <v>10.522418050588</v>
      </c>
      <c r="K149" s="132">
        <v>10.360016166277999</v>
      </c>
      <c r="L149" s="132">
        <v>10.197614281968001</v>
      </c>
      <c r="M149" s="132">
        <v>10.048064596531201</v>
      </c>
      <c r="N149" s="132">
        <v>9.8985149110944022</v>
      </c>
      <c r="O149" s="132">
        <v>9.7489652256576029</v>
      </c>
      <c r="P149" s="132">
        <v>9.5994155402208037</v>
      </c>
      <c r="Q149" s="132">
        <v>9.4498658547840009</v>
      </c>
      <c r="R149" s="132">
        <v>9.3289080907968014</v>
      </c>
      <c r="S149" s="132">
        <v>9.2079503268096019</v>
      </c>
      <c r="T149" s="132">
        <v>9.0869925628224024</v>
      </c>
      <c r="U149" s="132">
        <v>8.9660347988352029</v>
      </c>
      <c r="V149" s="132">
        <v>8.8450770348480017</v>
      </c>
      <c r="W149" s="132">
        <v>8.7615659120004015</v>
      </c>
      <c r="X149" s="132">
        <v>8.6780547891528013</v>
      </c>
      <c r="Y149" s="132">
        <v>8.5945436663052011</v>
      </c>
      <c r="Z149" s="132">
        <v>8.5110325434576009</v>
      </c>
      <c r="AA149" s="132">
        <v>8.4275214206099971</v>
      </c>
      <c r="AB149" s="132">
        <v>8.3774795319675981</v>
      </c>
      <c r="AC149" s="132">
        <v>8.3274376433251991</v>
      </c>
      <c r="AD149" s="132">
        <v>8.2773957546828001</v>
      </c>
      <c r="AE149" s="132">
        <v>8.2273538660404011</v>
      </c>
      <c r="AF149" s="132">
        <v>8.1773119773979985</v>
      </c>
      <c r="AG149" s="132">
        <v>8.156843246297198</v>
      </c>
      <c r="AH149" s="132">
        <v>8.1363745151963975</v>
      </c>
      <c r="AI149" s="132">
        <v>8.115905784095597</v>
      </c>
      <c r="AJ149" s="132">
        <v>8.0954370529947965</v>
      </c>
      <c r="AK149" s="115">
        <v>8.0749683218939978</v>
      </c>
      <c r="AL149" s="115">
        <v>8.0907760375515991</v>
      </c>
      <c r="AM149" s="115">
        <v>8.1065837532092004</v>
      </c>
      <c r="AN149" s="115">
        <v>8.1223914688668017</v>
      </c>
      <c r="AO149" s="115">
        <v>8.1381991845244031</v>
      </c>
      <c r="AP149" s="115">
        <v>8.1540069001820008</v>
      </c>
    </row>
    <row r="150" spans="2:42">
      <c r="B150" s="117" t="s">
        <v>173</v>
      </c>
      <c r="C150" s="122"/>
      <c r="E150" s="35" t="s">
        <v>12</v>
      </c>
      <c r="F150" s="131">
        <f>F$149</f>
        <v>0.5</v>
      </c>
      <c r="H150" s="130" t="s">
        <v>19</v>
      </c>
      <c r="I150" s="132">
        <v>10.683416029531601</v>
      </c>
      <c r="J150" s="132">
        <v>10.520312192538402</v>
      </c>
      <c r="K150" s="132">
        <v>10.357208355545202</v>
      </c>
      <c r="L150" s="132">
        <v>10.194104518552001</v>
      </c>
      <c r="M150" s="132">
        <v>10.044331579195601</v>
      </c>
      <c r="N150" s="132">
        <v>9.894558639839202</v>
      </c>
      <c r="O150" s="132">
        <v>9.7447857004828027</v>
      </c>
      <c r="P150" s="132">
        <v>9.5950127611264033</v>
      </c>
      <c r="Q150" s="132">
        <v>9.4452398217700004</v>
      </c>
      <c r="R150" s="132">
        <v>32.6149095809008</v>
      </c>
      <c r="S150" s="132">
        <v>55.784579340031598</v>
      </c>
      <c r="T150" s="132">
        <v>78.954249099162396</v>
      </c>
      <c r="U150" s="132">
        <v>102.12391885829319</v>
      </c>
      <c r="V150" s="132">
        <v>125.29358861742401</v>
      </c>
      <c r="W150" s="132">
        <v>137.87139825438243</v>
      </c>
      <c r="X150" s="132">
        <v>150.44920789134085</v>
      </c>
      <c r="Y150" s="132">
        <v>163.02701752829927</v>
      </c>
      <c r="Z150" s="132">
        <v>175.60482716525769</v>
      </c>
      <c r="AA150" s="132">
        <v>188.18263680221611</v>
      </c>
      <c r="AB150" s="132">
        <v>202.39666240802129</v>
      </c>
      <c r="AC150" s="132">
        <v>216.61068801382646</v>
      </c>
      <c r="AD150" s="132">
        <v>230.82471361963164</v>
      </c>
      <c r="AE150" s="132">
        <v>245.03873922543681</v>
      </c>
      <c r="AF150" s="132">
        <v>259.25276483124202</v>
      </c>
      <c r="AG150" s="132">
        <v>274.66921805831521</v>
      </c>
      <c r="AH150" s="132">
        <v>290.0856712853884</v>
      </c>
      <c r="AI150" s="132">
        <v>305.50212451246159</v>
      </c>
      <c r="AJ150" s="132">
        <v>320.91857773953478</v>
      </c>
      <c r="AK150" s="115">
        <v>336.33503096660792</v>
      </c>
      <c r="AL150" s="115">
        <v>343.49606573474074</v>
      </c>
      <c r="AM150" s="115">
        <v>350.65710050287356</v>
      </c>
      <c r="AN150" s="115">
        <v>357.81813527100638</v>
      </c>
      <c r="AO150" s="115">
        <v>364.97917003913921</v>
      </c>
      <c r="AP150" s="115">
        <v>372.14020480727203</v>
      </c>
    </row>
    <row r="151" spans="2:42">
      <c r="B151" s="117" t="s">
        <v>173</v>
      </c>
      <c r="C151" s="122"/>
      <c r="E151" s="35" t="s">
        <v>15</v>
      </c>
      <c r="F151" s="131">
        <f>F$149</f>
        <v>0.5</v>
      </c>
      <c r="H151" s="130" t="s">
        <v>22</v>
      </c>
      <c r="I151" s="132">
        <v>10.683416029531601</v>
      </c>
      <c r="J151" s="132">
        <v>10.520312192538402</v>
      </c>
      <c r="K151" s="132">
        <v>10.357208355545202</v>
      </c>
      <c r="L151" s="132">
        <v>10.194104518552001</v>
      </c>
      <c r="M151" s="132">
        <v>10.044331579195601</v>
      </c>
      <c r="N151" s="132">
        <v>9.894558639839202</v>
      </c>
      <c r="O151" s="132">
        <v>9.7447857004828027</v>
      </c>
      <c r="P151" s="132">
        <v>9.5950127611264033</v>
      </c>
      <c r="Q151" s="132">
        <v>9.4452398217700004</v>
      </c>
      <c r="R151" s="132">
        <v>27.039689652890402</v>
      </c>
      <c r="S151" s="132">
        <v>44.634139484010802</v>
      </c>
      <c r="T151" s="132">
        <v>62.228589315131202</v>
      </c>
      <c r="U151" s="132">
        <v>79.823039146251602</v>
      </c>
      <c r="V151" s="132">
        <v>97.417488977372017</v>
      </c>
      <c r="W151" s="132">
        <v>101.47175893300961</v>
      </c>
      <c r="X151" s="132">
        <v>105.5260288886472</v>
      </c>
      <c r="Y151" s="132">
        <v>109.5802988442848</v>
      </c>
      <c r="Z151" s="132">
        <v>113.63456879992239</v>
      </c>
      <c r="AA151" s="132">
        <v>117.68883875556</v>
      </c>
      <c r="AB151" s="132">
        <v>121.4130372400912</v>
      </c>
      <c r="AC151" s="132">
        <v>125.1372357246224</v>
      </c>
      <c r="AD151" s="132">
        <v>128.8614342091536</v>
      </c>
      <c r="AE151" s="132">
        <v>132.5856326936848</v>
      </c>
      <c r="AF151" s="132">
        <v>136.309831178216</v>
      </c>
      <c r="AG151" s="132">
        <v>139.9807007772028</v>
      </c>
      <c r="AH151" s="132">
        <v>143.6515703761896</v>
      </c>
      <c r="AI151" s="132">
        <v>147.32243997517639</v>
      </c>
      <c r="AJ151" s="132">
        <v>150.99330957416319</v>
      </c>
      <c r="AK151" s="115">
        <v>154.66417917314999</v>
      </c>
      <c r="AL151" s="115">
        <v>156.78404732009039</v>
      </c>
      <c r="AM151" s="115">
        <v>158.9039154670308</v>
      </c>
      <c r="AN151" s="115">
        <v>161.0237836139712</v>
      </c>
      <c r="AO151" s="115">
        <v>163.14365176091161</v>
      </c>
      <c r="AP151" s="115">
        <v>165.26351990785199</v>
      </c>
    </row>
    <row r="152" spans="2:42">
      <c r="B152" s="117" t="s">
        <v>173</v>
      </c>
      <c r="C152" s="122"/>
      <c r="E152" s="35" t="s">
        <v>19</v>
      </c>
      <c r="F152" s="131">
        <f t="shared" ref="F152:F155" si="30">F$149</f>
        <v>0.5</v>
      </c>
      <c r="H152" s="130" t="s">
        <v>24</v>
      </c>
      <c r="I152" s="132">
        <v>19.173481846293999</v>
      </c>
      <c r="J152" s="132">
        <v>23.255410917681999</v>
      </c>
      <c r="K152" s="132">
        <v>27.337339989069999</v>
      </c>
      <c r="L152" s="132">
        <v>31.419269060457999</v>
      </c>
      <c r="M152" s="132">
        <v>34.9382503797844</v>
      </c>
      <c r="N152" s="132">
        <v>38.4572316991108</v>
      </c>
      <c r="O152" s="132">
        <v>41.9762130184372</v>
      </c>
      <c r="P152" s="132">
        <v>45.4951943377636</v>
      </c>
      <c r="Q152" s="132">
        <v>49.014175657089993</v>
      </c>
      <c r="R152" s="132">
        <v>49.260799456695992</v>
      </c>
      <c r="S152" s="132">
        <v>49.50742325630199</v>
      </c>
      <c r="T152" s="132">
        <v>49.754047055907989</v>
      </c>
      <c r="U152" s="132">
        <v>50.000670855513988</v>
      </c>
      <c r="V152" s="132">
        <v>50.247294655119987</v>
      </c>
      <c r="W152" s="132">
        <v>50.783110597825988</v>
      </c>
      <c r="X152" s="132">
        <v>51.31892654053199</v>
      </c>
      <c r="Y152" s="132">
        <v>51.854742483237992</v>
      </c>
      <c r="Z152" s="132">
        <v>52.390558425943993</v>
      </c>
      <c r="AA152" s="132">
        <v>52.926374368650002</v>
      </c>
      <c r="AB152" s="132">
        <v>53.642654937641602</v>
      </c>
      <c r="AC152" s="132">
        <v>54.358935506633202</v>
      </c>
      <c r="AD152" s="132">
        <v>55.075216075624802</v>
      </c>
      <c r="AE152" s="132">
        <v>55.791496644616402</v>
      </c>
      <c r="AF152" s="132">
        <v>56.507777213607987</v>
      </c>
      <c r="AG152" s="132">
        <v>57.263574656870389</v>
      </c>
      <c r="AH152" s="132">
        <v>58.019372100132792</v>
      </c>
      <c r="AI152" s="132">
        <v>58.775169543395194</v>
      </c>
      <c r="AJ152" s="132">
        <v>59.530966986657596</v>
      </c>
      <c r="AK152" s="115">
        <v>60.286764429919998</v>
      </c>
      <c r="AL152" s="115">
        <v>61.095003503296397</v>
      </c>
      <c r="AM152" s="115">
        <v>61.903242576672795</v>
      </c>
      <c r="AN152" s="115">
        <v>62.711481650049194</v>
      </c>
      <c r="AO152" s="115">
        <v>63.519720723425593</v>
      </c>
      <c r="AP152" s="115">
        <v>64.327959796802006</v>
      </c>
    </row>
    <row r="153" spans="2:42">
      <c r="B153" s="117" t="s">
        <v>173</v>
      </c>
      <c r="C153" s="122"/>
      <c r="E153" s="35" t="s">
        <v>22</v>
      </c>
      <c r="F153" s="131">
        <f t="shared" si="30"/>
        <v>0.5</v>
      </c>
      <c r="H153" s="130" t="s">
        <v>25</v>
      </c>
      <c r="I153" s="132">
        <v>65.469516307497202</v>
      </c>
      <c r="J153" s="132">
        <v>92.699462609486801</v>
      </c>
      <c r="K153" s="132">
        <v>119.9294089114764</v>
      </c>
      <c r="L153" s="132">
        <v>147.159355213466</v>
      </c>
      <c r="M153" s="132">
        <v>156.13345781564999</v>
      </c>
      <c r="N153" s="132">
        <v>165.10756041783398</v>
      </c>
      <c r="O153" s="132">
        <v>174.08166302001797</v>
      </c>
      <c r="P153" s="132">
        <v>183.05576562220196</v>
      </c>
      <c r="Q153" s="132">
        <v>192.02986822438601</v>
      </c>
      <c r="R153" s="132">
        <v>205.74762901307679</v>
      </c>
      <c r="S153" s="132">
        <v>219.46538980176757</v>
      </c>
      <c r="T153" s="132">
        <v>233.18315059045835</v>
      </c>
      <c r="U153" s="132">
        <v>246.90091137914914</v>
      </c>
      <c r="V153" s="132">
        <v>260.61867216783997</v>
      </c>
      <c r="W153" s="132">
        <v>276.92654087641876</v>
      </c>
      <c r="X153" s="132">
        <v>293.23440958499754</v>
      </c>
      <c r="Y153" s="132">
        <v>309.54227829357632</v>
      </c>
      <c r="Z153" s="132">
        <v>325.8501470021551</v>
      </c>
      <c r="AA153" s="132">
        <v>342.15801571073399</v>
      </c>
      <c r="AB153" s="132">
        <v>362.56755237622519</v>
      </c>
      <c r="AC153" s="132">
        <v>382.9770890417164</v>
      </c>
      <c r="AD153" s="132">
        <v>403.3866257072076</v>
      </c>
      <c r="AE153" s="132">
        <v>423.7961623726988</v>
      </c>
      <c r="AF153" s="132">
        <v>444.20569903818989</v>
      </c>
      <c r="AG153" s="132">
        <v>469.32704171267989</v>
      </c>
      <c r="AH153" s="132">
        <v>494.44838438716988</v>
      </c>
      <c r="AI153" s="132">
        <v>519.56972706165993</v>
      </c>
      <c r="AJ153" s="132">
        <v>544.69106973614998</v>
      </c>
      <c r="AK153" s="115">
        <v>569.81241241063992</v>
      </c>
      <c r="AL153" s="115">
        <v>578.64962034854034</v>
      </c>
      <c r="AM153" s="115">
        <v>587.48682828644075</v>
      </c>
      <c r="AN153" s="115">
        <v>596.32403622434117</v>
      </c>
      <c r="AO153" s="115">
        <v>605.16124416224159</v>
      </c>
      <c r="AP153" s="115">
        <v>613.99845210014212</v>
      </c>
    </row>
    <row r="154" spans="2:42">
      <c r="B154" s="117" t="s">
        <v>173</v>
      </c>
      <c r="C154" s="122"/>
      <c r="E154" s="35" t="s">
        <v>24</v>
      </c>
      <c r="F154" s="131">
        <f t="shared" si="30"/>
        <v>0.5</v>
      </c>
      <c r="H154" s="128" t="s">
        <v>173</v>
      </c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</row>
    <row r="155" spans="2:42">
      <c r="B155" s="117" t="s">
        <v>173</v>
      </c>
      <c r="C155" s="122"/>
      <c r="E155" s="35" t="s">
        <v>25</v>
      </c>
      <c r="F155" s="131">
        <f t="shared" si="30"/>
        <v>0.5</v>
      </c>
      <c r="H155" s="128" t="s">
        <v>173</v>
      </c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</row>
    <row r="156" spans="2:42">
      <c r="B156" s="117" t="s">
        <v>173</v>
      </c>
      <c r="C156" s="122"/>
      <c r="E156" s="117"/>
      <c r="F156" s="131"/>
      <c r="H156" s="117" t="s">
        <v>173</v>
      </c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</row>
    <row r="157" spans="2:42">
      <c r="B157" s="117" t="s">
        <v>173</v>
      </c>
      <c r="C157" s="122"/>
      <c r="E157" s="117"/>
      <c r="F157" s="131"/>
      <c r="H157" s="117" t="s">
        <v>173</v>
      </c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</row>
    <row r="158" spans="2:42">
      <c r="B158" s="117" t="s">
        <v>173</v>
      </c>
      <c r="C158" s="122"/>
      <c r="E158" s="117"/>
      <c r="F158" s="131"/>
      <c r="H158" s="117" t="s">
        <v>173</v>
      </c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</row>
    <row r="159" spans="2:42">
      <c r="H159" s="117" t="s">
        <v>173</v>
      </c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</row>
    <row r="160" spans="2:42">
      <c r="B160" s="113" t="s">
        <v>277</v>
      </c>
      <c r="H160" s="117" t="s">
        <v>173</v>
      </c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</row>
    <row r="161" spans="2:36">
      <c r="B161" s="117" t="s">
        <v>8</v>
      </c>
      <c r="C161" s="124">
        <f>'1.Input data Coal India'!E13</f>
        <v>1670.9</v>
      </c>
      <c r="H161" s="117" t="s">
        <v>173</v>
      </c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</row>
    <row r="162" spans="2:36">
      <c r="B162" s="117" t="s">
        <v>173</v>
      </c>
      <c r="C162" s="122"/>
      <c r="F162" s="115">
        <v>0.6</v>
      </c>
      <c r="H162" s="117" t="s">
        <v>173</v>
      </c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</row>
    <row r="163" spans="2:36">
      <c r="B163" s="117" t="s">
        <v>173</v>
      </c>
      <c r="C163" s="122"/>
      <c r="H163" s="117" t="s">
        <v>173</v>
      </c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</row>
    <row r="164" spans="2:36">
      <c r="B164" s="117" t="s">
        <v>173</v>
      </c>
      <c r="C164" s="122"/>
      <c r="H164" s="117" t="s">
        <v>173</v>
      </c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</row>
    <row r="165" spans="2:36">
      <c r="B165" s="117" t="s">
        <v>173</v>
      </c>
      <c r="C165" s="122"/>
      <c r="H165" s="117" t="s">
        <v>173</v>
      </c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</row>
    <row r="166" spans="2:36">
      <c r="B166" s="117" t="s">
        <v>173</v>
      </c>
      <c r="C166" s="122"/>
      <c r="H166" s="117" t="s">
        <v>173</v>
      </c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</row>
    <row r="167" spans="2:36">
      <c r="B167" s="117" t="s">
        <v>173</v>
      </c>
      <c r="C167" s="122"/>
      <c r="H167" s="117" t="s">
        <v>173</v>
      </c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</row>
    <row r="168" spans="2:36">
      <c r="B168" s="117" t="s">
        <v>173</v>
      </c>
      <c r="C168" s="122"/>
      <c r="H168" s="117" t="s">
        <v>173</v>
      </c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</row>
    <row r="169" spans="2:36">
      <c r="B169" s="117" t="s">
        <v>173</v>
      </c>
      <c r="C169" s="122"/>
      <c r="H169" s="117" t="s">
        <v>173</v>
      </c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</row>
    <row r="170" spans="2:36">
      <c r="B170" s="117" t="s">
        <v>173</v>
      </c>
      <c r="C170" s="122"/>
      <c r="H170" s="117" t="s">
        <v>173</v>
      </c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</row>
    <row r="172" spans="2:36">
      <c r="B172" s="113" t="s">
        <v>278</v>
      </c>
      <c r="E172" s="113" t="s">
        <v>48</v>
      </c>
    </row>
    <row r="173" spans="2:36">
      <c r="B173" s="117" t="s">
        <v>8</v>
      </c>
      <c r="C173" s="124">
        <f>'1.Input data Coal India'!E15</f>
        <v>9727</v>
      </c>
      <c r="E173" s="117" t="s">
        <v>8</v>
      </c>
      <c r="F173" s="115" t="s">
        <v>279</v>
      </c>
    </row>
    <row r="174" spans="2:36">
      <c r="B174" s="117" t="s">
        <v>173</v>
      </c>
      <c r="C174" s="122"/>
      <c r="E174" s="35" t="s">
        <v>12</v>
      </c>
    </row>
    <row r="175" spans="2:36">
      <c r="B175" s="117" t="s">
        <v>173</v>
      </c>
      <c r="C175" s="122"/>
      <c r="E175" s="35" t="s">
        <v>15</v>
      </c>
    </row>
    <row r="176" spans="2:36">
      <c r="B176" s="117" t="s">
        <v>173</v>
      </c>
      <c r="C176" s="122"/>
      <c r="E176" s="35" t="s">
        <v>19</v>
      </c>
    </row>
    <row r="177" spans="2:5">
      <c r="B177" s="117" t="s">
        <v>173</v>
      </c>
      <c r="C177" s="122"/>
      <c r="E177" s="35" t="s">
        <v>22</v>
      </c>
    </row>
    <row r="178" spans="2:5">
      <c r="B178" s="117" t="s">
        <v>173</v>
      </c>
      <c r="C178" s="122"/>
      <c r="E178" s="35" t="s">
        <v>24</v>
      </c>
    </row>
    <row r="179" spans="2:5">
      <c r="B179" s="117" t="s">
        <v>173</v>
      </c>
      <c r="C179" s="122"/>
      <c r="E179" s="35" t="s">
        <v>25</v>
      </c>
    </row>
    <row r="180" spans="2:5">
      <c r="B180" s="117" t="s">
        <v>173</v>
      </c>
      <c r="C180" s="122"/>
      <c r="E180"/>
    </row>
    <row r="181" spans="2:5">
      <c r="B181" s="117" t="s">
        <v>173</v>
      </c>
      <c r="C181" s="122"/>
      <c r="E181"/>
    </row>
    <row r="182" spans="2:5">
      <c r="B182" s="117" t="s">
        <v>173</v>
      </c>
      <c r="C182" s="122"/>
      <c r="E182"/>
    </row>
    <row r="183" spans="2:5">
      <c r="E183"/>
    </row>
    <row r="184" spans="2:5">
      <c r="B184" s="113" t="s">
        <v>280</v>
      </c>
    </row>
    <row r="185" spans="2:5">
      <c r="B185" s="117" t="s">
        <v>173</v>
      </c>
      <c r="C185" s="122"/>
    </row>
    <row r="186" spans="2:5">
      <c r="B186" s="117" t="s">
        <v>173</v>
      </c>
      <c r="C186" s="122"/>
    </row>
    <row r="187" spans="2:5">
      <c r="B187" s="117" t="s">
        <v>173</v>
      </c>
      <c r="C187" s="122"/>
    </row>
    <row r="188" spans="2:5">
      <c r="B188" s="117" t="s">
        <v>173</v>
      </c>
      <c r="C188" s="122"/>
    </row>
    <row r="189" spans="2:5">
      <c r="B189" s="117" t="s">
        <v>173</v>
      </c>
      <c r="C189" s="122"/>
    </row>
    <row r="190" spans="2:5">
      <c r="B190" s="117" t="s">
        <v>173</v>
      </c>
      <c r="C190" s="122"/>
    </row>
    <row r="191" spans="2:5">
      <c r="B191" s="117" t="s">
        <v>173</v>
      </c>
      <c r="C191" s="122"/>
    </row>
    <row r="192" spans="2:5">
      <c r="B192" s="117" t="s">
        <v>173</v>
      </c>
      <c r="C192" s="122"/>
    </row>
    <row r="193" spans="2:3">
      <c r="B193" s="117" t="s">
        <v>173</v>
      </c>
      <c r="C193" s="122"/>
    </row>
    <row r="194" spans="2:3">
      <c r="B194" s="117" t="s">
        <v>173</v>
      </c>
      <c r="C194" s="122"/>
    </row>
    <row r="196" spans="2:3">
      <c r="B196" s="133" t="s">
        <v>281</v>
      </c>
      <c r="C196" s="134"/>
    </row>
    <row r="197" spans="2:3">
      <c r="B197" s="135" t="s">
        <v>173</v>
      </c>
      <c r="C197" s="136"/>
    </row>
    <row r="198" spans="2:3">
      <c r="B198" s="135" t="s">
        <v>173</v>
      </c>
      <c r="C198" s="122"/>
    </row>
    <row r="199" spans="2:3">
      <c r="B199" s="135" t="s">
        <v>173</v>
      </c>
      <c r="C199" s="136"/>
    </row>
    <row r="200" spans="2:3">
      <c r="B200" s="135" t="s">
        <v>173</v>
      </c>
      <c r="C200" s="136"/>
    </row>
    <row r="201" spans="2:3">
      <c r="B201" s="135" t="s">
        <v>173</v>
      </c>
      <c r="C201" s="136"/>
    </row>
    <row r="202" spans="2:3">
      <c r="B202" s="135" t="s">
        <v>173</v>
      </c>
      <c r="C202" s="136"/>
    </row>
    <row r="203" spans="2:3">
      <c r="B203" s="135" t="s">
        <v>173</v>
      </c>
      <c r="C203" s="136"/>
    </row>
    <row r="204" spans="2:3">
      <c r="B204" s="135" t="s">
        <v>173</v>
      </c>
      <c r="C204" s="136"/>
    </row>
    <row r="205" spans="2:3">
      <c r="B205" s="135" t="s">
        <v>173</v>
      </c>
      <c r="C205" s="136"/>
    </row>
    <row r="206" spans="2:3">
      <c r="B206" s="135" t="s">
        <v>173</v>
      </c>
      <c r="C206" s="136"/>
    </row>
    <row r="208" spans="2:3">
      <c r="B208" s="133" t="s">
        <v>166</v>
      </c>
      <c r="C208" s="134"/>
    </row>
    <row r="209" spans="2:3">
      <c r="B209" s="135" t="s">
        <v>173</v>
      </c>
      <c r="C209" s="136"/>
    </row>
    <row r="210" spans="2:3">
      <c r="B210" s="135" t="s">
        <v>173</v>
      </c>
      <c r="C210" s="122"/>
    </row>
    <row r="211" spans="2:3">
      <c r="B211" s="135" t="s">
        <v>173</v>
      </c>
      <c r="C211" s="136"/>
    </row>
    <row r="212" spans="2:3">
      <c r="B212" s="135" t="s">
        <v>173</v>
      </c>
      <c r="C212" s="136"/>
    </row>
    <row r="213" spans="2:3">
      <c r="B213" s="135" t="s">
        <v>173</v>
      </c>
      <c r="C213" s="136"/>
    </row>
    <row r="214" spans="2:3">
      <c r="B214" s="135" t="s">
        <v>173</v>
      </c>
      <c r="C214" s="136"/>
    </row>
    <row r="215" spans="2:3">
      <c r="B215" s="135" t="s">
        <v>173</v>
      </c>
      <c r="C215" s="136"/>
    </row>
    <row r="216" spans="2:3">
      <c r="B216" s="135" t="s">
        <v>173</v>
      </c>
      <c r="C216" s="136"/>
    </row>
    <row r="217" spans="2:3">
      <c r="B217" s="135" t="s">
        <v>173</v>
      </c>
      <c r="C217" s="136"/>
    </row>
    <row r="218" spans="2:3">
      <c r="B218" s="135" t="s">
        <v>173</v>
      </c>
      <c r="C218" s="136"/>
    </row>
    <row r="219" spans="2:3">
      <c r="B219" s="137"/>
      <c r="C219" s="137"/>
    </row>
    <row r="220" spans="2:3">
      <c r="B220" s="133" t="s">
        <v>282</v>
      </c>
      <c r="C220" s="137"/>
    </row>
    <row r="221" spans="2:3">
      <c r="B221" s="135" t="s">
        <v>8</v>
      </c>
      <c r="C221" s="124">
        <f>'1.Input data Coal India'!E9</f>
        <v>143280</v>
      </c>
    </row>
    <row r="222" spans="2:3">
      <c r="B222" s="135" t="s">
        <v>173</v>
      </c>
      <c r="C222" s="122"/>
    </row>
    <row r="223" spans="2:3">
      <c r="B223" s="135" t="s">
        <v>173</v>
      </c>
      <c r="C223" s="136"/>
    </row>
    <row r="224" spans="2:3">
      <c r="B224" s="135" t="s">
        <v>173</v>
      </c>
      <c r="C224" s="136"/>
    </row>
    <row r="225" spans="2:3">
      <c r="B225" s="135" t="s">
        <v>173</v>
      </c>
      <c r="C225" s="136"/>
    </row>
    <row r="226" spans="2:3">
      <c r="B226" s="135" t="s">
        <v>173</v>
      </c>
      <c r="C226" s="136"/>
    </row>
    <row r="227" spans="2:3">
      <c r="B227" s="135" t="s">
        <v>173</v>
      </c>
      <c r="C227" s="136"/>
    </row>
    <row r="228" spans="2:3">
      <c r="B228" s="135" t="s">
        <v>173</v>
      </c>
      <c r="C228" s="136"/>
    </row>
    <row r="229" spans="2:3">
      <c r="B229" s="135" t="s">
        <v>173</v>
      </c>
      <c r="C229" s="136"/>
    </row>
    <row r="230" spans="2:3">
      <c r="B230" s="135" t="s">
        <v>173</v>
      </c>
      <c r="C230" s="136"/>
    </row>
    <row r="231" spans="2:3">
      <c r="B231" s="137"/>
      <c r="C231" s="137"/>
    </row>
    <row r="232" spans="2:3">
      <c r="B232" s="16" t="s">
        <v>283</v>
      </c>
      <c r="C232" s="137"/>
    </row>
    <row r="233" spans="2:3">
      <c r="B233" s="135" t="s">
        <v>8</v>
      </c>
      <c r="C233" s="124">
        <f>'1.Input data Coal India'!E10</f>
        <v>186192.7</v>
      </c>
    </row>
    <row r="234" spans="2:3">
      <c r="B234" s="135" t="s">
        <v>173</v>
      </c>
      <c r="C234" s="122"/>
    </row>
    <row r="235" spans="2:3">
      <c r="B235" s="135" t="s">
        <v>173</v>
      </c>
      <c r="C235" s="136"/>
    </row>
    <row r="236" spans="2:3">
      <c r="B236" s="135" t="s">
        <v>173</v>
      </c>
      <c r="C236" s="136"/>
    </row>
    <row r="237" spans="2:3">
      <c r="B237" s="135" t="s">
        <v>173</v>
      </c>
      <c r="C237" s="136"/>
    </row>
    <row r="238" spans="2:3">
      <c r="B238" s="135" t="s">
        <v>173</v>
      </c>
      <c r="C238" s="136"/>
    </row>
    <row r="239" spans="2:3">
      <c r="B239" s="135" t="s">
        <v>173</v>
      </c>
      <c r="C239" s="136"/>
    </row>
    <row r="240" spans="2:3">
      <c r="B240" s="135" t="s">
        <v>173</v>
      </c>
      <c r="C240" s="136"/>
    </row>
    <row r="241" spans="2:3">
      <c r="B241" s="135" t="s">
        <v>173</v>
      </c>
      <c r="C241" s="136"/>
    </row>
    <row r="242" spans="2:3">
      <c r="B242" s="135" t="s">
        <v>173</v>
      </c>
      <c r="C242" s="136"/>
    </row>
    <row r="243" spans="2:3">
      <c r="B243" s="137"/>
      <c r="C243" s="137"/>
    </row>
    <row r="244" spans="2:3">
      <c r="B244" s="133" t="s">
        <v>284</v>
      </c>
      <c r="C244" s="137"/>
    </row>
    <row r="245" spans="2:3">
      <c r="B245" s="135" t="s">
        <v>173</v>
      </c>
      <c r="C245" s="136"/>
    </row>
    <row r="246" spans="2:3">
      <c r="B246" s="135" t="s">
        <v>173</v>
      </c>
      <c r="C246" s="122"/>
    </row>
    <row r="247" spans="2:3">
      <c r="B247" s="135" t="s">
        <v>173</v>
      </c>
      <c r="C247" s="136"/>
    </row>
    <row r="248" spans="2:3">
      <c r="B248" s="135" t="s">
        <v>173</v>
      </c>
      <c r="C248" s="136"/>
    </row>
    <row r="249" spans="2:3">
      <c r="B249" s="135" t="s">
        <v>173</v>
      </c>
      <c r="C249" s="136"/>
    </row>
    <row r="250" spans="2:3">
      <c r="B250" s="135" t="s">
        <v>173</v>
      </c>
      <c r="C250" s="136"/>
    </row>
    <row r="251" spans="2:3">
      <c r="B251" s="135" t="s">
        <v>173</v>
      </c>
      <c r="C251" s="136"/>
    </row>
    <row r="252" spans="2:3">
      <c r="B252" s="135" t="s">
        <v>173</v>
      </c>
      <c r="C252" s="136"/>
    </row>
    <row r="253" spans="2:3">
      <c r="B253" s="135" t="s">
        <v>173</v>
      </c>
      <c r="C253" s="136"/>
    </row>
    <row r="254" spans="2:3">
      <c r="B254" s="135" t="s">
        <v>173</v>
      </c>
      <c r="C254" s="136"/>
    </row>
    <row r="255" spans="2:3">
      <c r="B255" s="137"/>
      <c r="C255" s="137"/>
    </row>
    <row r="256" spans="2:3">
      <c r="B256" s="133" t="s">
        <v>43</v>
      </c>
      <c r="C256" s="137"/>
    </row>
    <row r="257" spans="2:3">
      <c r="B257" s="135" t="s">
        <v>8</v>
      </c>
      <c r="C257" s="124">
        <f>'1.Input data Coal India'!E14</f>
        <v>102689.79999999999</v>
      </c>
    </row>
    <row r="258" spans="2:3">
      <c r="B258" s="135" t="s">
        <v>173</v>
      </c>
      <c r="C258" s="122"/>
    </row>
    <row r="259" spans="2:3">
      <c r="B259" s="135" t="s">
        <v>173</v>
      </c>
      <c r="C259" s="136"/>
    </row>
    <row r="260" spans="2:3">
      <c r="B260" s="135" t="s">
        <v>173</v>
      </c>
      <c r="C260" s="136"/>
    </row>
    <row r="261" spans="2:3">
      <c r="B261" s="135" t="s">
        <v>173</v>
      </c>
      <c r="C261" s="136"/>
    </row>
    <row r="262" spans="2:3">
      <c r="B262" s="135" t="s">
        <v>173</v>
      </c>
      <c r="C262" s="136"/>
    </row>
    <row r="263" spans="2:3">
      <c r="B263" s="135" t="s">
        <v>173</v>
      </c>
      <c r="C263" s="136"/>
    </row>
    <row r="264" spans="2:3">
      <c r="B264" s="135" t="s">
        <v>173</v>
      </c>
      <c r="C264" s="136"/>
    </row>
    <row r="265" spans="2:3">
      <c r="B265" s="135" t="s">
        <v>173</v>
      </c>
      <c r="C265" s="136"/>
    </row>
    <row r="266" spans="2:3">
      <c r="B266" s="135" t="s">
        <v>173</v>
      </c>
      <c r="C266" s="136"/>
    </row>
    <row r="267" spans="2:3">
      <c r="B267" s="137"/>
      <c r="C267" s="137"/>
    </row>
    <row r="268" spans="2:3">
      <c r="B268" s="133" t="s">
        <v>285</v>
      </c>
      <c r="C268" s="137"/>
    </row>
    <row r="269" spans="2:3">
      <c r="B269" s="135" t="s">
        <v>173</v>
      </c>
      <c r="C269" s="136"/>
    </row>
    <row r="270" spans="2:3">
      <c r="B270" s="135" t="s">
        <v>173</v>
      </c>
      <c r="C270" s="122"/>
    </row>
    <row r="271" spans="2:3">
      <c r="B271" s="135" t="s">
        <v>173</v>
      </c>
      <c r="C271" s="136"/>
    </row>
    <row r="272" spans="2:3">
      <c r="B272" s="135" t="s">
        <v>173</v>
      </c>
      <c r="C272" s="136"/>
    </row>
    <row r="273" spans="2:3">
      <c r="B273" s="135" t="s">
        <v>173</v>
      </c>
      <c r="C273" s="136"/>
    </row>
    <row r="274" spans="2:3">
      <c r="B274" s="135" t="s">
        <v>173</v>
      </c>
      <c r="C274" s="136"/>
    </row>
    <row r="275" spans="2:3">
      <c r="B275" s="135" t="s">
        <v>173</v>
      </c>
      <c r="C275" s="136"/>
    </row>
    <row r="276" spans="2:3">
      <c r="B276" s="135" t="s">
        <v>173</v>
      </c>
      <c r="C276" s="136"/>
    </row>
    <row r="277" spans="2:3">
      <c r="B277" s="135" t="s">
        <v>173</v>
      </c>
      <c r="C277" s="136"/>
    </row>
    <row r="278" spans="2:3">
      <c r="B278" s="135" t="s">
        <v>173</v>
      </c>
      <c r="C278" s="136"/>
    </row>
    <row r="279" spans="2:3">
      <c r="B279" s="137"/>
      <c r="C279" s="137"/>
    </row>
    <row r="280" spans="2:3">
      <c r="B280" s="133" t="s">
        <v>286</v>
      </c>
      <c r="C280" s="137"/>
    </row>
    <row r="281" spans="2:3">
      <c r="B281" s="135" t="s">
        <v>173</v>
      </c>
      <c r="C281" s="136"/>
    </row>
    <row r="282" spans="2:3">
      <c r="B282" s="135" t="s">
        <v>173</v>
      </c>
      <c r="C282" s="122"/>
    </row>
    <row r="283" spans="2:3">
      <c r="B283" s="135" t="s">
        <v>173</v>
      </c>
      <c r="C283" s="136"/>
    </row>
    <row r="284" spans="2:3">
      <c r="B284" s="135" t="s">
        <v>173</v>
      </c>
      <c r="C284" s="136"/>
    </row>
    <row r="285" spans="2:3">
      <c r="B285" s="135" t="s">
        <v>173</v>
      </c>
      <c r="C285" s="136"/>
    </row>
    <row r="286" spans="2:3">
      <c r="B286" s="135" t="s">
        <v>173</v>
      </c>
      <c r="C286" s="136"/>
    </row>
    <row r="287" spans="2:3">
      <c r="B287" s="135" t="s">
        <v>173</v>
      </c>
      <c r="C287" s="136"/>
    </row>
    <row r="288" spans="2:3">
      <c r="B288" s="135" t="s">
        <v>173</v>
      </c>
      <c r="C288" s="136"/>
    </row>
    <row r="289" spans="2:3">
      <c r="B289" s="135" t="s">
        <v>173</v>
      </c>
      <c r="C289" s="136"/>
    </row>
    <row r="290" spans="2:3">
      <c r="B290" s="135" t="s">
        <v>173</v>
      </c>
      <c r="C290" s="136"/>
    </row>
    <row r="292" spans="2:3">
      <c r="B292" s="133" t="s">
        <v>287</v>
      </c>
      <c r="C292" s="137"/>
    </row>
    <row r="293" spans="2:3">
      <c r="B293" s="135" t="s">
        <v>173</v>
      </c>
      <c r="C293" s="136"/>
    </row>
    <row r="294" spans="2:3">
      <c r="B294" s="135" t="s">
        <v>173</v>
      </c>
      <c r="C294" s="122"/>
    </row>
    <row r="295" spans="2:3">
      <c r="B295" s="135" t="s">
        <v>173</v>
      </c>
      <c r="C295" s="136"/>
    </row>
    <row r="296" spans="2:3">
      <c r="B296" s="135" t="s">
        <v>173</v>
      </c>
      <c r="C296" s="136"/>
    </row>
    <row r="297" spans="2:3">
      <c r="B297" s="135" t="s">
        <v>173</v>
      </c>
      <c r="C297" s="136"/>
    </row>
    <row r="298" spans="2:3">
      <c r="B298" s="135" t="s">
        <v>173</v>
      </c>
      <c r="C298" s="136"/>
    </row>
    <row r="299" spans="2:3">
      <c r="B299" s="135" t="s">
        <v>173</v>
      </c>
      <c r="C299" s="136"/>
    </row>
    <row r="300" spans="2:3">
      <c r="B300" s="135" t="s">
        <v>173</v>
      </c>
      <c r="C300" s="136"/>
    </row>
    <row r="301" spans="2:3">
      <c r="B301" s="135" t="s">
        <v>173</v>
      </c>
      <c r="C301" s="136"/>
    </row>
    <row r="302" spans="2:3">
      <c r="B302" s="135" t="s">
        <v>173</v>
      </c>
      <c r="C302" s="136"/>
    </row>
    <row r="304" spans="2:3">
      <c r="B304" s="133" t="s">
        <v>288</v>
      </c>
      <c r="C304" s="137"/>
    </row>
    <row r="305" spans="2:3">
      <c r="B305" s="135" t="s">
        <v>173</v>
      </c>
      <c r="C305" s="136"/>
    </row>
    <row r="306" spans="2:3">
      <c r="B306" s="135" t="s">
        <v>173</v>
      </c>
      <c r="C306" s="122"/>
    </row>
    <row r="307" spans="2:3">
      <c r="B307" s="135" t="s">
        <v>173</v>
      </c>
      <c r="C307" s="136"/>
    </row>
    <row r="308" spans="2:3">
      <c r="B308" s="135" t="s">
        <v>173</v>
      </c>
      <c r="C308" s="136"/>
    </row>
    <row r="309" spans="2:3">
      <c r="B309" s="135" t="s">
        <v>173</v>
      </c>
      <c r="C309" s="136"/>
    </row>
    <row r="310" spans="2:3">
      <c r="B310" s="135" t="s">
        <v>173</v>
      </c>
      <c r="C310" s="136"/>
    </row>
    <row r="311" spans="2:3">
      <c r="B311" s="135" t="s">
        <v>173</v>
      </c>
      <c r="C311" s="136"/>
    </row>
    <row r="312" spans="2:3">
      <c r="B312" s="135" t="s">
        <v>173</v>
      </c>
      <c r="C312" s="136"/>
    </row>
    <row r="313" spans="2:3">
      <c r="B313" s="135" t="s">
        <v>173</v>
      </c>
      <c r="C313" s="136"/>
    </row>
    <row r="314" spans="2:3">
      <c r="B314" s="135" t="s">
        <v>173</v>
      </c>
      <c r="C314" s="13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2A8F-F51D-4D3A-8BD4-2FF6DC0369E4}">
  <sheetPr codeName="Sheet10"/>
  <dimension ref="B1:AM58"/>
  <sheetViews>
    <sheetView showGridLines="0" zoomScale="70" zoomScaleNormal="80" workbookViewId="0">
      <selection activeCell="C51" sqref="C51"/>
    </sheetView>
  </sheetViews>
  <sheetFormatPr defaultColWidth="8.85546875" defaultRowHeight="14.45"/>
  <cols>
    <col min="2" max="2" width="23.5703125" bestFit="1" customWidth="1"/>
    <col min="3" max="3" width="22.42578125" customWidth="1"/>
    <col min="4" max="4" width="40.5703125" bestFit="1" customWidth="1"/>
    <col min="5" max="5" width="31.5703125" bestFit="1" customWidth="1"/>
    <col min="6" max="6" width="36.140625" customWidth="1"/>
    <col min="7" max="7" width="24.5703125" customWidth="1"/>
    <col min="8" max="8" width="18.85546875" customWidth="1"/>
    <col min="9" max="9" width="12.5703125" customWidth="1"/>
    <col min="10" max="10" width="14.85546875" customWidth="1"/>
    <col min="11" max="36" width="12.5703125" bestFit="1" customWidth="1"/>
  </cols>
  <sheetData>
    <row r="1" spans="2:10">
      <c r="B1" s="38" t="s">
        <v>206</v>
      </c>
      <c r="C1" s="38" t="s">
        <v>207</v>
      </c>
      <c r="D1" s="38" t="s">
        <v>208</v>
      </c>
      <c r="E1" s="38" t="s">
        <v>209</v>
      </c>
      <c r="F1" s="38" t="s">
        <v>210</v>
      </c>
    </row>
    <row r="2" spans="2:10">
      <c r="B2" s="37" t="s">
        <v>211</v>
      </c>
      <c r="C2" s="37">
        <v>1</v>
      </c>
      <c r="D2" s="37"/>
      <c r="E2" s="71"/>
      <c r="F2" s="37"/>
    </row>
    <row r="3" spans="2:10">
      <c r="B3" s="72" t="s">
        <v>87</v>
      </c>
      <c r="C3" s="73">
        <v>0.35</v>
      </c>
      <c r="D3" s="74"/>
      <c r="E3" s="75"/>
      <c r="F3" s="35" t="s">
        <v>212</v>
      </c>
    </row>
    <row r="4" spans="2:10">
      <c r="B4" s="72" t="s">
        <v>104</v>
      </c>
      <c r="C4" s="76">
        <v>12955</v>
      </c>
      <c r="D4" s="77">
        <f>C4*10</f>
        <v>129550</v>
      </c>
      <c r="E4" s="71">
        <f>D4/$C$2</f>
        <v>129550</v>
      </c>
      <c r="F4" s="78"/>
      <c r="I4" s="143"/>
    </row>
    <row r="5" spans="2:10">
      <c r="B5" s="72" t="s">
        <v>105</v>
      </c>
      <c r="C5" s="79">
        <v>3912</v>
      </c>
      <c r="D5" s="77">
        <f t="shared" ref="D5:D17" si="0">C5*10</f>
        <v>39120</v>
      </c>
      <c r="E5" s="71">
        <f t="shared" ref="E5:E17" si="1">D5/$C$2</f>
        <v>39120</v>
      </c>
      <c r="F5" s="35" t="s">
        <v>213</v>
      </c>
      <c r="H5" s="86"/>
      <c r="I5" s="144"/>
    </row>
    <row r="6" spans="2:10" ht="43.5">
      <c r="B6" s="72" t="s">
        <v>107</v>
      </c>
      <c r="C6" s="81">
        <v>2492.31</v>
      </c>
      <c r="D6" s="77">
        <f t="shared" si="0"/>
        <v>24923.1</v>
      </c>
      <c r="E6" s="71">
        <f t="shared" si="1"/>
        <v>24923.1</v>
      </c>
      <c r="F6" s="82" t="s">
        <v>214</v>
      </c>
      <c r="G6" s="83"/>
      <c r="I6" s="144"/>
    </row>
    <row r="7" spans="2:10" ht="29.1">
      <c r="B7" s="72" t="s">
        <v>109</v>
      </c>
      <c r="C7" s="81">
        <v>2479.7800000000002</v>
      </c>
      <c r="D7" s="77">
        <f t="shared" si="0"/>
        <v>24797.800000000003</v>
      </c>
      <c r="E7" s="71">
        <f t="shared" si="1"/>
        <v>24797.800000000003</v>
      </c>
      <c r="F7" s="84" t="s">
        <v>215</v>
      </c>
      <c r="I7" s="86"/>
    </row>
    <row r="8" spans="2:10">
      <c r="B8" s="72" t="s">
        <v>110</v>
      </c>
      <c r="C8" s="81">
        <v>755.63</v>
      </c>
      <c r="D8" s="77">
        <f t="shared" si="0"/>
        <v>7556.3</v>
      </c>
      <c r="E8" s="71">
        <f t="shared" si="1"/>
        <v>7556.3</v>
      </c>
      <c r="F8" s="35" t="s">
        <v>216</v>
      </c>
      <c r="H8" s="187"/>
      <c r="I8" s="187"/>
    </row>
    <row r="9" spans="2:10">
      <c r="B9" s="72" t="s">
        <v>117</v>
      </c>
      <c r="C9" s="79">
        <v>208</v>
      </c>
      <c r="D9" s="77">
        <f>C9*10</f>
        <v>2080</v>
      </c>
      <c r="E9" s="71">
        <f t="shared" si="1"/>
        <v>2080</v>
      </c>
      <c r="F9" s="35" t="s">
        <v>217</v>
      </c>
      <c r="H9" s="187"/>
      <c r="I9" s="187"/>
    </row>
    <row r="10" spans="2:10">
      <c r="B10" s="72" t="s">
        <v>118</v>
      </c>
      <c r="C10" s="76">
        <v>1540.08</v>
      </c>
      <c r="D10" s="77">
        <f t="shared" si="0"/>
        <v>15400.8</v>
      </c>
      <c r="E10" s="71">
        <f t="shared" si="1"/>
        <v>15400.8</v>
      </c>
      <c r="F10" s="35" t="s">
        <v>218</v>
      </c>
      <c r="I10" s="83"/>
    </row>
    <row r="11" spans="2:10">
      <c r="B11" s="72" t="s">
        <v>119</v>
      </c>
      <c r="C11" s="79">
        <v>14638.86</v>
      </c>
      <c r="D11" s="77">
        <f t="shared" si="0"/>
        <v>146388.6</v>
      </c>
      <c r="E11" s="71">
        <f t="shared" si="1"/>
        <v>146388.6</v>
      </c>
      <c r="F11" s="35"/>
      <c r="H11" s="69"/>
      <c r="I11" s="145"/>
    </row>
    <row r="12" spans="2:10">
      <c r="B12" s="72" t="s">
        <v>120</v>
      </c>
      <c r="C12" s="79">
        <v>3406.85</v>
      </c>
      <c r="D12" s="77">
        <f t="shared" si="0"/>
        <v>34068.5</v>
      </c>
      <c r="E12" s="71">
        <f t="shared" si="1"/>
        <v>34068.5</v>
      </c>
      <c r="F12" s="35"/>
    </row>
    <row r="13" spans="2:10">
      <c r="B13" s="72" t="s">
        <v>122</v>
      </c>
      <c r="C13" s="79">
        <v>6085.74</v>
      </c>
      <c r="D13" s="77">
        <f t="shared" si="0"/>
        <v>60857.399999999994</v>
      </c>
      <c r="E13" s="71">
        <f t="shared" si="1"/>
        <v>60857.399999999994</v>
      </c>
      <c r="F13" s="35"/>
    </row>
    <row r="14" spans="2:10">
      <c r="B14" s="85" t="s">
        <v>126</v>
      </c>
      <c r="C14" s="79">
        <v>1386.64</v>
      </c>
      <c r="D14" s="77">
        <f t="shared" si="0"/>
        <v>13866.400000000001</v>
      </c>
      <c r="E14" s="71">
        <f t="shared" si="1"/>
        <v>13866.400000000001</v>
      </c>
      <c r="F14" s="35" t="s">
        <v>219</v>
      </c>
      <c r="I14" s="140"/>
      <c r="J14" s="140"/>
    </row>
    <row r="15" spans="2:10">
      <c r="B15" s="72" t="s">
        <v>123</v>
      </c>
      <c r="C15" s="79">
        <v>3078.99</v>
      </c>
      <c r="D15" s="77">
        <f t="shared" si="0"/>
        <v>30789.899999999998</v>
      </c>
      <c r="E15" s="71">
        <f t="shared" si="1"/>
        <v>30789.899999999998</v>
      </c>
      <c r="F15" s="35" t="s">
        <v>220</v>
      </c>
      <c r="I15" s="140"/>
    </row>
    <row r="16" spans="2:10">
      <c r="B16" s="72" t="s">
        <v>221</v>
      </c>
      <c r="C16" s="79">
        <v>1248.24</v>
      </c>
      <c r="D16" s="77">
        <f t="shared" si="0"/>
        <v>12482.4</v>
      </c>
      <c r="E16" s="71">
        <f t="shared" si="1"/>
        <v>12482.4</v>
      </c>
      <c r="F16" s="35"/>
      <c r="I16" s="141"/>
    </row>
    <row r="17" spans="2:39">
      <c r="B17" s="72" t="s">
        <v>222</v>
      </c>
      <c r="C17" s="79">
        <v>12955</v>
      </c>
      <c r="D17" s="77">
        <f t="shared" si="0"/>
        <v>129550</v>
      </c>
      <c r="E17" s="71">
        <f t="shared" si="1"/>
        <v>129550</v>
      </c>
      <c r="F17" s="35"/>
      <c r="G17" s="86"/>
      <c r="I17" s="142"/>
    </row>
    <row r="18" spans="2:39">
      <c r="B18" s="72" t="s">
        <v>55</v>
      </c>
      <c r="C18" s="73">
        <v>1248.22</v>
      </c>
      <c r="D18" s="74"/>
      <c r="E18" s="75"/>
      <c r="F18" s="35" t="s">
        <v>223</v>
      </c>
    </row>
    <row r="20" spans="2:39">
      <c r="B20" s="70" t="s">
        <v>224</v>
      </c>
      <c r="C20" s="35"/>
      <c r="D20" s="87" t="s">
        <v>225</v>
      </c>
      <c r="E20" s="87" t="s">
        <v>226</v>
      </c>
      <c r="F20" s="87" t="s">
        <v>227</v>
      </c>
    </row>
    <row r="21" spans="2:39">
      <c r="B21" s="37" t="s">
        <v>228</v>
      </c>
      <c r="C21" s="79"/>
      <c r="D21" s="88"/>
      <c r="E21" s="89"/>
      <c r="F21" s="86"/>
      <c r="G21" s="86"/>
    </row>
    <row r="22" spans="2:39">
      <c r="B22" s="37" t="s">
        <v>229</v>
      </c>
      <c r="C22" s="79">
        <v>253.2</v>
      </c>
      <c r="D22" s="88">
        <f>(C22+C21)/E4</f>
        <v>1.9544577383249708E-3</v>
      </c>
      <c r="E22" s="80"/>
    </row>
    <row r="23" spans="2:39">
      <c r="B23" s="37" t="s">
        <v>230</v>
      </c>
      <c r="C23" s="80"/>
      <c r="D23" s="80"/>
      <c r="E23" s="90">
        <f>C23/E4</f>
        <v>0</v>
      </c>
    </row>
    <row r="25" spans="2:39">
      <c r="B25" s="91" t="s">
        <v>231</v>
      </c>
      <c r="C25" s="91" t="s">
        <v>232</v>
      </c>
      <c r="D25" s="91" t="s">
        <v>233</v>
      </c>
      <c r="E25" s="91" t="s">
        <v>234</v>
      </c>
      <c r="F25" s="91">
        <v>2022</v>
      </c>
      <c r="G25" s="91">
        <v>2023</v>
      </c>
      <c r="H25" s="91">
        <v>2024</v>
      </c>
      <c r="I25" s="91">
        <v>2025</v>
      </c>
      <c r="J25" s="91">
        <v>2026</v>
      </c>
      <c r="K25" s="91">
        <v>2027</v>
      </c>
      <c r="L25" s="91">
        <v>2028</v>
      </c>
      <c r="M25" s="91">
        <v>2029</v>
      </c>
      <c r="N25" s="91">
        <v>2030</v>
      </c>
      <c r="O25" s="91">
        <v>2031</v>
      </c>
      <c r="P25" s="91">
        <v>2032</v>
      </c>
      <c r="Q25" s="91">
        <v>2033</v>
      </c>
      <c r="R25" s="91">
        <v>2034</v>
      </c>
      <c r="S25" s="91">
        <v>2035</v>
      </c>
      <c r="T25" s="91">
        <v>2036</v>
      </c>
      <c r="U25" s="91">
        <v>2037</v>
      </c>
      <c r="V25" s="91">
        <v>2038</v>
      </c>
      <c r="W25" s="91">
        <v>2039</v>
      </c>
      <c r="X25" s="91">
        <v>2040</v>
      </c>
      <c r="Y25" s="91">
        <v>2041</v>
      </c>
      <c r="Z25" s="91">
        <v>2042</v>
      </c>
      <c r="AA25" s="91">
        <v>2043</v>
      </c>
      <c r="AB25" s="91">
        <v>2044</v>
      </c>
      <c r="AC25" s="91">
        <v>2045</v>
      </c>
      <c r="AD25" s="91">
        <v>2046</v>
      </c>
      <c r="AE25" s="91">
        <v>2047</v>
      </c>
      <c r="AF25" s="91">
        <v>2048</v>
      </c>
      <c r="AG25" s="91">
        <v>2049</v>
      </c>
      <c r="AH25" s="91">
        <v>2050</v>
      </c>
      <c r="AI25" s="91">
        <v>2051</v>
      </c>
      <c r="AJ25" s="91">
        <v>2052</v>
      </c>
      <c r="AK25" s="91">
        <v>2053</v>
      </c>
      <c r="AL25" s="91">
        <v>2054</v>
      </c>
      <c r="AM25" s="91">
        <v>2055</v>
      </c>
    </row>
    <row r="26" spans="2:39">
      <c r="B26" s="92" t="s">
        <v>235</v>
      </c>
      <c r="C26" s="92" t="s">
        <v>236</v>
      </c>
      <c r="D26" s="92" t="s">
        <v>33</v>
      </c>
      <c r="E26" s="92" t="s">
        <v>237</v>
      </c>
      <c r="F26" s="93">
        <v>13.458131390376399</v>
      </c>
      <c r="G26" s="93">
        <v>19.633335781323598</v>
      </c>
      <c r="H26" s="93">
        <v>25.808540172270799</v>
      </c>
      <c r="I26" s="93">
        <v>31.983744563218</v>
      </c>
      <c r="J26" s="93">
        <v>33.368109551101597</v>
      </c>
      <c r="K26" s="93">
        <v>34.752474538985197</v>
      </c>
      <c r="L26" s="93">
        <v>36.136839526868798</v>
      </c>
      <c r="M26" s="93">
        <v>37.521204514752398</v>
      </c>
      <c r="N26" s="93">
        <v>38.905569502635991</v>
      </c>
      <c r="O26" s="93">
        <v>41.067194329817596</v>
      </c>
      <c r="P26" s="93">
        <v>43.228819156999201</v>
      </c>
      <c r="Q26" s="93">
        <v>45.390443984180806</v>
      </c>
      <c r="R26" s="93">
        <v>47.55206881136241</v>
      </c>
      <c r="S26" s="93">
        <v>49.713693638544001</v>
      </c>
      <c r="T26" s="93">
        <v>52.840679425011601</v>
      </c>
      <c r="U26" s="93">
        <v>55.967665211479201</v>
      </c>
      <c r="V26" s="93">
        <v>59.0946509979468</v>
      </c>
      <c r="W26" s="93">
        <v>62.2216367844144</v>
      </c>
      <c r="X26" s="93">
        <v>65.348622570882</v>
      </c>
      <c r="Y26" s="93">
        <v>69.779332531809203</v>
      </c>
      <c r="Z26" s="93">
        <v>74.210042492736406</v>
      </c>
      <c r="AA26" s="93">
        <v>78.640752453663609</v>
      </c>
      <c r="AB26" s="93">
        <v>83.071462414590812</v>
      </c>
      <c r="AC26" s="93">
        <v>87.502172375517986</v>
      </c>
      <c r="AD26" s="93">
        <v>93.495521084597186</v>
      </c>
      <c r="AE26" s="93">
        <v>99.488869793676386</v>
      </c>
      <c r="AF26" s="93">
        <v>105.48221850275559</v>
      </c>
      <c r="AG26" s="93">
        <v>111.47556721183479</v>
      </c>
      <c r="AH26" s="93">
        <v>117.468915920914</v>
      </c>
      <c r="AI26" s="35">
        <v>119.98010959525161</v>
      </c>
      <c r="AJ26" s="35">
        <v>122.49130326958921</v>
      </c>
      <c r="AK26" s="35">
        <v>125.00249694392681</v>
      </c>
      <c r="AL26" s="35">
        <v>127.51369061826442</v>
      </c>
      <c r="AM26" s="35">
        <v>130.024884292602</v>
      </c>
    </row>
    <row r="27" spans="2:39">
      <c r="B27" s="92" t="s">
        <v>235</v>
      </c>
      <c r="C27" s="92" t="s">
        <v>236</v>
      </c>
      <c r="D27" s="92" t="s">
        <v>34</v>
      </c>
      <c r="E27" s="92" t="s">
        <v>237</v>
      </c>
      <c r="F27" s="93">
        <v>1.2274021734379998</v>
      </c>
      <c r="G27" s="93">
        <v>1.2872419559159998</v>
      </c>
      <c r="H27" s="93">
        <v>1.3470817383939997</v>
      </c>
      <c r="I27" s="93">
        <v>1.4069215208720001</v>
      </c>
      <c r="J27" s="93">
        <v>1.4762026156796</v>
      </c>
      <c r="K27" s="93">
        <v>1.5454837104871999</v>
      </c>
      <c r="L27" s="93">
        <v>1.6147648052947998</v>
      </c>
      <c r="M27" s="93">
        <v>1.6840459001023997</v>
      </c>
      <c r="N27" s="93">
        <v>1.7533269949100001</v>
      </c>
      <c r="O27" s="93">
        <v>1.8328976871844</v>
      </c>
      <c r="P27" s="93">
        <v>1.9124683794588</v>
      </c>
      <c r="Q27" s="93">
        <v>1.9920390717331999</v>
      </c>
      <c r="R27" s="93">
        <v>2.0716097640075999</v>
      </c>
      <c r="S27" s="93">
        <v>2.1511804562819998</v>
      </c>
      <c r="T27" s="93">
        <v>2.2421281479167998</v>
      </c>
      <c r="U27" s="93">
        <v>2.3330758395515998</v>
      </c>
      <c r="V27" s="93">
        <v>2.4240235311863998</v>
      </c>
      <c r="W27" s="93">
        <v>2.5149712228211998</v>
      </c>
      <c r="X27" s="93">
        <v>2.6059189144560002</v>
      </c>
      <c r="Y27" s="93">
        <v>2.7092753544872004</v>
      </c>
      <c r="Z27" s="93">
        <v>2.8126317945184005</v>
      </c>
      <c r="AA27" s="93">
        <v>2.9159882345496007</v>
      </c>
      <c r="AB27" s="93">
        <v>3.0193446745808008</v>
      </c>
      <c r="AC27" s="93">
        <v>3.1227011146120001</v>
      </c>
      <c r="AD27" s="93">
        <v>3.2396168904228002</v>
      </c>
      <c r="AE27" s="93">
        <v>3.3565326662336004</v>
      </c>
      <c r="AF27" s="93">
        <v>3.4734484420444005</v>
      </c>
      <c r="AG27" s="93">
        <v>3.5903642178552007</v>
      </c>
      <c r="AH27" s="93">
        <v>3.7072799936659999</v>
      </c>
      <c r="AI27" s="35">
        <v>3.8390105513079997</v>
      </c>
      <c r="AJ27" s="35">
        <v>3.9707411089499995</v>
      </c>
      <c r="AK27" s="35">
        <v>4.1024716665919998</v>
      </c>
      <c r="AL27" s="35">
        <v>4.2342022242340001</v>
      </c>
      <c r="AM27" s="35">
        <v>4.3659327818759994</v>
      </c>
    </row>
    <row r="28" spans="2:39">
      <c r="B28" s="92" t="s">
        <v>235</v>
      </c>
      <c r="C28" s="92" t="s">
        <v>236</v>
      </c>
      <c r="D28" s="92" t="s">
        <v>19</v>
      </c>
      <c r="E28" s="92" t="s">
        <v>237</v>
      </c>
      <c r="F28" s="93">
        <v>1.2273726189348</v>
      </c>
      <c r="G28" s="93">
        <v>1.2871976241612</v>
      </c>
      <c r="H28" s="93">
        <v>1.3470226293876</v>
      </c>
      <c r="I28" s="93">
        <v>1.406847634614</v>
      </c>
      <c r="J28" s="93">
        <v>1.4761205986099999</v>
      </c>
      <c r="K28" s="93">
        <v>1.5453935626059998</v>
      </c>
      <c r="L28" s="93">
        <v>1.6146665266019997</v>
      </c>
      <c r="M28" s="93">
        <v>1.6839394905979996</v>
      </c>
      <c r="N28" s="93">
        <v>1.753212454594</v>
      </c>
      <c r="O28" s="93">
        <v>16.179528256277997</v>
      </c>
      <c r="P28" s="93">
        <v>30.605844057961995</v>
      </c>
      <c r="Q28" s="93">
        <v>45.032159859645994</v>
      </c>
      <c r="R28" s="93">
        <v>59.458475661329992</v>
      </c>
      <c r="S28" s="93">
        <v>73.884791463013997</v>
      </c>
      <c r="T28" s="93">
        <v>83.243135617449994</v>
      </c>
      <c r="U28" s="93">
        <v>92.601479771885991</v>
      </c>
      <c r="V28" s="93">
        <v>101.95982392632199</v>
      </c>
      <c r="W28" s="93">
        <v>111.31816808075799</v>
      </c>
      <c r="X28" s="93">
        <v>120.676512235194</v>
      </c>
      <c r="Y28" s="93">
        <v>133.572178825994</v>
      </c>
      <c r="Z28" s="93">
        <v>146.46784541679401</v>
      </c>
      <c r="AA28" s="93">
        <v>159.36351200759401</v>
      </c>
      <c r="AB28" s="93">
        <v>172.25917859839402</v>
      </c>
      <c r="AC28" s="93">
        <v>185.15484518919399</v>
      </c>
      <c r="AD28" s="93">
        <v>200.136609963474</v>
      </c>
      <c r="AE28" s="93">
        <v>215.11837473775401</v>
      </c>
      <c r="AF28" s="93">
        <v>230.10013951203402</v>
      </c>
      <c r="AG28" s="93">
        <v>245.08190428631403</v>
      </c>
      <c r="AH28" s="93">
        <v>260.06366906059401</v>
      </c>
      <c r="AI28" s="35">
        <v>270.47673826300161</v>
      </c>
      <c r="AJ28" s="35">
        <v>280.88980746540921</v>
      </c>
      <c r="AK28" s="35">
        <v>291.3028766678168</v>
      </c>
      <c r="AL28" s="35">
        <v>301.7159458702244</v>
      </c>
      <c r="AM28" s="35">
        <v>312.12901507263189</v>
      </c>
    </row>
    <row r="29" spans="2:39">
      <c r="B29" s="92" t="s">
        <v>235</v>
      </c>
      <c r="C29" s="92" t="s">
        <v>236</v>
      </c>
      <c r="D29" s="92" t="s">
        <v>238</v>
      </c>
      <c r="E29" s="92" t="s">
        <v>237</v>
      </c>
      <c r="F29" s="93">
        <v>1.2273726189348</v>
      </c>
      <c r="G29" s="93">
        <v>1.2871976241612</v>
      </c>
      <c r="H29" s="93">
        <v>1.3470226293876</v>
      </c>
      <c r="I29" s="93">
        <v>1.406847634614</v>
      </c>
      <c r="J29" s="93">
        <v>1.4761205986099999</v>
      </c>
      <c r="K29" s="93">
        <v>1.5453935626059998</v>
      </c>
      <c r="L29" s="93">
        <v>1.6146665266019997</v>
      </c>
      <c r="M29" s="93">
        <v>1.6839394905979996</v>
      </c>
      <c r="N29" s="93">
        <v>1.753212454594</v>
      </c>
      <c r="O29" s="93">
        <v>17.616792503824399</v>
      </c>
      <c r="P29" s="93">
        <v>33.480372553054799</v>
      </c>
      <c r="Q29" s="93">
        <v>49.343952602285199</v>
      </c>
      <c r="R29" s="93">
        <v>65.207532651515592</v>
      </c>
      <c r="S29" s="93">
        <v>81.071112700745999</v>
      </c>
      <c r="T29" s="93">
        <v>86.933679432099993</v>
      </c>
      <c r="U29" s="93">
        <v>92.796246163453986</v>
      </c>
      <c r="V29" s="93">
        <v>98.65881289480798</v>
      </c>
      <c r="W29" s="93">
        <v>104.52137962616197</v>
      </c>
      <c r="X29" s="93">
        <v>110.383946357516</v>
      </c>
      <c r="Y29" s="93">
        <v>117.24192417638679</v>
      </c>
      <c r="Z29" s="93">
        <v>124.09990199525758</v>
      </c>
      <c r="AA29" s="93">
        <v>130.95787981412838</v>
      </c>
      <c r="AB29" s="93">
        <v>137.81585763299918</v>
      </c>
      <c r="AC29" s="93">
        <v>144.67383545186999</v>
      </c>
      <c r="AD29" s="93">
        <v>151.8096594976648</v>
      </c>
      <c r="AE29" s="93">
        <v>158.9454835434596</v>
      </c>
      <c r="AF29" s="93">
        <v>166.08130758925441</v>
      </c>
      <c r="AG29" s="93">
        <v>173.21713163504921</v>
      </c>
      <c r="AH29" s="93">
        <v>180.35295568084399</v>
      </c>
      <c r="AI29" s="35">
        <v>187.9392293700096</v>
      </c>
      <c r="AJ29" s="35">
        <v>195.52550305917521</v>
      </c>
      <c r="AK29" s="35">
        <v>203.11177674834082</v>
      </c>
      <c r="AL29" s="35">
        <v>210.69805043750642</v>
      </c>
      <c r="AM29" s="35">
        <v>218.284324126672</v>
      </c>
    </row>
    <row r="30" spans="2:39">
      <c r="B30" s="92" t="s">
        <v>235</v>
      </c>
      <c r="C30" s="92" t="s">
        <v>236</v>
      </c>
      <c r="D30" s="92" t="s">
        <v>35</v>
      </c>
      <c r="E30" s="92" t="s">
        <v>237</v>
      </c>
      <c r="F30" s="93">
        <v>6.5387898932644006</v>
      </c>
      <c r="G30" s="93">
        <v>9.2543235356556011</v>
      </c>
      <c r="H30" s="93">
        <v>11.969857178046801</v>
      </c>
      <c r="I30" s="93">
        <v>14.685390820438</v>
      </c>
      <c r="J30" s="93">
        <v>17.400866528027198</v>
      </c>
      <c r="K30" s="93">
        <v>20.116342235616397</v>
      </c>
      <c r="L30" s="93">
        <v>22.831817943205596</v>
      </c>
      <c r="M30" s="93">
        <v>25.547293650794796</v>
      </c>
      <c r="N30" s="93">
        <v>28.262769358383991</v>
      </c>
      <c r="O30" s="93">
        <v>28.776114485022791</v>
      </c>
      <c r="P30" s="93">
        <v>29.289459611661592</v>
      </c>
      <c r="Q30" s="93">
        <v>29.802804738300392</v>
      </c>
      <c r="R30" s="93">
        <v>30.316149864939192</v>
      </c>
      <c r="S30" s="93">
        <v>30.829494991577999</v>
      </c>
      <c r="T30" s="93">
        <v>31.388516204125999</v>
      </c>
      <c r="U30" s="93">
        <v>31.947537416673999</v>
      </c>
      <c r="V30" s="93">
        <v>32.506558629221999</v>
      </c>
      <c r="W30" s="93">
        <v>33.065579841769996</v>
      </c>
      <c r="X30" s="93">
        <v>33.624601054317992</v>
      </c>
      <c r="Y30" s="93">
        <v>34.232998470232793</v>
      </c>
      <c r="Z30" s="93">
        <v>34.841395886147595</v>
      </c>
      <c r="AA30" s="93">
        <v>35.449793302062396</v>
      </c>
      <c r="AB30" s="93">
        <v>36.058190717977197</v>
      </c>
      <c r="AC30" s="93">
        <v>36.666588133891999</v>
      </c>
      <c r="AD30" s="93">
        <v>37.328936985231202</v>
      </c>
      <c r="AE30" s="93">
        <v>37.991285836570405</v>
      </c>
      <c r="AF30" s="93">
        <v>38.653634687909609</v>
      </c>
      <c r="AG30" s="93">
        <v>39.315983539248812</v>
      </c>
      <c r="AH30" s="93">
        <v>39.978332390588022</v>
      </c>
      <c r="AI30" s="35">
        <v>40.699253858464417</v>
      </c>
      <c r="AJ30" s="35">
        <v>41.420175326340811</v>
      </c>
      <c r="AK30" s="35">
        <v>42.141096794217205</v>
      </c>
      <c r="AL30" s="35">
        <v>42.862018262093599</v>
      </c>
      <c r="AM30" s="35">
        <v>43.582939729970008</v>
      </c>
    </row>
    <row r="31" spans="2:39">
      <c r="B31" s="92" t="s">
        <v>235</v>
      </c>
      <c r="C31" s="92" t="s">
        <v>236</v>
      </c>
      <c r="D31" s="92" t="s">
        <v>25</v>
      </c>
      <c r="E31" s="92" t="s">
        <v>237</v>
      </c>
      <c r="F31" s="93">
        <v>25.389440745104398</v>
      </c>
      <c r="G31" s="93">
        <v>37.530299813415596</v>
      </c>
      <c r="H31" s="93">
        <v>49.671158881726797</v>
      </c>
      <c r="I31" s="93">
        <v>61.812017950037998</v>
      </c>
      <c r="J31" s="93">
        <v>67.143963640499592</v>
      </c>
      <c r="K31" s="93">
        <v>72.475909330961187</v>
      </c>
      <c r="L31" s="93">
        <v>77.807855021422782</v>
      </c>
      <c r="M31" s="93">
        <v>83.139800711884376</v>
      </c>
      <c r="N31" s="93">
        <v>88.471746402346</v>
      </c>
      <c r="O31" s="93">
        <v>98.112007994063603</v>
      </c>
      <c r="P31" s="93">
        <v>107.75226958578121</v>
      </c>
      <c r="Q31" s="93">
        <v>117.39253117749881</v>
      </c>
      <c r="R31" s="93">
        <v>127.03279276921641</v>
      </c>
      <c r="S31" s="93">
        <v>136.673054360934</v>
      </c>
      <c r="T31" s="93">
        <v>152.3950284390416</v>
      </c>
      <c r="U31" s="93">
        <v>168.11700251714919</v>
      </c>
      <c r="V31" s="93">
        <v>183.83897659525678</v>
      </c>
      <c r="W31" s="93">
        <v>199.56095067336437</v>
      </c>
      <c r="X31" s="93">
        <v>215.282924751472</v>
      </c>
      <c r="Y31" s="93">
        <v>238.91711118915001</v>
      </c>
      <c r="Z31" s="93">
        <v>262.55129762682799</v>
      </c>
      <c r="AA31" s="93">
        <v>286.185484064506</v>
      </c>
      <c r="AB31" s="93">
        <v>309.81967050218401</v>
      </c>
      <c r="AC31" s="93">
        <v>333.45385693986202</v>
      </c>
      <c r="AD31" s="93">
        <v>366.77473710987164</v>
      </c>
      <c r="AE31" s="93">
        <v>400.09561727988125</v>
      </c>
      <c r="AF31" s="93">
        <v>433.41649744989087</v>
      </c>
      <c r="AG31" s="93">
        <v>466.73737761990049</v>
      </c>
      <c r="AH31" s="93">
        <v>500.05825778990999</v>
      </c>
      <c r="AI31" s="35">
        <v>507.33038259626483</v>
      </c>
      <c r="AJ31" s="35">
        <v>514.60250740261961</v>
      </c>
      <c r="AK31" s="35">
        <v>521.87463220897439</v>
      </c>
      <c r="AL31" s="35">
        <v>529.14675701532917</v>
      </c>
      <c r="AM31" s="35">
        <v>536.41888182168407</v>
      </c>
    </row>
    <row r="34" spans="2:7">
      <c r="B34" t="s">
        <v>239</v>
      </c>
    </row>
    <row r="35" spans="2:7">
      <c r="B35" s="94"/>
    </row>
    <row r="38" spans="2:7">
      <c r="B38" s="193" t="s">
        <v>240</v>
      </c>
      <c r="C38" s="193"/>
    </row>
    <row r="39" spans="2:7">
      <c r="B39" s="95" t="s">
        <v>241</v>
      </c>
      <c r="C39" s="95" t="s">
        <v>242</v>
      </c>
      <c r="D39" s="95" t="s">
        <v>243</v>
      </c>
    </row>
    <row r="40" spans="2:7">
      <c r="B40" s="35" t="s">
        <v>38</v>
      </c>
      <c r="C40" s="96">
        <v>0.2</v>
      </c>
      <c r="D40" s="96">
        <f>C40+E40</f>
        <v>0.48571428571428577</v>
      </c>
      <c r="E40" s="97">
        <f>(C40/SUM($C$40,$C$42:$C$47))*$C$51</f>
        <v>0.28571428571428575</v>
      </c>
    </row>
    <row r="41" spans="2:7">
      <c r="B41" s="100" t="s">
        <v>244</v>
      </c>
      <c r="C41" s="96">
        <v>0.2</v>
      </c>
      <c r="D41" s="96">
        <v>0</v>
      </c>
      <c r="E41" s="97">
        <f t="shared" ref="E41:E48" si="2">(C41/SUM($C$40,$C$42:$C$47))*$C$51</f>
        <v>0.28571428571428575</v>
      </c>
    </row>
    <row r="42" spans="2:7">
      <c r="B42" s="35" t="s">
        <v>245</v>
      </c>
      <c r="C42" s="96">
        <v>0.1</v>
      </c>
      <c r="D42" s="96">
        <f t="shared" ref="D42:D47" si="3">C42+E42</f>
        <v>0.24285714285714288</v>
      </c>
      <c r="E42" s="97">
        <f t="shared" si="2"/>
        <v>0.14285714285714288</v>
      </c>
      <c r="G42" s="138"/>
    </row>
    <row r="43" spans="2:7">
      <c r="B43" s="35" t="s">
        <v>246</v>
      </c>
      <c r="C43" s="96">
        <v>0.05</v>
      </c>
      <c r="D43" s="96">
        <f t="shared" si="3"/>
        <v>0.12142857142857144</v>
      </c>
      <c r="E43" s="97">
        <f t="shared" si="2"/>
        <v>7.1428571428571438E-2</v>
      </c>
      <c r="G43" s="139"/>
    </row>
    <row r="44" spans="2:7">
      <c r="B44" s="35" t="s">
        <v>247</v>
      </c>
      <c r="C44" s="96">
        <v>0.15</v>
      </c>
      <c r="D44" s="96">
        <f t="shared" si="3"/>
        <v>0.36428571428571432</v>
      </c>
      <c r="E44" s="97">
        <f t="shared" si="2"/>
        <v>0.2142857142857143</v>
      </c>
    </row>
    <row r="45" spans="2:7">
      <c r="B45" s="35" t="s">
        <v>248</v>
      </c>
      <c r="C45" s="96">
        <v>0.05</v>
      </c>
      <c r="D45" s="96">
        <f t="shared" si="3"/>
        <v>0.12142857142857144</v>
      </c>
      <c r="E45" s="97">
        <f t="shared" si="2"/>
        <v>7.1428571428571438E-2</v>
      </c>
      <c r="G45" s="138"/>
    </row>
    <row r="46" spans="2:7">
      <c r="B46" s="35" t="s">
        <v>249</v>
      </c>
      <c r="C46" s="103">
        <v>7.4999999999999997E-2</v>
      </c>
      <c r="D46" s="96">
        <f t="shared" si="3"/>
        <v>0.18214285714285716</v>
      </c>
      <c r="E46" s="97">
        <f t="shared" si="2"/>
        <v>0.10714285714285715</v>
      </c>
      <c r="G46" s="139"/>
    </row>
    <row r="47" spans="2:7">
      <c r="B47" s="35" t="s">
        <v>250</v>
      </c>
      <c r="C47" s="103">
        <v>7.4999999999999997E-2</v>
      </c>
      <c r="D47" s="96">
        <f t="shared" si="3"/>
        <v>0.18214285714285716</v>
      </c>
      <c r="E47" s="97">
        <f t="shared" si="2"/>
        <v>0.10714285714285715</v>
      </c>
    </row>
    <row r="48" spans="2:7">
      <c r="B48" s="100" t="s">
        <v>251</v>
      </c>
      <c r="C48" s="96">
        <v>0.1</v>
      </c>
      <c r="D48" s="96">
        <v>0</v>
      </c>
      <c r="E48" s="97">
        <f t="shared" si="2"/>
        <v>0.14285714285714288</v>
      </c>
    </row>
    <row r="49" spans="2:9">
      <c r="B49" s="37" t="s">
        <v>252</v>
      </c>
      <c r="C49" s="105">
        <f>SUM(C40:C48)</f>
        <v>1</v>
      </c>
      <c r="D49" s="105">
        <f>SUM(D40:D48)</f>
        <v>1.7000000000000002</v>
      </c>
      <c r="E49" s="106"/>
    </row>
    <row r="51" spans="2:9">
      <c r="B51" s="107" t="s">
        <v>253</v>
      </c>
      <c r="C51" s="108">
        <v>1</v>
      </c>
      <c r="D51" s="108">
        <f>C51/7</f>
        <v>0.14285714285714285</v>
      </c>
    </row>
    <row r="54" spans="2:9">
      <c r="B54" s="109"/>
      <c r="E54" s="98"/>
      <c r="F54" s="110"/>
      <c r="G54" s="110"/>
      <c r="H54" s="110" t="s">
        <v>254</v>
      </c>
      <c r="I54" s="99">
        <v>1</v>
      </c>
    </row>
    <row r="55" spans="2:9">
      <c r="E55" s="101" t="s">
        <v>255</v>
      </c>
      <c r="G55" t="s">
        <v>256</v>
      </c>
      <c r="I55" s="102"/>
    </row>
    <row r="56" spans="2:9">
      <c r="E56" s="101"/>
      <c r="G56" t="s">
        <v>257</v>
      </c>
      <c r="I56" s="102"/>
    </row>
    <row r="57" spans="2:9">
      <c r="E57" s="101"/>
      <c r="G57" t="s">
        <v>258</v>
      </c>
      <c r="I57" s="102"/>
    </row>
    <row r="58" spans="2:9">
      <c r="E58" s="104"/>
      <c r="F58" s="111"/>
      <c r="G58" s="111" t="s">
        <v>259</v>
      </c>
      <c r="H58" s="111"/>
      <c r="I58" s="112"/>
    </row>
  </sheetData>
  <mergeCells count="2">
    <mergeCell ref="H8:I9"/>
    <mergeCell ref="B38:C3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35482-BBA4-44CA-BCCF-10510EBC05C1}">
  <sheetPr codeName="Sheet11"/>
  <dimension ref="A2:AP314"/>
  <sheetViews>
    <sheetView showGridLines="0" zoomScale="70" zoomScaleNormal="70" workbookViewId="0">
      <selection activeCell="F149" sqref="F149"/>
    </sheetView>
  </sheetViews>
  <sheetFormatPr defaultColWidth="8.5703125" defaultRowHeight="14.45"/>
  <cols>
    <col min="1" max="1" width="2.5703125" style="115" customWidth="1"/>
    <col min="2" max="2" width="24" style="115" customWidth="1"/>
    <col min="3" max="3" width="15" style="116" bestFit="1" customWidth="1"/>
    <col min="4" max="4" width="2.5703125" style="115" customWidth="1"/>
    <col min="5" max="5" width="42.140625" style="115" customWidth="1"/>
    <col min="6" max="6" width="8.5703125" style="115"/>
    <col min="7" max="7" width="2.5703125" style="115" customWidth="1"/>
    <col min="8" max="8" width="41.140625" style="115" bestFit="1" customWidth="1"/>
    <col min="9" max="11" width="9.85546875" style="115" bestFit="1" customWidth="1"/>
    <col min="12" max="12" width="25.140625" style="115" bestFit="1" customWidth="1"/>
    <col min="13" max="13" width="9.85546875" style="115" bestFit="1" customWidth="1"/>
    <col min="14" max="15" width="8.5703125" style="115" bestFit="1" customWidth="1"/>
    <col min="16" max="16" width="20.5703125" style="115" bestFit="1" customWidth="1"/>
    <col min="17" max="36" width="8.5703125" style="115" bestFit="1" customWidth="1"/>
    <col min="37" max="16384" width="8.5703125" style="115"/>
  </cols>
  <sheetData>
    <row r="2" spans="2:36" s="113" customFormat="1">
      <c r="B2" s="113" t="s">
        <v>260</v>
      </c>
      <c r="C2" s="114"/>
      <c r="E2" s="113" t="s">
        <v>261</v>
      </c>
      <c r="H2" s="113" t="s">
        <v>262</v>
      </c>
      <c r="L2" s="113" t="s">
        <v>263</v>
      </c>
      <c r="P2" s="113" t="s">
        <v>264</v>
      </c>
    </row>
    <row r="3" spans="2:36">
      <c r="F3" s="113"/>
      <c r="H3" s="113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</row>
    <row r="4" spans="2:36">
      <c r="B4" s="113" t="s">
        <v>148</v>
      </c>
      <c r="E4" s="113" t="s">
        <v>265</v>
      </c>
      <c r="F4" s="113"/>
      <c r="H4" s="113" t="s">
        <v>266</v>
      </c>
      <c r="I4" s="115">
        <v>2023</v>
      </c>
      <c r="J4" s="115">
        <v>2024</v>
      </c>
      <c r="K4" s="115">
        <v>2025</v>
      </c>
      <c r="L4" s="115">
        <v>2026</v>
      </c>
      <c r="M4" s="115">
        <v>2027</v>
      </c>
      <c r="N4" s="115">
        <v>2028</v>
      </c>
      <c r="O4" s="115">
        <v>2029</v>
      </c>
      <c r="P4" s="115">
        <v>2030</v>
      </c>
      <c r="Q4" s="115">
        <v>2031</v>
      </c>
      <c r="R4" s="115">
        <v>2032</v>
      </c>
      <c r="S4" s="115">
        <v>2033</v>
      </c>
      <c r="T4" s="115">
        <v>2034</v>
      </c>
      <c r="U4" s="115">
        <v>2035</v>
      </c>
      <c r="V4" s="115">
        <v>2036</v>
      </c>
      <c r="W4" s="115">
        <v>2037</v>
      </c>
      <c r="X4" s="115">
        <v>2038</v>
      </c>
      <c r="Y4" s="115">
        <v>2039</v>
      </c>
      <c r="Z4" s="115">
        <v>2040</v>
      </c>
      <c r="AA4" s="115">
        <v>2041</v>
      </c>
      <c r="AB4" s="115">
        <v>2042</v>
      </c>
      <c r="AC4" s="115">
        <v>2043</v>
      </c>
      <c r="AD4" s="115">
        <v>2044</v>
      </c>
      <c r="AE4" s="115">
        <v>2045</v>
      </c>
      <c r="AF4" s="115">
        <v>2046</v>
      </c>
      <c r="AG4" s="115">
        <v>2047</v>
      </c>
      <c r="AH4" s="115">
        <v>2048</v>
      </c>
      <c r="AI4" s="115">
        <v>2049</v>
      </c>
      <c r="AJ4" s="115">
        <v>2050</v>
      </c>
    </row>
    <row r="5" spans="2:36">
      <c r="B5" s="117" t="s">
        <v>8</v>
      </c>
      <c r="C5" s="118">
        <f>'2.Input data NLC CIL'!E4</f>
        <v>129550</v>
      </c>
      <c r="E5" s="117" t="s">
        <v>8</v>
      </c>
      <c r="F5" s="147">
        <v>-1</v>
      </c>
      <c r="H5" s="117" t="s">
        <v>8</v>
      </c>
      <c r="I5" s="120">
        <f>'2.Input data NLC CIL'!D22</f>
        <v>1.9544577383249708E-3</v>
      </c>
      <c r="J5" s="121">
        <f t="shared" ref="J5:Y11" si="0">$I5*($AJ$4-J$4)/27</f>
        <v>1.8820704146833053E-3</v>
      </c>
      <c r="K5" s="121">
        <f t="shared" si="0"/>
        <v>1.8096830910416398E-3</v>
      </c>
      <c r="L5" s="121">
        <f t="shared" si="0"/>
        <v>1.7372957673999741E-3</v>
      </c>
      <c r="M5" s="121">
        <f t="shared" si="0"/>
        <v>1.6649084437583084E-3</v>
      </c>
      <c r="N5" s="121">
        <f t="shared" si="0"/>
        <v>1.5925211201166427E-3</v>
      </c>
      <c r="O5" s="121">
        <f t="shared" si="0"/>
        <v>1.5201337964749772E-3</v>
      </c>
      <c r="P5" s="121">
        <f t="shared" si="0"/>
        <v>1.4477464728333115E-3</v>
      </c>
      <c r="Q5" s="121">
        <f t="shared" si="0"/>
        <v>1.3753591491916461E-3</v>
      </c>
      <c r="R5" s="121">
        <f t="shared" si="0"/>
        <v>1.3029718255499806E-3</v>
      </c>
      <c r="S5" s="121">
        <f t="shared" si="0"/>
        <v>1.2305845019083149E-3</v>
      </c>
      <c r="T5" s="121">
        <f t="shared" si="0"/>
        <v>1.1581971782666494E-3</v>
      </c>
      <c r="U5" s="121">
        <f t="shared" si="0"/>
        <v>1.0858098546249837E-3</v>
      </c>
      <c r="V5" s="121">
        <f t="shared" si="0"/>
        <v>1.0134225309833182E-3</v>
      </c>
      <c r="W5" s="121">
        <f t="shared" si="0"/>
        <v>9.4103520734165264E-4</v>
      </c>
      <c r="X5" s="121">
        <f t="shared" si="0"/>
        <v>8.6864788369998705E-4</v>
      </c>
      <c r="Y5" s="121">
        <f t="shared" si="0"/>
        <v>7.9626056005832136E-4</v>
      </c>
      <c r="Z5" s="121">
        <f t="shared" ref="Z5:AJ11" si="1">$I5*($AJ$4-Z$4)/27</f>
        <v>7.2387323641665577E-4</v>
      </c>
      <c r="AA5" s="121">
        <f t="shared" si="1"/>
        <v>6.5148591277499029E-4</v>
      </c>
      <c r="AB5" s="121">
        <f t="shared" si="1"/>
        <v>5.790985891333247E-4</v>
      </c>
      <c r="AC5" s="121">
        <f t="shared" si="1"/>
        <v>5.0671126549165911E-4</v>
      </c>
      <c r="AD5" s="121">
        <f t="shared" si="1"/>
        <v>4.3432394184999353E-4</v>
      </c>
      <c r="AE5" s="121">
        <f t="shared" si="1"/>
        <v>3.6193661820832788E-4</v>
      </c>
      <c r="AF5" s="121">
        <f t="shared" si="1"/>
        <v>2.8954929456666235E-4</v>
      </c>
      <c r="AG5" s="121">
        <f t="shared" si="1"/>
        <v>2.1716197092499676E-4</v>
      </c>
      <c r="AH5" s="121">
        <f t="shared" si="1"/>
        <v>1.4477464728333118E-4</v>
      </c>
      <c r="AI5" s="121">
        <f t="shared" si="1"/>
        <v>7.2387323641665588E-5</v>
      </c>
      <c r="AJ5" s="121">
        <f t="shared" si="1"/>
        <v>0</v>
      </c>
    </row>
    <row r="6" spans="2:36">
      <c r="B6" s="117" t="s">
        <v>173</v>
      </c>
      <c r="C6" s="122"/>
      <c r="E6" s="35" t="s">
        <v>12</v>
      </c>
      <c r="F6" s="121">
        <f>F$5</f>
        <v>-1</v>
      </c>
      <c r="H6" s="35" t="s">
        <v>12</v>
      </c>
      <c r="I6" s="121">
        <f>I$5</f>
        <v>1.9544577383249708E-3</v>
      </c>
      <c r="J6" s="121">
        <f t="shared" si="0"/>
        <v>1.8820704146833053E-3</v>
      </c>
      <c r="K6" s="121">
        <f t="shared" si="0"/>
        <v>1.8096830910416398E-3</v>
      </c>
      <c r="L6" s="121">
        <f t="shared" si="0"/>
        <v>1.7372957673999741E-3</v>
      </c>
      <c r="M6" s="121">
        <f t="shared" si="0"/>
        <v>1.6649084437583084E-3</v>
      </c>
      <c r="N6" s="121">
        <f t="shared" si="0"/>
        <v>1.5925211201166427E-3</v>
      </c>
      <c r="O6" s="121">
        <f t="shared" si="0"/>
        <v>1.5201337964749772E-3</v>
      </c>
      <c r="P6" s="121">
        <f t="shared" si="0"/>
        <v>1.4477464728333115E-3</v>
      </c>
      <c r="Q6" s="121">
        <f t="shared" si="0"/>
        <v>1.3753591491916461E-3</v>
      </c>
      <c r="R6" s="121">
        <f t="shared" si="0"/>
        <v>1.3029718255499806E-3</v>
      </c>
      <c r="S6" s="121">
        <f t="shared" si="0"/>
        <v>1.2305845019083149E-3</v>
      </c>
      <c r="T6" s="121">
        <f t="shared" si="0"/>
        <v>1.1581971782666494E-3</v>
      </c>
      <c r="U6" s="121">
        <f t="shared" si="0"/>
        <v>1.0858098546249837E-3</v>
      </c>
      <c r="V6" s="121">
        <f t="shared" si="0"/>
        <v>1.0134225309833182E-3</v>
      </c>
      <c r="W6" s="121">
        <f t="shared" si="0"/>
        <v>9.4103520734165264E-4</v>
      </c>
      <c r="X6" s="121">
        <f t="shared" si="0"/>
        <v>8.6864788369998705E-4</v>
      </c>
      <c r="Y6" s="121">
        <f t="shared" si="0"/>
        <v>7.9626056005832136E-4</v>
      </c>
      <c r="Z6" s="121">
        <f t="shared" si="1"/>
        <v>7.2387323641665577E-4</v>
      </c>
      <c r="AA6" s="121">
        <f t="shared" si="1"/>
        <v>6.5148591277499029E-4</v>
      </c>
      <c r="AB6" s="121">
        <f t="shared" si="1"/>
        <v>5.790985891333247E-4</v>
      </c>
      <c r="AC6" s="121">
        <f t="shared" si="1"/>
        <v>5.0671126549165911E-4</v>
      </c>
      <c r="AD6" s="121">
        <f t="shared" si="1"/>
        <v>4.3432394184999353E-4</v>
      </c>
      <c r="AE6" s="121">
        <f t="shared" si="1"/>
        <v>3.6193661820832788E-4</v>
      </c>
      <c r="AF6" s="121">
        <f t="shared" si="1"/>
        <v>2.8954929456666235E-4</v>
      </c>
      <c r="AG6" s="121">
        <f t="shared" si="1"/>
        <v>2.1716197092499676E-4</v>
      </c>
      <c r="AH6" s="121">
        <f t="shared" si="1"/>
        <v>1.4477464728333118E-4</v>
      </c>
      <c r="AI6" s="121">
        <f t="shared" si="1"/>
        <v>7.2387323641665588E-5</v>
      </c>
      <c r="AJ6" s="121">
        <f t="shared" si="1"/>
        <v>0</v>
      </c>
    </row>
    <row r="7" spans="2:36">
      <c r="B7" s="117" t="s">
        <v>173</v>
      </c>
      <c r="C7" s="122"/>
      <c r="E7" s="35" t="s">
        <v>15</v>
      </c>
      <c r="F7" s="121">
        <f>F$5</f>
        <v>-1</v>
      </c>
      <c r="H7" s="35" t="s">
        <v>15</v>
      </c>
      <c r="I7" s="121">
        <f>I$5</f>
        <v>1.9544577383249708E-3</v>
      </c>
      <c r="J7" s="121">
        <f t="shared" si="0"/>
        <v>1.8820704146833053E-3</v>
      </c>
      <c r="K7" s="121">
        <f t="shared" si="0"/>
        <v>1.8096830910416398E-3</v>
      </c>
      <c r="L7" s="121">
        <f t="shared" si="0"/>
        <v>1.7372957673999741E-3</v>
      </c>
      <c r="M7" s="121">
        <f t="shared" si="0"/>
        <v>1.6649084437583084E-3</v>
      </c>
      <c r="N7" s="121">
        <f t="shared" si="0"/>
        <v>1.5925211201166427E-3</v>
      </c>
      <c r="O7" s="121">
        <f t="shared" si="0"/>
        <v>1.5201337964749772E-3</v>
      </c>
      <c r="P7" s="121">
        <f t="shared" si="0"/>
        <v>1.4477464728333115E-3</v>
      </c>
      <c r="Q7" s="121">
        <f t="shared" si="0"/>
        <v>1.3753591491916461E-3</v>
      </c>
      <c r="R7" s="121">
        <f t="shared" si="0"/>
        <v>1.3029718255499806E-3</v>
      </c>
      <c r="S7" s="121">
        <f t="shared" si="0"/>
        <v>1.2305845019083149E-3</v>
      </c>
      <c r="T7" s="121">
        <f t="shared" si="0"/>
        <v>1.1581971782666494E-3</v>
      </c>
      <c r="U7" s="121">
        <f t="shared" si="0"/>
        <v>1.0858098546249837E-3</v>
      </c>
      <c r="V7" s="121">
        <f t="shared" si="0"/>
        <v>1.0134225309833182E-3</v>
      </c>
      <c r="W7" s="121">
        <f t="shared" si="0"/>
        <v>9.4103520734165264E-4</v>
      </c>
      <c r="X7" s="121">
        <f t="shared" si="0"/>
        <v>8.6864788369998705E-4</v>
      </c>
      <c r="Y7" s="121">
        <f t="shared" si="0"/>
        <v>7.9626056005832136E-4</v>
      </c>
      <c r="Z7" s="121">
        <f t="shared" si="1"/>
        <v>7.2387323641665577E-4</v>
      </c>
      <c r="AA7" s="121">
        <f t="shared" si="1"/>
        <v>6.5148591277499029E-4</v>
      </c>
      <c r="AB7" s="121">
        <f t="shared" si="1"/>
        <v>5.790985891333247E-4</v>
      </c>
      <c r="AC7" s="121">
        <f t="shared" si="1"/>
        <v>5.0671126549165911E-4</v>
      </c>
      <c r="AD7" s="121">
        <f t="shared" si="1"/>
        <v>4.3432394184999353E-4</v>
      </c>
      <c r="AE7" s="121">
        <f t="shared" si="1"/>
        <v>3.6193661820832788E-4</v>
      </c>
      <c r="AF7" s="121">
        <f t="shared" si="1"/>
        <v>2.8954929456666235E-4</v>
      </c>
      <c r="AG7" s="121">
        <f t="shared" si="1"/>
        <v>2.1716197092499676E-4</v>
      </c>
      <c r="AH7" s="121">
        <f t="shared" si="1"/>
        <v>1.4477464728333118E-4</v>
      </c>
      <c r="AI7" s="121">
        <f t="shared" si="1"/>
        <v>7.2387323641665588E-5</v>
      </c>
      <c r="AJ7" s="121">
        <f t="shared" si="1"/>
        <v>0</v>
      </c>
    </row>
    <row r="8" spans="2:36">
      <c r="B8" s="117" t="s">
        <v>173</v>
      </c>
      <c r="C8" s="122"/>
      <c r="E8" s="35" t="s">
        <v>19</v>
      </c>
      <c r="F8" s="121">
        <f t="shared" ref="F8:F11" si="2">F$5</f>
        <v>-1</v>
      </c>
      <c r="H8" s="35" t="s">
        <v>19</v>
      </c>
      <c r="I8" s="121">
        <f>I$5</f>
        <v>1.9544577383249708E-3</v>
      </c>
      <c r="J8" s="121">
        <f t="shared" si="0"/>
        <v>1.8820704146833053E-3</v>
      </c>
      <c r="K8" s="121">
        <f t="shared" si="0"/>
        <v>1.8096830910416398E-3</v>
      </c>
      <c r="L8" s="121">
        <f t="shared" si="0"/>
        <v>1.7372957673999741E-3</v>
      </c>
      <c r="M8" s="121">
        <f t="shared" si="0"/>
        <v>1.6649084437583084E-3</v>
      </c>
      <c r="N8" s="121">
        <f t="shared" si="0"/>
        <v>1.5925211201166427E-3</v>
      </c>
      <c r="O8" s="121">
        <f t="shared" si="0"/>
        <v>1.5201337964749772E-3</v>
      </c>
      <c r="P8" s="121">
        <f t="shared" si="0"/>
        <v>1.4477464728333115E-3</v>
      </c>
      <c r="Q8" s="121">
        <f t="shared" si="0"/>
        <v>1.3753591491916461E-3</v>
      </c>
      <c r="R8" s="121">
        <f t="shared" si="0"/>
        <v>1.3029718255499806E-3</v>
      </c>
      <c r="S8" s="121">
        <f t="shared" si="0"/>
        <v>1.2305845019083149E-3</v>
      </c>
      <c r="T8" s="121">
        <f t="shared" si="0"/>
        <v>1.1581971782666494E-3</v>
      </c>
      <c r="U8" s="121">
        <f t="shared" si="0"/>
        <v>1.0858098546249837E-3</v>
      </c>
      <c r="V8" s="121">
        <f t="shared" si="0"/>
        <v>1.0134225309833182E-3</v>
      </c>
      <c r="W8" s="121">
        <f t="shared" si="0"/>
        <v>9.4103520734165264E-4</v>
      </c>
      <c r="X8" s="121">
        <f t="shared" si="0"/>
        <v>8.6864788369998705E-4</v>
      </c>
      <c r="Y8" s="121">
        <f t="shared" si="0"/>
        <v>7.9626056005832136E-4</v>
      </c>
      <c r="Z8" s="121">
        <f t="shared" si="1"/>
        <v>7.2387323641665577E-4</v>
      </c>
      <c r="AA8" s="121">
        <f t="shared" si="1"/>
        <v>6.5148591277499029E-4</v>
      </c>
      <c r="AB8" s="121">
        <f t="shared" si="1"/>
        <v>5.790985891333247E-4</v>
      </c>
      <c r="AC8" s="121">
        <f t="shared" si="1"/>
        <v>5.0671126549165911E-4</v>
      </c>
      <c r="AD8" s="121">
        <f t="shared" si="1"/>
        <v>4.3432394184999353E-4</v>
      </c>
      <c r="AE8" s="121">
        <f t="shared" si="1"/>
        <v>3.6193661820832788E-4</v>
      </c>
      <c r="AF8" s="121">
        <f t="shared" si="1"/>
        <v>2.8954929456666235E-4</v>
      </c>
      <c r="AG8" s="121">
        <f t="shared" si="1"/>
        <v>2.1716197092499676E-4</v>
      </c>
      <c r="AH8" s="121">
        <f t="shared" si="1"/>
        <v>1.4477464728333118E-4</v>
      </c>
      <c r="AI8" s="121">
        <f t="shared" si="1"/>
        <v>7.2387323641665588E-5</v>
      </c>
      <c r="AJ8" s="121">
        <f t="shared" si="1"/>
        <v>0</v>
      </c>
    </row>
    <row r="9" spans="2:36">
      <c r="B9" s="117" t="s">
        <v>173</v>
      </c>
      <c r="C9" s="122"/>
      <c r="E9" s="35" t="s">
        <v>22</v>
      </c>
      <c r="F9" s="121">
        <f t="shared" si="2"/>
        <v>-1</v>
      </c>
      <c r="H9" s="35" t="s">
        <v>22</v>
      </c>
      <c r="I9" s="121">
        <f>I$5</f>
        <v>1.9544577383249708E-3</v>
      </c>
      <c r="J9" s="121">
        <f t="shared" si="0"/>
        <v>1.8820704146833053E-3</v>
      </c>
      <c r="K9" s="121">
        <f t="shared" si="0"/>
        <v>1.8096830910416398E-3</v>
      </c>
      <c r="L9" s="121">
        <f t="shared" si="0"/>
        <v>1.7372957673999741E-3</v>
      </c>
      <c r="M9" s="121">
        <f t="shared" si="0"/>
        <v>1.6649084437583084E-3</v>
      </c>
      <c r="N9" s="121">
        <f t="shared" si="0"/>
        <v>1.5925211201166427E-3</v>
      </c>
      <c r="O9" s="121">
        <f t="shared" si="0"/>
        <v>1.5201337964749772E-3</v>
      </c>
      <c r="P9" s="121">
        <f t="shared" si="0"/>
        <v>1.4477464728333115E-3</v>
      </c>
      <c r="Q9" s="121">
        <f t="shared" si="0"/>
        <v>1.3753591491916461E-3</v>
      </c>
      <c r="R9" s="121">
        <f t="shared" si="0"/>
        <v>1.3029718255499806E-3</v>
      </c>
      <c r="S9" s="121">
        <f t="shared" si="0"/>
        <v>1.2305845019083149E-3</v>
      </c>
      <c r="T9" s="121">
        <f t="shared" si="0"/>
        <v>1.1581971782666494E-3</v>
      </c>
      <c r="U9" s="121">
        <f t="shared" si="0"/>
        <v>1.0858098546249837E-3</v>
      </c>
      <c r="V9" s="121">
        <f t="shared" si="0"/>
        <v>1.0134225309833182E-3</v>
      </c>
      <c r="W9" s="121">
        <f t="shared" si="0"/>
        <v>9.4103520734165264E-4</v>
      </c>
      <c r="X9" s="121">
        <f t="shared" si="0"/>
        <v>8.6864788369998705E-4</v>
      </c>
      <c r="Y9" s="121">
        <f t="shared" si="0"/>
        <v>7.9626056005832136E-4</v>
      </c>
      <c r="Z9" s="121">
        <f t="shared" si="1"/>
        <v>7.2387323641665577E-4</v>
      </c>
      <c r="AA9" s="121">
        <f t="shared" si="1"/>
        <v>6.5148591277499029E-4</v>
      </c>
      <c r="AB9" s="121">
        <f t="shared" si="1"/>
        <v>5.790985891333247E-4</v>
      </c>
      <c r="AC9" s="121">
        <f t="shared" si="1"/>
        <v>5.0671126549165911E-4</v>
      </c>
      <c r="AD9" s="121">
        <f t="shared" si="1"/>
        <v>4.3432394184999353E-4</v>
      </c>
      <c r="AE9" s="121">
        <f t="shared" si="1"/>
        <v>3.6193661820832788E-4</v>
      </c>
      <c r="AF9" s="121">
        <f t="shared" si="1"/>
        <v>2.8954929456666235E-4</v>
      </c>
      <c r="AG9" s="121">
        <f t="shared" si="1"/>
        <v>2.1716197092499676E-4</v>
      </c>
      <c r="AH9" s="121">
        <f t="shared" si="1"/>
        <v>1.4477464728333118E-4</v>
      </c>
      <c r="AI9" s="121">
        <f t="shared" si="1"/>
        <v>7.2387323641665588E-5</v>
      </c>
      <c r="AJ9" s="121">
        <f t="shared" si="1"/>
        <v>0</v>
      </c>
    </row>
    <row r="10" spans="2:36">
      <c r="B10" s="117" t="s">
        <v>173</v>
      </c>
      <c r="C10" s="122"/>
      <c r="E10" s="35" t="s">
        <v>24</v>
      </c>
      <c r="F10" s="121">
        <f t="shared" si="2"/>
        <v>-1</v>
      </c>
      <c r="H10" s="35" t="s">
        <v>24</v>
      </c>
      <c r="I10" s="78">
        <f>MAX(I$5, $I$5/2)</f>
        <v>1.9544577383249708E-3</v>
      </c>
      <c r="J10" s="121">
        <f t="shared" si="0"/>
        <v>1.8820704146833053E-3</v>
      </c>
      <c r="K10" s="121">
        <f t="shared" si="0"/>
        <v>1.8096830910416398E-3</v>
      </c>
      <c r="L10" s="121">
        <f t="shared" si="0"/>
        <v>1.7372957673999741E-3</v>
      </c>
      <c r="M10" s="121">
        <f t="shared" si="0"/>
        <v>1.6649084437583084E-3</v>
      </c>
      <c r="N10" s="121">
        <f t="shared" si="0"/>
        <v>1.5925211201166427E-3</v>
      </c>
      <c r="O10" s="121">
        <f t="shared" si="0"/>
        <v>1.5201337964749772E-3</v>
      </c>
      <c r="P10" s="121">
        <f t="shared" si="0"/>
        <v>1.4477464728333115E-3</v>
      </c>
      <c r="Q10" s="121">
        <f t="shared" si="0"/>
        <v>1.3753591491916461E-3</v>
      </c>
      <c r="R10" s="121">
        <f t="shared" si="0"/>
        <v>1.3029718255499806E-3</v>
      </c>
      <c r="S10" s="121">
        <f t="shared" si="0"/>
        <v>1.2305845019083149E-3</v>
      </c>
      <c r="T10" s="121">
        <f t="shared" si="0"/>
        <v>1.1581971782666494E-3</v>
      </c>
      <c r="U10" s="121">
        <f t="shared" si="0"/>
        <v>1.0858098546249837E-3</v>
      </c>
      <c r="V10" s="121">
        <f t="shared" si="0"/>
        <v>1.0134225309833182E-3</v>
      </c>
      <c r="W10" s="121">
        <f t="shared" si="0"/>
        <v>9.4103520734165264E-4</v>
      </c>
      <c r="X10" s="121">
        <f t="shared" si="0"/>
        <v>8.6864788369998705E-4</v>
      </c>
      <c r="Y10" s="121">
        <f t="shared" si="0"/>
        <v>7.9626056005832136E-4</v>
      </c>
      <c r="Z10" s="121">
        <f t="shared" si="1"/>
        <v>7.2387323641665577E-4</v>
      </c>
      <c r="AA10" s="121">
        <f t="shared" si="1"/>
        <v>6.5148591277499029E-4</v>
      </c>
      <c r="AB10" s="121">
        <f t="shared" si="1"/>
        <v>5.790985891333247E-4</v>
      </c>
      <c r="AC10" s="121">
        <f t="shared" si="1"/>
        <v>5.0671126549165911E-4</v>
      </c>
      <c r="AD10" s="121">
        <f t="shared" si="1"/>
        <v>4.3432394184999353E-4</v>
      </c>
      <c r="AE10" s="121">
        <f t="shared" si="1"/>
        <v>3.6193661820832788E-4</v>
      </c>
      <c r="AF10" s="121">
        <f t="shared" si="1"/>
        <v>2.8954929456666235E-4</v>
      </c>
      <c r="AG10" s="121">
        <f t="shared" si="1"/>
        <v>2.1716197092499676E-4</v>
      </c>
      <c r="AH10" s="121">
        <f t="shared" si="1"/>
        <v>1.4477464728333118E-4</v>
      </c>
      <c r="AI10" s="121">
        <f t="shared" si="1"/>
        <v>7.2387323641665588E-5</v>
      </c>
      <c r="AJ10" s="121">
        <f t="shared" si="1"/>
        <v>0</v>
      </c>
    </row>
    <row r="11" spans="2:36">
      <c r="B11" s="117" t="s">
        <v>173</v>
      </c>
      <c r="C11" s="122"/>
      <c r="E11" s="35" t="s">
        <v>25</v>
      </c>
      <c r="F11" s="121">
        <f t="shared" si="2"/>
        <v>-1</v>
      </c>
      <c r="H11" s="35" t="s">
        <v>25</v>
      </c>
      <c r="I11" s="78">
        <f>MAX(I$5, $I$5/2)</f>
        <v>1.9544577383249708E-3</v>
      </c>
      <c r="J11" s="121">
        <f t="shared" si="0"/>
        <v>1.8820704146833053E-3</v>
      </c>
      <c r="K11" s="121">
        <f t="shared" si="0"/>
        <v>1.8096830910416398E-3</v>
      </c>
      <c r="L11" s="121">
        <f t="shared" si="0"/>
        <v>1.7372957673999741E-3</v>
      </c>
      <c r="M11" s="121">
        <f t="shared" si="0"/>
        <v>1.6649084437583084E-3</v>
      </c>
      <c r="N11" s="121">
        <f t="shared" si="0"/>
        <v>1.5925211201166427E-3</v>
      </c>
      <c r="O11" s="121">
        <f t="shared" si="0"/>
        <v>1.5201337964749772E-3</v>
      </c>
      <c r="P11" s="121">
        <f t="shared" si="0"/>
        <v>1.4477464728333115E-3</v>
      </c>
      <c r="Q11" s="121">
        <f t="shared" si="0"/>
        <v>1.3753591491916461E-3</v>
      </c>
      <c r="R11" s="121">
        <f t="shared" si="0"/>
        <v>1.3029718255499806E-3</v>
      </c>
      <c r="S11" s="121">
        <f t="shared" si="0"/>
        <v>1.2305845019083149E-3</v>
      </c>
      <c r="T11" s="121">
        <f t="shared" si="0"/>
        <v>1.1581971782666494E-3</v>
      </c>
      <c r="U11" s="121">
        <f t="shared" si="0"/>
        <v>1.0858098546249837E-3</v>
      </c>
      <c r="V11" s="121">
        <f t="shared" si="0"/>
        <v>1.0134225309833182E-3</v>
      </c>
      <c r="W11" s="121">
        <f t="shared" si="0"/>
        <v>9.4103520734165264E-4</v>
      </c>
      <c r="X11" s="121">
        <f t="shared" si="0"/>
        <v>8.6864788369998705E-4</v>
      </c>
      <c r="Y11" s="121">
        <f t="shared" si="0"/>
        <v>7.9626056005832136E-4</v>
      </c>
      <c r="Z11" s="121">
        <f t="shared" si="1"/>
        <v>7.2387323641665577E-4</v>
      </c>
      <c r="AA11" s="121">
        <f t="shared" si="1"/>
        <v>6.5148591277499029E-4</v>
      </c>
      <c r="AB11" s="121">
        <f t="shared" si="1"/>
        <v>5.790985891333247E-4</v>
      </c>
      <c r="AC11" s="121">
        <f t="shared" si="1"/>
        <v>5.0671126549165911E-4</v>
      </c>
      <c r="AD11" s="121">
        <f t="shared" si="1"/>
        <v>4.3432394184999353E-4</v>
      </c>
      <c r="AE11" s="121">
        <f t="shared" si="1"/>
        <v>3.6193661820832788E-4</v>
      </c>
      <c r="AF11" s="121">
        <f t="shared" si="1"/>
        <v>2.8954929456666235E-4</v>
      </c>
      <c r="AG11" s="121">
        <f t="shared" si="1"/>
        <v>2.1716197092499676E-4</v>
      </c>
      <c r="AH11" s="121">
        <f t="shared" si="1"/>
        <v>1.4477464728333118E-4</v>
      </c>
      <c r="AI11" s="121">
        <f t="shared" si="1"/>
        <v>7.2387323641665588E-5</v>
      </c>
      <c r="AJ11" s="121">
        <f t="shared" si="1"/>
        <v>0</v>
      </c>
    </row>
    <row r="12" spans="2:36">
      <c r="B12" s="117" t="s">
        <v>173</v>
      </c>
      <c r="C12" s="122"/>
      <c r="E12" s="117"/>
      <c r="F12" s="121"/>
      <c r="H12" s="117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</row>
    <row r="13" spans="2:36">
      <c r="B13" s="117" t="s">
        <v>173</v>
      </c>
      <c r="C13" s="122"/>
      <c r="E13" s="117"/>
      <c r="F13" s="121"/>
      <c r="H13" s="117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</row>
    <row r="14" spans="2:36">
      <c r="B14" s="117" t="s">
        <v>173</v>
      </c>
      <c r="C14" s="122"/>
      <c r="E14" s="117"/>
      <c r="F14" s="121"/>
      <c r="H14" s="117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</row>
    <row r="15" spans="2:36"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</row>
    <row r="16" spans="2:36">
      <c r="B16" s="113" t="s">
        <v>168</v>
      </c>
      <c r="E16" s="113" t="s">
        <v>267</v>
      </c>
      <c r="H16" s="113" t="s">
        <v>65</v>
      </c>
      <c r="I16" s="115">
        <v>2023</v>
      </c>
      <c r="J16" s="115">
        <v>2024</v>
      </c>
      <c r="K16" s="115">
        <v>2025</v>
      </c>
      <c r="L16" s="115">
        <v>2026</v>
      </c>
      <c r="M16" s="115">
        <v>2027</v>
      </c>
      <c r="N16" s="115">
        <v>2028</v>
      </c>
      <c r="O16" s="115">
        <v>2029</v>
      </c>
      <c r="P16" s="115">
        <v>2030</v>
      </c>
      <c r="Q16" s="115">
        <v>2031</v>
      </c>
      <c r="R16" s="115">
        <v>2032</v>
      </c>
      <c r="S16" s="115">
        <v>2033</v>
      </c>
      <c r="T16" s="115">
        <v>2034</v>
      </c>
      <c r="U16" s="115">
        <v>2035</v>
      </c>
      <c r="V16" s="115">
        <v>2036</v>
      </c>
      <c r="W16" s="115">
        <v>2037</v>
      </c>
      <c r="X16" s="115">
        <v>2038</v>
      </c>
      <c r="Y16" s="115">
        <v>2039</v>
      </c>
      <c r="Z16" s="115">
        <v>2040</v>
      </c>
      <c r="AA16" s="115">
        <v>2041</v>
      </c>
      <c r="AB16" s="115">
        <v>2042</v>
      </c>
      <c r="AC16" s="115">
        <v>2043</v>
      </c>
      <c r="AD16" s="115">
        <v>2044</v>
      </c>
      <c r="AE16" s="115">
        <v>2045</v>
      </c>
      <c r="AF16" s="115">
        <v>2046</v>
      </c>
      <c r="AG16" s="115">
        <v>2047</v>
      </c>
      <c r="AH16" s="115">
        <v>2048</v>
      </c>
      <c r="AI16" s="115">
        <v>2049</v>
      </c>
      <c r="AJ16" s="115">
        <v>2050</v>
      </c>
    </row>
    <row r="17" spans="2:36">
      <c r="B17" s="117" t="s">
        <v>8</v>
      </c>
      <c r="C17" s="124">
        <f>'2.Input data NLC CIL'!E5</f>
        <v>39120</v>
      </c>
      <c r="E17" s="117" t="s">
        <v>8</v>
      </c>
      <c r="F17" s="119">
        <v>0.1</v>
      </c>
      <c r="H17" s="117" t="s">
        <v>8</v>
      </c>
      <c r="I17" s="125">
        <f>'2.Input data NLC CIL'!E23</f>
        <v>0</v>
      </c>
      <c r="J17" s="121">
        <f t="shared" ref="J17:AJ17" si="3">$I17*($AJ$16-J$16)/27</f>
        <v>0</v>
      </c>
      <c r="K17" s="121">
        <f t="shared" si="3"/>
        <v>0</v>
      </c>
      <c r="L17" s="121">
        <f t="shared" si="3"/>
        <v>0</v>
      </c>
      <c r="M17" s="121">
        <f t="shared" si="3"/>
        <v>0</v>
      </c>
      <c r="N17" s="121">
        <f t="shared" si="3"/>
        <v>0</v>
      </c>
      <c r="O17" s="121">
        <f t="shared" si="3"/>
        <v>0</v>
      </c>
      <c r="P17" s="121">
        <f t="shared" si="3"/>
        <v>0</v>
      </c>
      <c r="Q17" s="121">
        <f t="shared" si="3"/>
        <v>0</v>
      </c>
      <c r="R17" s="121">
        <f t="shared" si="3"/>
        <v>0</v>
      </c>
      <c r="S17" s="121">
        <f t="shared" si="3"/>
        <v>0</v>
      </c>
      <c r="T17" s="121">
        <f t="shared" si="3"/>
        <v>0</v>
      </c>
      <c r="U17" s="121">
        <f t="shared" si="3"/>
        <v>0</v>
      </c>
      <c r="V17" s="121">
        <f t="shared" si="3"/>
        <v>0</v>
      </c>
      <c r="W17" s="121">
        <f t="shared" si="3"/>
        <v>0</v>
      </c>
      <c r="X17" s="121">
        <f t="shared" si="3"/>
        <v>0</v>
      </c>
      <c r="Y17" s="121">
        <f t="shared" si="3"/>
        <v>0</v>
      </c>
      <c r="Z17" s="121">
        <f t="shared" si="3"/>
        <v>0</v>
      </c>
      <c r="AA17" s="121">
        <f t="shared" si="3"/>
        <v>0</v>
      </c>
      <c r="AB17" s="121">
        <f t="shared" si="3"/>
        <v>0</v>
      </c>
      <c r="AC17" s="121">
        <f t="shared" si="3"/>
        <v>0</v>
      </c>
      <c r="AD17" s="121">
        <f t="shared" si="3"/>
        <v>0</v>
      </c>
      <c r="AE17" s="121">
        <f t="shared" si="3"/>
        <v>0</v>
      </c>
      <c r="AF17" s="121">
        <f t="shared" si="3"/>
        <v>0</v>
      </c>
      <c r="AG17" s="121">
        <f t="shared" si="3"/>
        <v>0</v>
      </c>
      <c r="AH17" s="121">
        <f t="shared" si="3"/>
        <v>0</v>
      </c>
      <c r="AI17" s="121">
        <f t="shared" si="3"/>
        <v>0</v>
      </c>
      <c r="AJ17" s="121">
        <f t="shared" si="3"/>
        <v>0</v>
      </c>
    </row>
    <row r="18" spans="2:36">
      <c r="B18" s="117" t="s">
        <v>173</v>
      </c>
      <c r="C18" s="122"/>
      <c r="E18" s="35" t="s">
        <v>12</v>
      </c>
      <c r="F18" s="121">
        <f>F$17</f>
        <v>0.1</v>
      </c>
      <c r="H18" s="35" t="s">
        <v>12</v>
      </c>
      <c r="I18" s="123">
        <f t="shared" ref="I18:X23" si="4">I$17</f>
        <v>0</v>
      </c>
      <c r="J18" s="121">
        <f t="shared" si="4"/>
        <v>0</v>
      </c>
      <c r="K18" s="121">
        <f t="shared" si="4"/>
        <v>0</v>
      </c>
      <c r="L18" s="121">
        <f t="shared" si="4"/>
        <v>0</v>
      </c>
      <c r="M18" s="121">
        <f t="shared" si="4"/>
        <v>0</v>
      </c>
      <c r="N18" s="121">
        <f t="shared" si="4"/>
        <v>0</v>
      </c>
      <c r="O18" s="121">
        <f t="shared" si="4"/>
        <v>0</v>
      </c>
      <c r="P18" s="121">
        <f t="shared" si="4"/>
        <v>0</v>
      </c>
      <c r="Q18" s="121">
        <f t="shared" si="4"/>
        <v>0</v>
      </c>
      <c r="R18" s="121">
        <f t="shared" si="4"/>
        <v>0</v>
      </c>
      <c r="S18" s="121">
        <f t="shared" si="4"/>
        <v>0</v>
      </c>
      <c r="T18" s="121">
        <f t="shared" si="4"/>
        <v>0</v>
      </c>
      <c r="U18" s="121">
        <f t="shared" si="4"/>
        <v>0</v>
      </c>
      <c r="V18" s="121">
        <f t="shared" si="4"/>
        <v>0</v>
      </c>
      <c r="W18" s="121">
        <f t="shared" si="4"/>
        <v>0</v>
      </c>
      <c r="X18" s="121">
        <f t="shared" si="4"/>
        <v>0</v>
      </c>
      <c r="Y18" s="121">
        <f t="shared" ref="Y18:AJ23" si="5">Y$17</f>
        <v>0</v>
      </c>
      <c r="Z18" s="121">
        <f t="shared" si="5"/>
        <v>0</v>
      </c>
      <c r="AA18" s="121">
        <f t="shared" si="5"/>
        <v>0</v>
      </c>
      <c r="AB18" s="121">
        <f t="shared" si="5"/>
        <v>0</v>
      </c>
      <c r="AC18" s="121">
        <f t="shared" si="5"/>
        <v>0</v>
      </c>
      <c r="AD18" s="121">
        <f t="shared" si="5"/>
        <v>0</v>
      </c>
      <c r="AE18" s="121">
        <f t="shared" si="5"/>
        <v>0</v>
      </c>
      <c r="AF18" s="121">
        <f t="shared" si="5"/>
        <v>0</v>
      </c>
      <c r="AG18" s="121">
        <f t="shared" si="5"/>
        <v>0</v>
      </c>
      <c r="AH18" s="121">
        <f t="shared" si="5"/>
        <v>0</v>
      </c>
      <c r="AI18" s="121">
        <f t="shared" si="5"/>
        <v>0</v>
      </c>
      <c r="AJ18" s="121">
        <f t="shared" si="5"/>
        <v>0</v>
      </c>
    </row>
    <row r="19" spans="2:36">
      <c r="B19" s="117" t="s">
        <v>173</v>
      </c>
      <c r="C19" s="122"/>
      <c r="E19" s="35" t="s">
        <v>15</v>
      </c>
      <c r="F19" s="121">
        <f t="shared" ref="F19:F22" si="6">F$17</f>
        <v>0.1</v>
      </c>
      <c r="H19" s="35" t="s">
        <v>15</v>
      </c>
      <c r="I19" s="123">
        <f t="shared" si="4"/>
        <v>0</v>
      </c>
      <c r="J19" s="121">
        <f t="shared" si="4"/>
        <v>0</v>
      </c>
      <c r="K19" s="121">
        <f t="shared" si="4"/>
        <v>0</v>
      </c>
      <c r="L19" s="121">
        <f t="shared" si="4"/>
        <v>0</v>
      </c>
      <c r="M19" s="121">
        <f t="shared" si="4"/>
        <v>0</v>
      </c>
      <c r="N19" s="121">
        <f t="shared" si="4"/>
        <v>0</v>
      </c>
      <c r="O19" s="121">
        <f t="shared" si="4"/>
        <v>0</v>
      </c>
      <c r="P19" s="121">
        <f t="shared" si="4"/>
        <v>0</v>
      </c>
      <c r="Q19" s="121">
        <f t="shared" si="4"/>
        <v>0</v>
      </c>
      <c r="R19" s="121">
        <f t="shared" si="4"/>
        <v>0</v>
      </c>
      <c r="S19" s="121">
        <f t="shared" si="4"/>
        <v>0</v>
      </c>
      <c r="T19" s="121">
        <f t="shared" si="4"/>
        <v>0</v>
      </c>
      <c r="U19" s="121">
        <f t="shared" si="4"/>
        <v>0</v>
      </c>
      <c r="V19" s="121">
        <f t="shared" si="4"/>
        <v>0</v>
      </c>
      <c r="W19" s="121">
        <f t="shared" si="4"/>
        <v>0</v>
      </c>
      <c r="X19" s="121">
        <f t="shared" si="4"/>
        <v>0</v>
      </c>
      <c r="Y19" s="121">
        <f t="shared" si="5"/>
        <v>0</v>
      </c>
      <c r="Z19" s="121">
        <f t="shared" si="5"/>
        <v>0</v>
      </c>
      <c r="AA19" s="121">
        <f t="shared" si="5"/>
        <v>0</v>
      </c>
      <c r="AB19" s="121">
        <f t="shared" si="5"/>
        <v>0</v>
      </c>
      <c r="AC19" s="121">
        <f t="shared" si="5"/>
        <v>0</v>
      </c>
      <c r="AD19" s="121">
        <f t="shared" si="5"/>
        <v>0</v>
      </c>
      <c r="AE19" s="121">
        <f t="shared" si="5"/>
        <v>0</v>
      </c>
      <c r="AF19" s="121">
        <f t="shared" si="5"/>
        <v>0</v>
      </c>
      <c r="AG19" s="121">
        <f t="shared" si="5"/>
        <v>0</v>
      </c>
      <c r="AH19" s="121">
        <f t="shared" si="5"/>
        <v>0</v>
      </c>
      <c r="AI19" s="121">
        <f t="shared" si="5"/>
        <v>0</v>
      </c>
      <c r="AJ19" s="121">
        <f t="shared" si="5"/>
        <v>0</v>
      </c>
    </row>
    <row r="20" spans="2:36">
      <c r="B20" s="117" t="s">
        <v>173</v>
      </c>
      <c r="C20" s="122"/>
      <c r="E20" s="35" t="s">
        <v>19</v>
      </c>
      <c r="F20" s="121">
        <f t="shared" si="6"/>
        <v>0.1</v>
      </c>
      <c r="H20" s="35" t="s">
        <v>19</v>
      </c>
      <c r="I20" s="123">
        <f t="shared" si="4"/>
        <v>0</v>
      </c>
      <c r="J20" s="121">
        <f t="shared" si="4"/>
        <v>0</v>
      </c>
      <c r="K20" s="121">
        <f t="shared" si="4"/>
        <v>0</v>
      </c>
      <c r="L20" s="121">
        <f t="shared" si="4"/>
        <v>0</v>
      </c>
      <c r="M20" s="121">
        <f t="shared" si="4"/>
        <v>0</v>
      </c>
      <c r="N20" s="121">
        <f t="shared" si="4"/>
        <v>0</v>
      </c>
      <c r="O20" s="121">
        <f t="shared" si="4"/>
        <v>0</v>
      </c>
      <c r="P20" s="121">
        <f t="shared" si="4"/>
        <v>0</v>
      </c>
      <c r="Q20" s="121">
        <f t="shared" si="4"/>
        <v>0</v>
      </c>
      <c r="R20" s="121">
        <f t="shared" si="4"/>
        <v>0</v>
      </c>
      <c r="S20" s="121">
        <f t="shared" si="4"/>
        <v>0</v>
      </c>
      <c r="T20" s="121">
        <f t="shared" si="4"/>
        <v>0</v>
      </c>
      <c r="U20" s="121">
        <f t="shared" si="4"/>
        <v>0</v>
      </c>
      <c r="V20" s="121">
        <f t="shared" si="4"/>
        <v>0</v>
      </c>
      <c r="W20" s="121">
        <f t="shared" si="4"/>
        <v>0</v>
      </c>
      <c r="X20" s="121">
        <f t="shared" si="4"/>
        <v>0</v>
      </c>
      <c r="Y20" s="121">
        <f t="shared" si="5"/>
        <v>0</v>
      </c>
      <c r="Z20" s="121">
        <f t="shared" si="5"/>
        <v>0</v>
      </c>
      <c r="AA20" s="121">
        <f t="shared" si="5"/>
        <v>0</v>
      </c>
      <c r="AB20" s="121">
        <f t="shared" si="5"/>
        <v>0</v>
      </c>
      <c r="AC20" s="121">
        <f t="shared" si="5"/>
        <v>0</v>
      </c>
      <c r="AD20" s="121">
        <f t="shared" si="5"/>
        <v>0</v>
      </c>
      <c r="AE20" s="121">
        <f t="shared" si="5"/>
        <v>0</v>
      </c>
      <c r="AF20" s="121">
        <f t="shared" si="5"/>
        <v>0</v>
      </c>
      <c r="AG20" s="121">
        <f t="shared" si="5"/>
        <v>0</v>
      </c>
      <c r="AH20" s="121">
        <f t="shared" si="5"/>
        <v>0</v>
      </c>
      <c r="AI20" s="121">
        <f t="shared" si="5"/>
        <v>0</v>
      </c>
      <c r="AJ20" s="121">
        <f t="shared" si="5"/>
        <v>0</v>
      </c>
    </row>
    <row r="21" spans="2:36">
      <c r="B21" s="117" t="s">
        <v>173</v>
      </c>
      <c r="C21" s="122"/>
      <c r="E21" s="35" t="s">
        <v>22</v>
      </c>
      <c r="F21" s="121">
        <f t="shared" si="6"/>
        <v>0.1</v>
      </c>
      <c r="H21" s="35" t="s">
        <v>22</v>
      </c>
      <c r="I21" s="123">
        <f t="shared" si="4"/>
        <v>0</v>
      </c>
      <c r="J21" s="121">
        <f t="shared" si="4"/>
        <v>0</v>
      </c>
      <c r="K21" s="121">
        <f t="shared" si="4"/>
        <v>0</v>
      </c>
      <c r="L21" s="121">
        <f t="shared" si="4"/>
        <v>0</v>
      </c>
      <c r="M21" s="121">
        <f t="shared" si="4"/>
        <v>0</v>
      </c>
      <c r="N21" s="121">
        <f t="shared" si="4"/>
        <v>0</v>
      </c>
      <c r="O21" s="121">
        <f t="shared" si="4"/>
        <v>0</v>
      </c>
      <c r="P21" s="121">
        <f t="shared" si="4"/>
        <v>0</v>
      </c>
      <c r="Q21" s="121">
        <f t="shared" si="4"/>
        <v>0</v>
      </c>
      <c r="R21" s="121">
        <f t="shared" si="4"/>
        <v>0</v>
      </c>
      <c r="S21" s="121">
        <f t="shared" si="4"/>
        <v>0</v>
      </c>
      <c r="T21" s="121">
        <f t="shared" si="4"/>
        <v>0</v>
      </c>
      <c r="U21" s="121">
        <f t="shared" si="4"/>
        <v>0</v>
      </c>
      <c r="V21" s="121">
        <f t="shared" si="4"/>
        <v>0</v>
      </c>
      <c r="W21" s="121">
        <f t="shared" si="4"/>
        <v>0</v>
      </c>
      <c r="X21" s="121">
        <f t="shared" si="4"/>
        <v>0</v>
      </c>
      <c r="Y21" s="121">
        <f t="shared" si="5"/>
        <v>0</v>
      </c>
      <c r="Z21" s="121">
        <f t="shared" si="5"/>
        <v>0</v>
      </c>
      <c r="AA21" s="121">
        <f t="shared" si="5"/>
        <v>0</v>
      </c>
      <c r="AB21" s="121">
        <f t="shared" si="5"/>
        <v>0</v>
      </c>
      <c r="AC21" s="121">
        <f t="shared" si="5"/>
        <v>0</v>
      </c>
      <c r="AD21" s="121">
        <f t="shared" si="5"/>
        <v>0</v>
      </c>
      <c r="AE21" s="121">
        <f t="shared" si="5"/>
        <v>0</v>
      </c>
      <c r="AF21" s="121">
        <f t="shared" si="5"/>
        <v>0</v>
      </c>
      <c r="AG21" s="121">
        <f t="shared" si="5"/>
        <v>0</v>
      </c>
      <c r="AH21" s="121">
        <f t="shared" si="5"/>
        <v>0</v>
      </c>
      <c r="AI21" s="121">
        <f t="shared" si="5"/>
        <v>0</v>
      </c>
      <c r="AJ21" s="121">
        <f t="shared" si="5"/>
        <v>0</v>
      </c>
    </row>
    <row r="22" spans="2:36">
      <c r="B22" s="117" t="s">
        <v>173</v>
      </c>
      <c r="C22" s="122"/>
      <c r="E22" s="35" t="s">
        <v>24</v>
      </c>
      <c r="F22" s="121">
        <f t="shared" si="6"/>
        <v>0.1</v>
      </c>
      <c r="H22" s="35" t="s">
        <v>24</v>
      </c>
      <c r="I22" s="123">
        <f t="shared" si="4"/>
        <v>0</v>
      </c>
      <c r="J22" s="121">
        <f t="shared" si="4"/>
        <v>0</v>
      </c>
      <c r="K22" s="121">
        <f t="shared" si="4"/>
        <v>0</v>
      </c>
      <c r="L22" s="121">
        <f t="shared" si="4"/>
        <v>0</v>
      </c>
      <c r="M22" s="121">
        <f t="shared" si="4"/>
        <v>0</v>
      </c>
      <c r="N22" s="121">
        <f t="shared" si="4"/>
        <v>0</v>
      </c>
      <c r="O22" s="121">
        <f t="shared" si="4"/>
        <v>0</v>
      </c>
      <c r="P22" s="121">
        <f t="shared" si="4"/>
        <v>0</v>
      </c>
      <c r="Q22" s="121">
        <f t="shared" si="4"/>
        <v>0</v>
      </c>
      <c r="R22" s="121">
        <f t="shared" si="4"/>
        <v>0</v>
      </c>
      <c r="S22" s="121">
        <f t="shared" si="4"/>
        <v>0</v>
      </c>
      <c r="T22" s="121">
        <f t="shared" si="4"/>
        <v>0</v>
      </c>
      <c r="U22" s="121">
        <f t="shared" si="4"/>
        <v>0</v>
      </c>
      <c r="V22" s="121">
        <f t="shared" si="4"/>
        <v>0</v>
      </c>
      <c r="W22" s="121">
        <f t="shared" si="4"/>
        <v>0</v>
      </c>
      <c r="X22" s="121">
        <f t="shared" si="4"/>
        <v>0</v>
      </c>
      <c r="Y22" s="121">
        <f t="shared" si="5"/>
        <v>0</v>
      </c>
      <c r="Z22" s="121">
        <f t="shared" si="5"/>
        <v>0</v>
      </c>
      <c r="AA22" s="121">
        <f t="shared" si="5"/>
        <v>0</v>
      </c>
      <c r="AB22" s="121">
        <f t="shared" si="5"/>
        <v>0</v>
      </c>
      <c r="AC22" s="121">
        <f t="shared" si="5"/>
        <v>0</v>
      </c>
      <c r="AD22" s="121">
        <f t="shared" si="5"/>
        <v>0</v>
      </c>
      <c r="AE22" s="121">
        <f t="shared" si="5"/>
        <v>0</v>
      </c>
      <c r="AF22" s="121">
        <f t="shared" si="5"/>
        <v>0</v>
      </c>
      <c r="AG22" s="121">
        <f t="shared" si="5"/>
        <v>0</v>
      </c>
      <c r="AH22" s="121">
        <f t="shared" si="5"/>
        <v>0</v>
      </c>
      <c r="AI22" s="121">
        <f t="shared" si="5"/>
        <v>0</v>
      </c>
      <c r="AJ22" s="121">
        <f t="shared" si="5"/>
        <v>0</v>
      </c>
    </row>
    <row r="23" spans="2:36">
      <c r="B23" s="117" t="s">
        <v>173</v>
      </c>
      <c r="C23" s="122"/>
      <c r="E23" s="35" t="s">
        <v>25</v>
      </c>
      <c r="F23" s="121">
        <f>F$17</f>
        <v>0.1</v>
      </c>
      <c r="H23" s="35" t="s">
        <v>25</v>
      </c>
      <c r="I23" s="123">
        <f t="shared" si="4"/>
        <v>0</v>
      </c>
      <c r="J23" s="121">
        <f t="shared" si="4"/>
        <v>0</v>
      </c>
      <c r="K23" s="121">
        <f t="shared" si="4"/>
        <v>0</v>
      </c>
      <c r="L23" s="121">
        <f t="shared" si="4"/>
        <v>0</v>
      </c>
      <c r="M23" s="121">
        <f t="shared" si="4"/>
        <v>0</v>
      </c>
      <c r="N23" s="121">
        <f t="shared" si="4"/>
        <v>0</v>
      </c>
      <c r="O23" s="121">
        <f t="shared" si="4"/>
        <v>0</v>
      </c>
      <c r="P23" s="121">
        <f t="shared" si="4"/>
        <v>0</v>
      </c>
      <c r="Q23" s="121">
        <f t="shared" si="4"/>
        <v>0</v>
      </c>
      <c r="R23" s="121">
        <f t="shared" si="4"/>
        <v>0</v>
      </c>
      <c r="S23" s="121">
        <f t="shared" si="4"/>
        <v>0</v>
      </c>
      <c r="T23" s="121">
        <f t="shared" si="4"/>
        <v>0</v>
      </c>
      <c r="U23" s="121">
        <f t="shared" si="4"/>
        <v>0</v>
      </c>
      <c r="V23" s="121">
        <f t="shared" si="4"/>
        <v>0</v>
      </c>
      <c r="W23" s="121">
        <f t="shared" si="4"/>
        <v>0</v>
      </c>
      <c r="X23" s="121">
        <f t="shared" si="4"/>
        <v>0</v>
      </c>
      <c r="Y23" s="121">
        <f t="shared" si="5"/>
        <v>0</v>
      </c>
      <c r="Z23" s="121">
        <f t="shared" si="5"/>
        <v>0</v>
      </c>
      <c r="AA23" s="121">
        <f t="shared" si="5"/>
        <v>0</v>
      </c>
      <c r="AB23" s="121">
        <f t="shared" si="5"/>
        <v>0</v>
      </c>
      <c r="AC23" s="121">
        <f t="shared" si="5"/>
        <v>0</v>
      </c>
      <c r="AD23" s="121">
        <f t="shared" si="5"/>
        <v>0</v>
      </c>
      <c r="AE23" s="121">
        <f t="shared" si="5"/>
        <v>0</v>
      </c>
      <c r="AF23" s="121">
        <f t="shared" si="5"/>
        <v>0</v>
      </c>
      <c r="AG23" s="121">
        <f t="shared" si="5"/>
        <v>0</v>
      </c>
      <c r="AH23" s="121">
        <f t="shared" si="5"/>
        <v>0</v>
      </c>
      <c r="AI23" s="121">
        <f t="shared" si="5"/>
        <v>0</v>
      </c>
      <c r="AJ23" s="121">
        <f t="shared" si="5"/>
        <v>0</v>
      </c>
    </row>
    <row r="24" spans="2:36">
      <c r="B24" s="117" t="s">
        <v>173</v>
      </c>
      <c r="C24" s="122"/>
      <c r="E24" s="117"/>
      <c r="F24" s="121"/>
      <c r="H24" s="126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</row>
    <row r="25" spans="2:36">
      <c r="B25" s="117" t="s">
        <v>173</v>
      </c>
      <c r="C25" s="122"/>
      <c r="E25" s="117"/>
      <c r="F25" s="121"/>
      <c r="H25" s="117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</row>
    <row r="26" spans="2:36">
      <c r="B26" s="117" t="s">
        <v>173</v>
      </c>
      <c r="C26" s="122"/>
      <c r="E26" s="117"/>
      <c r="F26" s="121"/>
      <c r="H26" s="117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</row>
    <row r="28" spans="2:36">
      <c r="B28" s="113" t="s">
        <v>167</v>
      </c>
      <c r="E28" s="113" t="s">
        <v>268</v>
      </c>
      <c r="H28" s="113" t="s">
        <v>66</v>
      </c>
      <c r="I28" s="115">
        <v>2023</v>
      </c>
      <c r="J28" s="115">
        <v>2024</v>
      </c>
      <c r="K28" s="115">
        <v>2025</v>
      </c>
      <c r="L28" s="115">
        <v>2026</v>
      </c>
      <c r="M28" s="115">
        <v>2027</v>
      </c>
      <c r="N28" s="115">
        <v>2028</v>
      </c>
      <c r="O28" s="115">
        <v>2029</v>
      </c>
      <c r="P28" s="115">
        <v>2030</v>
      </c>
      <c r="Q28" s="115">
        <v>2031</v>
      </c>
      <c r="R28" s="115">
        <v>2032</v>
      </c>
      <c r="S28" s="115">
        <v>2033</v>
      </c>
      <c r="T28" s="115">
        <v>2034</v>
      </c>
      <c r="U28" s="115">
        <v>2035</v>
      </c>
      <c r="V28" s="115">
        <v>2036</v>
      </c>
      <c r="W28" s="115">
        <v>2037</v>
      </c>
      <c r="X28" s="115">
        <v>2038</v>
      </c>
      <c r="Y28" s="115">
        <v>2039</v>
      </c>
      <c r="Z28" s="115">
        <v>2040</v>
      </c>
      <c r="AA28" s="115">
        <v>2041</v>
      </c>
      <c r="AB28" s="115">
        <v>2042</v>
      </c>
      <c r="AC28" s="115">
        <v>2043</v>
      </c>
      <c r="AD28" s="115">
        <v>2044</v>
      </c>
      <c r="AE28" s="115">
        <v>2045</v>
      </c>
      <c r="AF28" s="115">
        <v>2046</v>
      </c>
      <c r="AG28" s="115">
        <v>2047</v>
      </c>
      <c r="AH28" s="115">
        <v>2048</v>
      </c>
      <c r="AI28" s="115">
        <v>2049</v>
      </c>
      <c r="AJ28" s="115">
        <v>2050</v>
      </c>
    </row>
    <row r="29" spans="2:36">
      <c r="B29" s="117" t="s">
        <v>8</v>
      </c>
      <c r="C29" s="124">
        <f>'2.Input data NLC CIL'!E6</f>
        <v>24923.1</v>
      </c>
      <c r="E29" s="117" t="s">
        <v>8</v>
      </c>
      <c r="F29" s="121">
        <v>0.1</v>
      </c>
      <c r="H29" s="117" t="s">
        <v>8</v>
      </c>
      <c r="I29" s="124">
        <f>'2.Input data NLC CIL'!D22</f>
        <v>1.9544577383249708E-3</v>
      </c>
      <c r="J29" s="121">
        <f t="shared" ref="J29:AJ29" si="7">$I29*($AJ$4-J$4)/27</f>
        <v>1.8820704146833053E-3</v>
      </c>
      <c r="K29" s="121">
        <f t="shared" si="7"/>
        <v>1.8096830910416398E-3</v>
      </c>
      <c r="L29" s="121">
        <f t="shared" si="7"/>
        <v>1.7372957673999741E-3</v>
      </c>
      <c r="M29" s="121">
        <f t="shared" si="7"/>
        <v>1.6649084437583084E-3</v>
      </c>
      <c r="N29" s="121">
        <f t="shared" si="7"/>
        <v>1.5925211201166427E-3</v>
      </c>
      <c r="O29" s="121">
        <f t="shared" si="7"/>
        <v>1.5201337964749772E-3</v>
      </c>
      <c r="P29" s="121">
        <f t="shared" si="7"/>
        <v>1.4477464728333115E-3</v>
      </c>
      <c r="Q29" s="121">
        <f t="shared" si="7"/>
        <v>1.3753591491916461E-3</v>
      </c>
      <c r="R29" s="121">
        <f t="shared" si="7"/>
        <v>1.3029718255499806E-3</v>
      </c>
      <c r="S29" s="121">
        <f t="shared" si="7"/>
        <v>1.2305845019083149E-3</v>
      </c>
      <c r="T29" s="121">
        <f t="shared" si="7"/>
        <v>1.1581971782666494E-3</v>
      </c>
      <c r="U29" s="121">
        <f t="shared" si="7"/>
        <v>1.0858098546249837E-3</v>
      </c>
      <c r="V29" s="121">
        <f t="shared" si="7"/>
        <v>1.0134225309833182E-3</v>
      </c>
      <c r="W29" s="121">
        <f t="shared" si="7"/>
        <v>9.4103520734165264E-4</v>
      </c>
      <c r="X29" s="121">
        <f t="shared" si="7"/>
        <v>8.6864788369998705E-4</v>
      </c>
      <c r="Y29" s="121">
        <f t="shared" si="7"/>
        <v>7.9626056005832136E-4</v>
      </c>
      <c r="Z29" s="121">
        <f t="shared" si="7"/>
        <v>7.2387323641665577E-4</v>
      </c>
      <c r="AA29" s="121">
        <f t="shared" si="7"/>
        <v>6.5148591277499029E-4</v>
      </c>
      <c r="AB29" s="121">
        <f t="shared" si="7"/>
        <v>5.790985891333247E-4</v>
      </c>
      <c r="AC29" s="121">
        <f t="shared" si="7"/>
        <v>5.0671126549165911E-4</v>
      </c>
      <c r="AD29" s="121">
        <f t="shared" si="7"/>
        <v>4.3432394184999353E-4</v>
      </c>
      <c r="AE29" s="121">
        <f t="shared" si="7"/>
        <v>3.6193661820832788E-4</v>
      </c>
      <c r="AF29" s="121">
        <f t="shared" si="7"/>
        <v>2.8954929456666235E-4</v>
      </c>
      <c r="AG29" s="121">
        <f t="shared" si="7"/>
        <v>2.1716197092499676E-4</v>
      </c>
      <c r="AH29" s="121">
        <f t="shared" si="7"/>
        <v>1.4477464728333118E-4</v>
      </c>
      <c r="AI29" s="121">
        <f t="shared" si="7"/>
        <v>7.2387323641665588E-5</v>
      </c>
      <c r="AJ29" s="121">
        <f t="shared" si="7"/>
        <v>0</v>
      </c>
    </row>
    <row r="30" spans="2:36">
      <c r="B30" s="117" t="s">
        <v>173</v>
      </c>
      <c r="C30" s="122"/>
      <c r="E30" s="35" t="s">
        <v>12</v>
      </c>
      <c r="F30" s="121">
        <f>F$29</f>
        <v>0.1</v>
      </c>
      <c r="H30" s="35" t="s">
        <v>12</v>
      </c>
      <c r="I30" s="121">
        <f t="shared" ref="I30:X35" si="8">I$29</f>
        <v>1.9544577383249708E-3</v>
      </c>
      <c r="J30" s="121">
        <f t="shared" si="8"/>
        <v>1.8820704146833053E-3</v>
      </c>
      <c r="K30" s="121">
        <f t="shared" si="8"/>
        <v>1.8096830910416398E-3</v>
      </c>
      <c r="L30" s="121">
        <f t="shared" si="8"/>
        <v>1.7372957673999741E-3</v>
      </c>
      <c r="M30" s="121">
        <f t="shared" si="8"/>
        <v>1.6649084437583084E-3</v>
      </c>
      <c r="N30" s="121">
        <f t="shared" si="8"/>
        <v>1.5925211201166427E-3</v>
      </c>
      <c r="O30" s="121">
        <f t="shared" si="8"/>
        <v>1.5201337964749772E-3</v>
      </c>
      <c r="P30" s="121">
        <f t="shared" si="8"/>
        <v>1.4477464728333115E-3</v>
      </c>
      <c r="Q30" s="121">
        <f t="shared" si="8"/>
        <v>1.3753591491916461E-3</v>
      </c>
      <c r="R30" s="121">
        <f t="shared" si="8"/>
        <v>1.3029718255499806E-3</v>
      </c>
      <c r="S30" s="121">
        <f t="shared" si="8"/>
        <v>1.2305845019083149E-3</v>
      </c>
      <c r="T30" s="121">
        <f t="shared" si="8"/>
        <v>1.1581971782666494E-3</v>
      </c>
      <c r="U30" s="121">
        <f t="shared" si="8"/>
        <v>1.0858098546249837E-3</v>
      </c>
      <c r="V30" s="121">
        <f t="shared" si="8"/>
        <v>1.0134225309833182E-3</v>
      </c>
      <c r="W30" s="121">
        <f t="shared" si="8"/>
        <v>9.4103520734165264E-4</v>
      </c>
      <c r="X30" s="121">
        <f t="shared" si="8"/>
        <v>8.6864788369998705E-4</v>
      </c>
      <c r="Y30" s="121">
        <f t="shared" ref="Y30:AJ35" si="9">Y$29</f>
        <v>7.9626056005832136E-4</v>
      </c>
      <c r="Z30" s="121">
        <f t="shared" si="9"/>
        <v>7.2387323641665577E-4</v>
      </c>
      <c r="AA30" s="121">
        <f t="shared" si="9"/>
        <v>6.5148591277499029E-4</v>
      </c>
      <c r="AB30" s="121">
        <f t="shared" si="9"/>
        <v>5.790985891333247E-4</v>
      </c>
      <c r="AC30" s="121">
        <f t="shared" si="9"/>
        <v>5.0671126549165911E-4</v>
      </c>
      <c r="AD30" s="121">
        <f t="shared" si="9"/>
        <v>4.3432394184999353E-4</v>
      </c>
      <c r="AE30" s="121">
        <f t="shared" si="9"/>
        <v>3.6193661820832788E-4</v>
      </c>
      <c r="AF30" s="121">
        <f t="shared" si="9"/>
        <v>2.8954929456666235E-4</v>
      </c>
      <c r="AG30" s="121">
        <f t="shared" si="9"/>
        <v>2.1716197092499676E-4</v>
      </c>
      <c r="AH30" s="121">
        <f t="shared" si="9"/>
        <v>1.4477464728333118E-4</v>
      </c>
      <c r="AI30" s="121">
        <f t="shared" si="9"/>
        <v>7.2387323641665588E-5</v>
      </c>
      <c r="AJ30" s="121">
        <f t="shared" si="9"/>
        <v>0</v>
      </c>
    </row>
    <row r="31" spans="2:36">
      <c r="B31" s="117" t="s">
        <v>173</v>
      </c>
      <c r="C31" s="122"/>
      <c r="E31" s="35" t="s">
        <v>15</v>
      </c>
      <c r="F31" s="121">
        <f t="shared" ref="F31:F35" si="10">F$29</f>
        <v>0.1</v>
      </c>
      <c r="H31" s="35" t="s">
        <v>15</v>
      </c>
      <c r="I31" s="121">
        <f t="shared" si="8"/>
        <v>1.9544577383249708E-3</v>
      </c>
      <c r="J31" s="121">
        <f t="shared" si="8"/>
        <v>1.8820704146833053E-3</v>
      </c>
      <c r="K31" s="121">
        <f t="shared" si="8"/>
        <v>1.8096830910416398E-3</v>
      </c>
      <c r="L31" s="121">
        <f t="shared" si="8"/>
        <v>1.7372957673999741E-3</v>
      </c>
      <c r="M31" s="121">
        <f t="shared" si="8"/>
        <v>1.6649084437583084E-3</v>
      </c>
      <c r="N31" s="121">
        <f t="shared" si="8"/>
        <v>1.5925211201166427E-3</v>
      </c>
      <c r="O31" s="121">
        <f t="shared" si="8"/>
        <v>1.5201337964749772E-3</v>
      </c>
      <c r="P31" s="121">
        <f t="shared" si="8"/>
        <v>1.4477464728333115E-3</v>
      </c>
      <c r="Q31" s="121">
        <f t="shared" si="8"/>
        <v>1.3753591491916461E-3</v>
      </c>
      <c r="R31" s="121">
        <f t="shared" si="8"/>
        <v>1.3029718255499806E-3</v>
      </c>
      <c r="S31" s="121">
        <f t="shared" si="8"/>
        <v>1.2305845019083149E-3</v>
      </c>
      <c r="T31" s="121">
        <f t="shared" si="8"/>
        <v>1.1581971782666494E-3</v>
      </c>
      <c r="U31" s="121">
        <f t="shared" si="8"/>
        <v>1.0858098546249837E-3</v>
      </c>
      <c r="V31" s="121">
        <f t="shared" si="8"/>
        <v>1.0134225309833182E-3</v>
      </c>
      <c r="W31" s="121">
        <f t="shared" si="8"/>
        <v>9.4103520734165264E-4</v>
      </c>
      <c r="X31" s="121">
        <f t="shared" si="8"/>
        <v>8.6864788369998705E-4</v>
      </c>
      <c r="Y31" s="121">
        <f t="shared" si="9"/>
        <v>7.9626056005832136E-4</v>
      </c>
      <c r="Z31" s="121">
        <f t="shared" si="9"/>
        <v>7.2387323641665577E-4</v>
      </c>
      <c r="AA31" s="121">
        <f t="shared" si="9"/>
        <v>6.5148591277499029E-4</v>
      </c>
      <c r="AB31" s="121">
        <f t="shared" si="9"/>
        <v>5.790985891333247E-4</v>
      </c>
      <c r="AC31" s="121">
        <f t="shared" si="9"/>
        <v>5.0671126549165911E-4</v>
      </c>
      <c r="AD31" s="121">
        <f t="shared" si="9"/>
        <v>4.3432394184999353E-4</v>
      </c>
      <c r="AE31" s="121">
        <f t="shared" si="9"/>
        <v>3.6193661820832788E-4</v>
      </c>
      <c r="AF31" s="121">
        <f t="shared" si="9"/>
        <v>2.8954929456666235E-4</v>
      </c>
      <c r="AG31" s="121">
        <f t="shared" si="9"/>
        <v>2.1716197092499676E-4</v>
      </c>
      <c r="AH31" s="121">
        <f t="shared" si="9"/>
        <v>1.4477464728333118E-4</v>
      </c>
      <c r="AI31" s="121">
        <f t="shared" si="9"/>
        <v>7.2387323641665588E-5</v>
      </c>
      <c r="AJ31" s="121">
        <f t="shared" si="9"/>
        <v>0</v>
      </c>
    </row>
    <row r="32" spans="2:36">
      <c r="B32" s="117" t="s">
        <v>173</v>
      </c>
      <c r="C32" s="122"/>
      <c r="E32" s="35" t="s">
        <v>19</v>
      </c>
      <c r="F32" s="121">
        <f t="shared" si="10"/>
        <v>0.1</v>
      </c>
      <c r="H32" s="35" t="s">
        <v>19</v>
      </c>
      <c r="I32" s="121">
        <f t="shared" si="8"/>
        <v>1.9544577383249708E-3</v>
      </c>
      <c r="J32" s="121">
        <f t="shared" si="8"/>
        <v>1.8820704146833053E-3</v>
      </c>
      <c r="K32" s="121">
        <f t="shared" si="8"/>
        <v>1.8096830910416398E-3</v>
      </c>
      <c r="L32" s="121">
        <f t="shared" si="8"/>
        <v>1.7372957673999741E-3</v>
      </c>
      <c r="M32" s="121">
        <f t="shared" si="8"/>
        <v>1.6649084437583084E-3</v>
      </c>
      <c r="N32" s="121">
        <f t="shared" si="8"/>
        <v>1.5925211201166427E-3</v>
      </c>
      <c r="O32" s="121">
        <f t="shared" si="8"/>
        <v>1.5201337964749772E-3</v>
      </c>
      <c r="P32" s="121">
        <f t="shared" si="8"/>
        <v>1.4477464728333115E-3</v>
      </c>
      <c r="Q32" s="121">
        <f t="shared" si="8"/>
        <v>1.3753591491916461E-3</v>
      </c>
      <c r="R32" s="121">
        <f t="shared" si="8"/>
        <v>1.3029718255499806E-3</v>
      </c>
      <c r="S32" s="121">
        <f t="shared" si="8"/>
        <v>1.2305845019083149E-3</v>
      </c>
      <c r="T32" s="121">
        <f t="shared" si="8"/>
        <v>1.1581971782666494E-3</v>
      </c>
      <c r="U32" s="121">
        <f t="shared" si="8"/>
        <v>1.0858098546249837E-3</v>
      </c>
      <c r="V32" s="121">
        <f t="shared" si="8"/>
        <v>1.0134225309833182E-3</v>
      </c>
      <c r="W32" s="121">
        <f t="shared" si="8"/>
        <v>9.4103520734165264E-4</v>
      </c>
      <c r="X32" s="121">
        <f t="shared" si="8"/>
        <v>8.6864788369998705E-4</v>
      </c>
      <c r="Y32" s="121">
        <f t="shared" si="9"/>
        <v>7.9626056005832136E-4</v>
      </c>
      <c r="Z32" s="121">
        <f t="shared" si="9"/>
        <v>7.2387323641665577E-4</v>
      </c>
      <c r="AA32" s="121">
        <f t="shared" si="9"/>
        <v>6.5148591277499029E-4</v>
      </c>
      <c r="AB32" s="121">
        <f t="shared" si="9"/>
        <v>5.790985891333247E-4</v>
      </c>
      <c r="AC32" s="121">
        <f t="shared" si="9"/>
        <v>5.0671126549165911E-4</v>
      </c>
      <c r="AD32" s="121">
        <f t="shared" si="9"/>
        <v>4.3432394184999353E-4</v>
      </c>
      <c r="AE32" s="121">
        <f t="shared" si="9"/>
        <v>3.6193661820832788E-4</v>
      </c>
      <c r="AF32" s="121">
        <f t="shared" si="9"/>
        <v>2.8954929456666235E-4</v>
      </c>
      <c r="AG32" s="121">
        <f t="shared" si="9"/>
        <v>2.1716197092499676E-4</v>
      </c>
      <c r="AH32" s="121">
        <f t="shared" si="9"/>
        <v>1.4477464728333118E-4</v>
      </c>
      <c r="AI32" s="121">
        <f t="shared" si="9"/>
        <v>7.2387323641665588E-5</v>
      </c>
      <c r="AJ32" s="121">
        <f t="shared" si="9"/>
        <v>0</v>
      </c>
    </row>
    <row r="33" spans="1:36">
      <c r="B33" s="117" t="s">
        <v>173</v>
      </c>
      <c r="C33" s="122"/>
      <c r="E33" s="35" t="s">
        <v>22</v>
      </c>
      <c r="F33" s="121">
        <f t="shared" si="10"/>
        <v>0.1</v>
      </c>
      <c r="H33" s="35" t="s">
        <v>22</v>
      </c>
      <c r="I33" s="121">
        <f t="shared" si="8"/>
        <v>1.9544577383249708E-3</v>
      </c>
      <c r="J33" s="121">
        <f t="shared" si="8"/>
        <v>1.8820704146833053E-3</v>
      </c>
      <c r="K33" s="121">
        <f t="shared" si="8"/>
        <v>1.8096830910416398E-3</v>
      </c>
      <c r="L33" s="121">
        <f t="shared" si="8"/>
        <v>1.7372957673999741E-3</v>
      </c>
      <c r="M33" s="121">
        <f t="shared" si="8"/>
        <v>1.6649084437583084E-3</v>
      </c>
      <c r="N33" s="121">
        <f t="shared" si="8"/>
        <v>1.5925211201166427E-3</v>
      </c>
      <c r="O33" s="121">
        <f t="shared" si="8"/>
        <v>1.5201337964749772E-3</v>
      </c>
      <c r="P33" s="121">
        <f t="shared" si="8"/>
        <v>1.4477464728333115E-3</v>
      </c>
      <c r="Q33" s="121">
        <f t="shared" si="8"/>
        <v>1.3753591491916461E-3</v>
      </c>
      <c r="R33" s="121">
        <f t="shared" si="8"/>
        <v>1.3029718255499806E-3</v>
      </c>
      <c r="S33" s="121">
        <f t="shared" si="8"/>
        <v>1.2305845019083149E-3</v>
      </c>
      <c r="T33" s="121">
        <f t="shared" si="8"/>
        <v>1.1581971782666494E-3</v>
      </c>
      <c r="U33" s="121">
        <f t="shared" si="8"/>
        <v>1.0858098546249837E-3</v>
      </c>
      <c r="V33" s="121">
        <f t="shared" si="8"/>
        <v>1.0134225309833182E-3</v>
      </c>
      <c r="W33" s="121">
        <f t="shared" si="8"/>
        <v>9.4103520734165264E-4</v>
      </c>
      <c r="X33" s="121">
        <f t="shared" si="8"/>
        <v>8.6864788369998705E-4</v>
      </c>
      <c r="Y33" s="121">
        <f t="shared" si="9"/>
        <v>7.9626056005832136E-4</v>
      </c>
      <c r="Z33" s="121">
        <f t="shared" si="9"/>
        <v>7.2387323641665577E-4</v>
      </c>
      <c r="AA33" s="121">
        <f t="shared" si="9"/>
        <v>6.5148591277499029E-4</v>
      </c>
      <c r="AB33" s="121">
        <f t="shared" si="9"/>
        <v>5.790985891333247E-4</v>
      </c>
      <c r="AC33" s="121">
        <f t="shared" si="9"/>
        <v>5.0671126549165911E-4</v>
      </c>
      <c r="AD33" s="121">
        <f t="shared" si="9"/>
        <v>4.3432394184999353E-4</v>
      </c>
      <c r="AE33" s="121">
        <f t="shared" si="9"/>
        <v>3.6193661820832788E-4</v>
      </c>
      <c r="AF33" s="121">
        <f t="shared" si="9"/>
        <v>2.8954929456666235E-4</v>
      </c>
      <c r="AG33" s="121">
        <f t="shared" si="9"/>
        <v>2.1716197092499676E-4</v>
      </c>
      <c r="AH33" s="121">
        <f t="shared" si="9"/>
        <v>1.4477464728333118E-4</v>
      </c>
      <c r="AI33" s="121">
        <f t="shared" si="9"/>
        <v>7.2387323641665588E-5</v>
      </c>
      <c r="AJ33" s="121">
        <f t="shared" si="9"/>
        <v>0</v>
      </c>
    </row>
    <row r="34" spans="1:36">
      <c r="B34" s="117" t="s">
        <v>173</v>
      </c>
      <c r="C34" s="122"/>
      <c r="E34" s="35" t="s">
        <v>24</v>
      </c>
      <c r="F34" s="121">
        <f t="shared" si="10"/>
        <v>0.1</v>
      </c>
      <c r="H34" s="35" t="s">
        <v>24</v>
      </c>
      <c r="I34" s="121">
        <f t="shared" si="8"/>
        <v>1.9544577383249708E-3</v>
      </c>
      <c r="J34" s="121">
        <f t="shared" si="8"/>
        <v>1.8820704146833053E-3</v>
      </c>
      <c r="K34" s="121">
        <f t="shared" si="8"/>
        <v>1.8096830910416398E-3</v>
      </c>
      <c r="L34" s="121">
        <f t="shared" si="8"/>
        <v>1.7372957673999741E-3</v>
      </c>
      <c r="M34" s="121">
        <f t="shared" si="8"/>
        <v>1.6649084437583084E-3</v>
      </c>
      <c r="N34" s="121">
        <f t="shared" si="8"/>
        <v>1.5925211201166427E-3</v>
      </c>
      <c r="O34" s="121">
        <f t="shared" si="8"/>
        <v>1.5201337964749772E-3</v>
      </c>
      <c r="P34" s="121">
        <f t="shared" si="8"/>
        <v>1.4477464728333115E-3</v>
      </c>
      <c r="Q34" s="121">
        <f t="shared" si="8"/>
        <v>1.3753591491916461E-3</v>
      </c>
      <c r="R34" s="121">
        <f t="shared" si="8"/>
        <v>1.3029718255499806E-3</v>
      </c>
      <c r="S34" s="121">
        <f t="shared" si="8"/>
        <v>1.2305845019083149E-3</v>
      </c>
      <c r="T34" s="121">
        <f t="shared" si="8"/>
        <v>1.1581971782666494E-3</v>
      </c>
      <c r="U34" s="121">
        <f t="shared" si="8"/>
        <v>1.0858098546249837E-3</v>
      </c>
      <c r="V34" s="121">
        <f t="shared" si="8"/>
        <v>1.0134225309833182E-3</v>
      </c>
      <c r="W34" s="121">
        <f t="shared" si="8"/>
        <v>9.4103520734165264E-4</v>
      </c>
      <c r="X34" s="121">
        <f t="shared" si="8"/>
        <v>8.6864788369998705E-4</v>
      </c>
      <c r="Y34" s="121">
        <f t="shared" si="9"/>
        <v>7.9626056005832136E-4</v>
      </c>
      <c r="Z34" s="121">
        <f t="shared" si="9"/>
        <v>7.2387323641665577E-4</v>
      </c>
      <c r="AA34" s="121">
        <f t="shared" si="9"/>
        <v>6.5148591277499029E-4</v>
      </c>
      <c r="AB34" s="121">
        <f t="shared" si="9"/>
        <v>5.790985891333247E-4</v>
      </c>
      <c r="AC34" s="121">
        <f t="shared" si="9"/>
        <v>5.0671126549165911E-4</v>
      </c>
      <c r="AD34" s="121">
        <f t="shared" si="9"/>
        <v>4.3432394184999353E-4</v>
      </c>
      <c r="AE34" s="121">
        <f t="shared" si="9"/>
        <v>3.6193661820832788E-4</v>
      </c>
      <c r="AF34" s="121">
        <f t="shared" si="9"/>
        <v>2.8954929456666235E-4</v>
      </c>
      <c r="AG34" s="121">
        <f t="shared" si="9"/>
        <v>2.1716197092499676E-4</v>
      </c>
      <c r="AH34" s="121">
        <f t="shared" si="9"/>
        <v>1.4477464728333118E-4</v>
      </c>
      <c r="AI34" s="121">
        <f t="shared" si="9"/>
        <v>7.2387323641665588E-5</v>
      </c>
      <c r="AJ34" s="121">
        <f t="shared" si="9"/>
        <v>0</v>
      </c>
    </row>
    <row r="35" spans="1:36">
      <c r="B35" s="117" t="s">
        <v>173</v>
      </c>
      <c r="C35" s="122"/>
      <c r="E35" s="35" t="s">
        <v>25</v>
      </c>
      <c r="F35" s="121">
        <f t="shared" si="10"/>
        <v>0.1</v>
      </c>
      <c r="H35" s="35" t="s">
        <v>25</v>
      </c>
      <c r="I35" s="121">
        <f t="shared" si="8"/>
        <v>1.9544577383249708E-3</v>
      </c>
      <c r="J35" s="121">
        <f t="shared" si="8"/>
        <v>1.8820704146833053E-3</v>
      </c>
      <c r="K35" s="121">
        <f t="shared" si="8"/>
        <v>1.8096830910416398E-3</v>
      </c>
      <c r="L35" s="121">
        <f t="shared" si="8"/>
        <v>1.7372957673999741E-3</v>
      </c>
      <c r="M35" s="121">
        <f t="shared" si="8"/>
        <v>1.6649084437583084E-3</v>
      </c>
      <c r="N35" s="121">
        <f t="shared" si="8"/>
        <v>1.5925211201166427E-3</v>
      </c>
      <c r="O35" s="121">
        <f t="shared" si="8"/>
        <v>1.5201337964749772E-3</v>
      </c>
      <c r="P35" s="121">
        <f t="shared" si="8"/>
        <v>1.4477464728333115E-3</v>
      </c>
      <c r="Q35" s="121">
        <f t="shared" si="8"/>
        <v>1.3753591491916461E-3</v>
      </c>
      <c r="R35" s="121">
        <f t="shared" si="8"/>
        <v>1.3029718255499806E-3</v>
      </c>
      <c r="S35" s="121">
        <f t="shared" si="8"/>
        <v>1.2305845019083149E-3</v>
      </c>
      <c r="T35" s="121">
        <f t="shared" si="8"/>
        <v>1.1581971782666494E-3</v>
      </c>
      <c r="U35" s="121">
        <f t="shared" si="8"/>
        <v>1.0858098546249837E-3</v>
      </c>
      <c r="V35" s="121">
        <f t="shared" si="8"/>
        <v>1.0134225309833182E-3</v>
      </c>
      <c r="W35" s="121">
        <f t="shared" si="8"/>
        <v>9.4103520734165264E-4</v>
      </c>
      <c r="X35" s="121">
        <f t="shared" si="8"/>
        <v>8.6864788369998705E-4</v>
      </c>
      <c r="Y35" s="121">
        <f t="shared" si="9"/>
        <v>7.9626056005832136E-4</v>
      </c>
      <c r="Z35" s="121">
        <f t="shared" si="9"/>
        <v>7.2387323641665577E-4</v>
      </c>
      <c r="AA35" s="121">
        <f t="shared" si="9"/>
        <v>6.5148591277499029E-4</v>
      </c>
      <c r="AB35" s="121">
        <f t="shared" si="9"/>
        <v>5.790985891333247E-4</v>
      </c>
      <c r="AC35" s="121">
        <f t="shared" si="9"/>
        <v>5.0671126549165911E-4</v>
      </c>
      <c r="AD35" s="121">
        <f t="shared" si="9"/>
        <v>4.3432394184999353E-4</v>
      </c>
      <c r="AE35" s="121">
        <f t="shared" si="9"/>
        <v>3.6193661820832788E-4</v>
      </c>
      <c r="AF35" s="121">
        <f t="shared" si="9"/>
        <v>2.8954929456666235E-4</v>
      </c>
      <c r="AG35" s="121">
        <f t="shared" si="9"/>
        <v>2.1716197092499676E-4</v>
      </c>
      <c r="AH35" s="121">
        <f t="shared" si="9"/>
        <v>1.4477464728333118E-4</v>
      </c>
      <c r="AI35" s="121">
        <f t="shared" si="9"/>
        <v>7.2387323641665588E-5</v>
      </c>
      <c r="AJ35" s="121">
        <f t="shared" si="9"/>
        <v>0</v>
      </c>
    </row>
    <row r="36" spans="1:36" customFormat="1">
      <c r="A36" s="115"/>
      <c r="B36" s="117" t="s">
        <v>173</v>
      </c>
      <c r="C36" s="122"/>
      <c r="D36" s="115"/>
      <c r="E36" s="35"/>
      <c r="F36" s="121"/>
      <c r="G36" s="115"/>
      <c r="H36" s="117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</row>
    <row r="37" spans="1:36" customFormat="1">
      <c r="A37" s="115"/>
      <c r="B37" s="117" t="s">
        <v>173</v>
      </c>
      <c r="C37" s="122"/>
      <c r="D37" s="115"/>
      <c r="E37" s="117"/>
      <c r="F37" s="121"/>
      <c r="G37" s="115"/>
      <c r="H37" s="117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</row>
    <row r="38" spans="1:36">
      <c r="B38" s="117" t="s">
        <v>173</v>
      </c>
      <c r="C38" s="122"/>
      <c r="E38" s="117"/>
      <c r="F38" s="121"/>
      <c r="H38" s="117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</row>
    <row r="39" spans="1:36">
      <c r="F39" s="127"/>
    </row>
    <row r="40" spans="1:36">
      <c r="B40" s="113" t="s">
        <v>40</v>
      </c>
      <c r="E40" s="113" t="s">
        <v>266</v>
      </c>
      <c r="H40" s="113" t="s">
        <v>67</v>
      </c>
      <c r="I40" s="115">
        <v>2023</v>
      </c>
      <c r="J40" s="115">
        <v>2024</v>
      </c>
      <c r="K40" s="115">
        <v>2025</v>
      </c>
      <c r="L40" s="115">
        <v>2026</v>
      </c>
      <c r="M40" s="115">
        <v>2027</v>
      </c>
      <c r="N40" s="115">
        <v>2028</v>
      </c>
      <c r="O40" s="115">
        <v>2029</v>
      </c>
      <c r="P40" s="115">
        <v>2030</v>
      </c>
      <c r="Q40" s="115">
        <v>2031</v>
      </c>
      <c r="R40" s="115">
        <v>2032</v>
      </c>
      <c r="S40" s="115">
        <v>2033</v>
      </c>
      <c r="T40" s="115">
        <v>2034</v>
      </c>
      <c r="U40" s="115">
        <v>2035</v>
      </c>
      <c r="V40" s="115">
        <v>2036</v>
      </c>
      <c r="W40" s="115">
        <v>2037</v>
      </c>
      <c r="X40" s="115">
        <v>2038</v>
      </c>
      <c r="Y40" s="115">
        <v>2039</v>
      </c>
      <c r="Z40" s="115">
        <v>2040</v>
      </c>
      <c r="AA40" s="115">
        <v>2041</v>
      </c>
      <c r="AB40" s="115">
        <v>2042</v>
      </c>
      <c r="AC40" s="115">
        <v>2043</v>
      </c>
      <c r="AD40" s="115">
        <v>2044</v>
      </c>
      <c r="AE40" s="115">
        <v>2045</v>
      </c>
      <c r="AF40" s="115">
        <v>2046</v>
      </c>
      <c r="AG40" s="115">
        <v>2047</v>
      </c>
      <c r="AH40" s="115">
        <v>2048</v>
      </c>
      <c r="AI40" s="115">
        <v>2049</v>
      </c>
      <c r="AJ40" s="115">
        <v>2050</v>
      </c>
    </row>
    <row r="41" spans="1:36">
      <c r="B41" s="117" t="s">
        <v>8</v>
      </c>
      <c r="C41" s="124">
        <f>'2.Input data NLC CIL'!E7</f>
        <v>24797.800000000003</v>
      </c>
      <c r="E41" s="117"/>
      <c r="F41" s="121"/>
      <c r="H41" s="117" t="s">
        <v>8</v>
      </c>
      <c r="I41" s="124">
        <f>'2.Input data NLC CIL'!E23</f>
        <v>0</v>
      </c>
      <c r="J41" s="121">
        <f t="shared" ref="J41:AJ41" si="11">$I41*($AJ$4-J$4)/27</f>
        <v>0</v>
      </c>
      <c r="K41" s="121">
        <f t="shared" si="11"/>
        <v>0</v>
      </c>
      <c r="L41" s="121">
        <f t="shared" si="11"/>
        <v>0</v>
      </c>
      <c r="M41" s="121">
        <f t="shared" si="11"/>
        <v>0</v>
      </c>
      <c r="N41" s="121">
        <f t="shared" si="11"/>
        <v>0</v>
      </c>
      <c r="O41" s="121">
        <f t="shared" si="11"/>
        <v>0</v>
      </c>
      <c r="P41" s="121">
        <f t="shared" si="11"/>
        <v>0</v>
      </c>
      <c r="Q41" s="121">
        <f t="shared" si="11"/>
        <v>0</v>
      </c>
      <c r="R41" s="121">
        <f t="shared" si="11"/>
        <v>0</v>
      </c>
      <c r="S41" s="121">
        <f t="shared" si="11"/>
        <v>0</v>
      </c>
      <c r="T41" s="121">
        <f t="shared" si="11"/>
        <v>0</v>
      </c>
      <c r="U41" s="121">
        <f t="shared" si="11"/>
        <v>0</v>
      </c>
      <c r="V41" s="121">
        <f t="shared" si="11"/>
        <v>0</v>
      </c>
      <c r="W41" s="121">
        <f t="shared" si="11"/>
        <v>0</v>
      </c>
      <c r="X41" s="121">
        <f t="shared" si="11"/>
        <v>0</v>
      </c>
      <c r="Y41" s="121">
        <f t="shared" si="11"/>
        <v>0</v>
      </c>
      <c r="Z41" s="121">
        <f t="shared" si="11"/>
        <v>0</v>
      </c>
      <c r="AA41" s="121">
        <f t="shared" si="11"/>
        <v>0</v>
      </c>
      <c r="AB41" s="121">
        <f t="shared" si="11"/>
        <v>0</v>
      </c>
      <c r="AC41" s="121">
        <f t="shared" si="11"/>
        <v>0</v>
      </c>
      <c r="AD41" s="121">
        <f t="shared" si="11"/>
        <v>0</v>
      </c>
      <c r="AE41" s="121">
        <f t="shared" si="11"/>
        <v>0</v>
      </c>
      <c r="AF41" s="121">
        <f t="shared" si="11"/>
        <v>0</v>
      </c>
      <c r="AG41" s="121">
        <f t="shared" si="11"/>
        <v>0</v>
      </c>
      <c r="AH41" s="121">
        <f t="shared" si="11"/>
        <v>0</v>
      </c>
      <c r="AI41" s="121">
        <f t="shared" si="11"/>
        <v>0</v>
      </c>
      <c r="AJ41" s="121">
        <f t="shared" si="11"/>
        <v>0</v>
      </c>
    </row>
    <row r="42" spans="1:36">
      <c r="B42" s="117" t="s">
        <v>173</v>
      </c>
      <c r="C42" s="122"/>
      <c r="E42" s="117"/>
      <c r="F42" s="121"/>
      <c r="H42" s="35" t="s">
        <v>12</v>
      </c>
      <c r="I42" s="121">
        <f t="shared" ref="I42:X47" si="12">I$41</f>
        <v>0</v>
      </c>
      <c r="J42" s="121">
        <f t="shared" si="12"/>
        <v>0</v>
      </c>
      <c r="K42" s="121">
        <f t="shared" si="12"/>
        <v>0</v>
      </c>
      <c r="L42" s="121">
        <f t="shared" si="12"/>
        <v>0</v>
      </c>
      <c r="M42" s="121">
        <f t="shared" si="12"/>
        <v>0</v>
      </c>
      <c r="N42" s="121">
        <f t="shared" si="12"/>
        <v>0</v>
      </c>
      <c r="O42" s="121">
        <f t="shared" si="12"/>
        <v>0</v>
      </c>
      <c r="P42" s="121">
        <f t="shared" si="12"/>
        <v>0</v>
      </c>
      <c r="Q42" s="121">
        <f t="shared" si="12"/>
        <v>0</v>
      </c>
      <c r="R42" s="121">
        <f t="shared" si="12"/>
        <v>0</v>
      </c>
      <c r="S42" s="121">
        <f t="shared" si="12"/>
        <v>0</v>
      </c>
      <c r="T42" s="121">
        <f t="shared" si="12"/>
        <v>0</v>
      </c>
      <c r="U42" s="121">
        <f t="shared" si="12"/>
        <v>0</v>
      </c>
      <c r="V42" s="121">
        <f t="shared" si="12"/>
        <v>0</v>
      </c>
      <c r="W42" s="121">
        <f t="shared" si="12"/>
        <v>0</v>
      </c>
      <c r="X42" s="121">
        <f t="shared" si="12"/>
        <v>0</v>
      </c>
      <c r="Y42" s="121">
        <f t="shared" ref="Y42:AJ47" si="13">Y$41</f>
        <v>0</v>
      </c>
      <c r="Z42" s="121">
        <f t="shared" si="13"/>
        <v>0</v>
      </c>
      <c r="AA42" s="121">
        <f t="shared" si="13"/>
        <v>0</v>
      </c>
      <c r="AB42" s="121">
        <f t="shared" si="13"/>
        <v>0</v>
      </c>
      <c r="AC42" s="121">
        <f t="shared" si="13"/>
        <v>0</v>
      </c>
      <c r="AD42" s="121">
        <f t="shared" si="13"/>
        <v>0</v>
      </c>
      <c r="AE42" s="121">
        <f t="shared" si="13"/>
        <v>0</v>
      </c>
      <c r="AF42" s="121">
        <f t="shared" si="13"/>
        <v>0</v>
      </c>
      <c r="AG42" s="121">
        <f t="shared" si="13"/>
        <v>0</v>
      </c>
      <c r="AH42" s="121">
        <f t="shared" si="13"/>
        <v>0</v>
      </c>
      <c r="AI42" s="121">
        <f t="shared" si="13"/>
        <v>0</v>
      </c>
      <c r="AJ42" s="121">
        <f t="shared" si="13"/>
        <v>0</v>
      </c>
    </row>
    <row r="43" spans="1:36">
      <c r="B43" s="117" t="s">
        <v>173</v>
      </c>
      <c r="C43" s="122"/>
      <c r="E43" s="117"/>
      <c r="F43" s="121"/>
      <c r="H43" s="35" t="s">
        <v>15</v>
      </c>
      <c r="I43" s="121">
        <f t="shared" si="12"/>
        <v>0</v>
      </c>
      <c r="J43" s="121">
        <f t="shared" si="12"/>
        <v>0</v>
      </c>
      <c r="K43" s="121">
        <f t="shared" si="12"/>
        <v>0</v>
      </c>
      <c r="L43" s="121">
        <f t="shared" si="12"/>
        <v>0</v>
      </c>
      <c r="M43" s="121">
        <f t="shared" si="12"/>
        <v>0</v>
      </c>
      <c r="N43" s="121">
        <f t="shared" si="12"/>
        <v>0</v>
      </c>
      <c r="O43" s="121">
        <f t="shared" si="12"/>
        <v>0</v>
      </c>
      <c r="P43" s="121">
        <f t="shared" si="12"/>
        <v>0</v>
      </c>
      <c r="Q43" s="121">
        <f t="shared" si="12"/>
        <v>0</v>
      </c>
      <c r="R43" s="121">
        <f t="shared" si="12"/>
        <v>0</v>
      </c>
      <c r="S43" s="121">
        <f t="shared" si="12"/>
        <v>0</v>
      </c>
      <c r="T43" s="121">
        <f t="shared" si="12"/>
        <v>0</v>
      </c>
      <c r="U43" s="121">
        <f t="shared" si="12"/>
        <v>0</v>
      </c>
      <c r="V43" s="121">
        <f t="shared" si="12"/>
        <v>0</v>
      </c>
      <c r="W43" s="121">
        <f t="shared" si="12"/>
        <v>0</v>
      </c>
      <c r="X43" s="121">
        <f t="shared" si="12"/>
        <v>0</v>
      </c>
      <c r="Y43" s="121">
        <f t="shared" si="13"/>
        <v>0</v>
      </c>
      <c r="Z43" s="121">
        <f t="shared" si="13"/>
        <v>0</v>
      </c>
      <c r="AA43" s="121">
        <f t="shared" si="13"/>
        <v>0</v>
      </c>
      <c r="AB43" s="121">
        <f t="shared" si="13"/>
        <v>0</v>
      </c>
      <c r="AC43" s="121">
        <f t="shared" si="13"/>
        <v>0</v>
      </c>
      <c r="AD43" s="121">
        <f t="shared" si="13"/>
        <v>0</v>
      </c>
      <c r="AE43" s="121">
        <f t="shared" si="13"/>
        <v>0</v>
      </c>
      <c r="AF43" s="121">
        <f t="shared" si="13"/>
        <v>0</v>
      </c>
      <c r="AG43" s="121">
        <f t="shared" si="13"/>
        <v>0</v>
      </c>
      <c r="AH43" s="121">
        <f t="shared" si="13"/>
        <v>0</v>
      </c>
      <c r="AI43" s="121">
        <f t="shared" si="13"/>
        <v>0</v>
      </c>
      <c r="AJ43" s="121">
        <f t="shared" si="13"/>
        <v>0</v>
      </c>
    </row>
    <row r="44" spans="1:36">
      <c r="B44" s="117" t="s">
        <v>173</v>
      </c>
      <c r="C44" s="122"/>
      <c r="E44" s="117"/>
      <c r="F44" s="121"/>
      <c r="H44" s="35" t="s">
        <v>19</v>
      </c>
      <c r="I44" s="121">
        <f t="shared" si="12"/>
        <v>0</v>
      </c>
      <c r="J44" s="121">
        <f t="shared" si="12"/>
        <v>0</v>
      </c>
      <c r="K44" s="121">
        <f t="shared" si="12"/>
        <v>0</v>
      </c>
      <c r="L44" s="121">
        <f t="shared" si="12"/>
        <v>0</v>
      </c>
      <c r="M44" s="121">
        <f t="shared" si="12"/>
        <v>0</v>
      </c>
      <c r="N44" s="121">
        <f t="shared" si="12"/>
        <v>0</v>
      </c>
      <c r="O44" s="121">
        <f t="shared" si="12"/>
        <v>0</v>
      </c>
      <c r="P44" s="121">
        <f t="shared" si="12"/>
        <v>0</v>
      </c>
      <c r="Q44" s="121">
        <f t="shared" si="12"/>
        <v>0</v>
      </c>
      <c r="R44" s="121">
        <f t="shared" si="12"/>
        <v>0</v>
      </c>
      <c r="S44" s="121">
        <f t="shared" si="12"/>
        <v>0</v>
      </c>
      <c r="T44" s="121">
        <f t="shared" si="12"/>
        <v>0</v>
      </c>
      <c r="U44" s="121">
        <f t="shared" si="12"/>
        <v>0</v>
      </c>
      <c r="V44" s="121">
        <f t="shared" si="12"/>
        <v>0</v>
      </c>
      <c r="W44" s="121">
        <f t="shared" si="12"/>
        <v>0</v>
      </c>
      <c r="X44" s="121">
        <f t="shared" si="12"/>
        <v>0</v>
      </c>
      <c r="Y44" s="121">
        <f t="shared" si="13"/>
        <v>0</v>
      </c>
      <c r="Z44" s="121">
        <f t="shared" si="13"/>
        <v>0</v>
      </c>
      <c r="AA44" s="121">
        <f t="shared" si="13"/>
        <v>0</v>
      </c>
      <c r="AB44" s="121">
        <f t="shared" si="13"/>
        <v>0</v>
      </c>
      <c r="AC44" s="121">
        <f t="shared" si="13"/>
        <v>0</v>
      </c>
      <c r="AD44" s="121">
        <f t="shared" si="13"/>
        <v>0</v>
      </c>
      <c r="AE44" s="121">
        <f t="shared" si="13"/>
        <v>0</v>
      </c>
      <c r="AF44" s="121">
        <f t="shared" si="13"/>
        <v>0</v>
      </c>
      <c r="AG44" s="121">
        <f t="shared" si="13"/>
        <v>0</v>
      </c>
      <c r="AH44" s="121">
        <f t="shared" si="13"/>
        <v>0</v>
      </c>
      <c r="AI44" s="121">
        <f t="shared" si="13"/>
        <v>0</v>
      </c>
      <c r="AJ44" s="121">
        <f t="shared" si="13"/>
        <v>0</v>
      </c>
    </row>
    <row r="45" spans="1:36">
      <c r="B45" s="117" t="s">
        <v>173</v>
      </c>
      <c r="C45" s="122"/>
      <c r="E45" s="117"/>
      <c r="F45" s="121"/>
      <c r="H45" s="35" t="s">
        <v>22</v>
      </c>
      <c r="I45" s="121">
        <f t="shared" si="12"/>
        <v>0</v>
      </c>
      <c r="J45" s="121">
        <f t="shared" si="12"/>
        <v>0</v>
      </c>
      <c r="K45" s="121">
        <f t="shared" si="12"/>
        <v>0</v>
      </c>
      <c r="L45" s="121">
        <f t="shared" si="12"/>
        <v>0</v>
      </c>
      <c r="M45" s="121">
        <f t="shared" si="12"/>
        <v>0</v>
      </c>
      <c r="N45" s="121">
        <f t="shared" si="12"/>
        <v>0</v>
      </c>
      <c r="O45" s="121">
        <f t="shared" si="12"/>
        <v>0</v>
      </c>
      <c r="P45" s="121">
        <f t="shared" si="12"/>
        <v>0</v>
      </c>
      <c r="Q45" s="121">
        <f t="shared" si="12"/>
        <v>0</v>
      </c>
      <c r="R45" s="121">
        <f t="shared" si="12"/>
        <v>0</v>
      </c>
      <c r="S45" s="121">
        <f t="shared" si="12"/>
        <v>0</v>
      </c>
      <c r="T45" s="121">
        <f t="shared" si="12"/>
        <v>0</v>
      </c>
      <c r="U45" s="121">
        <f t="shared" si="12"/>
        <v>0</v>
      </c>
      <c r="V45" s="121">
        <f t="shared" si="12"/>
        <v>0</v>
      </c>
      <c r="W45" s="121">
        <f t="shared" si="12"/>
        <v>0</v>
      </c>
      <c r="X45" s="121">
        <f t="shared" si="12"/>
        <v>0</v>
      </c>
      <c r="Y45" s="121">
        <f t="shared" si="13"/>
        <v>0</v>
      </c>
      <c r="Z45" s="121">
        <f t="shared" si="13"/>
        <v>0</v>
      </c>
      <c r="AA45" s="121">
        <f t="shared" si="13"/>
        <v>0</v>
      </c>
      <c r="AB45" s="121">
        <f t="shared" si="13"/>
        <v>0</v>
      </c>
      <c r="AC45" s="121">
        <f t="shared" si="13"/>
        <v>0</v>
      </c>
      <c r="AD45" s="121">
        <f t="shared" si="13"/>
        <v>0</v>
      </c>
      <c r="AE45" s="121">
        <f t="shared" si="13"/>
        <v>0</v>
      </c>
      <c r="AF45" s="121">
        <f t="shared" si="13"/>
        <v>0</v>
      </c>
      <c r="AG45" s="121">
        <f t="shared" si="13"/>
        <v>0</v>
      </c>
      <c r="AH45" s="121">
        <f t="shared" si="13"/>
        <v>0</v>
      </c>
      <c r="AI45" s="121">
        <f t="shared" si="13"/>
        <v>0</v>
      </c>
      <c r="AJ45" s="121">
        <f t="shared" si="13"/>
        <v>0</v>
      </c>
    </row>
    <row r="46" spans="1:36">
      <c r="B46" s="117" t="s">
        <v>173</v>
      </c>
      <c r="C46" s="122"/>
      <c r="E46" s="117"/>
      <c r="F46" s="121"/>
      <c r="H46" s="35" t="s">
        <v>24</v>
      </c>
      <c r="I46" s="121">
        <f t="shared" si="12"/>
        <v>0</v>
      </c>
      <c r="J46" s="121">
        <f t="shared" si="12"/>
        <v>0</v>
      </c>
      <c r="K46" s="121">
        <f t="shared" si="12"/>
        <v>0</v>
      </c>
      <c r="L46" s="121">
        <f t="shared" si="12"/>
        <v>0</v>
      </c>
      <c r="M46" s="121">
        <f t="shared" si="12"/>
        <v>0</v>
      </c>
      <c r="N46" s="121">
        <f t="shared" si="12"/>
        <v>0</v>
      </c>
      <c r="O46" s="121">
        <f t="shared" si="12"/>
        <v>0</v>
      </c>
      <c r="P46" s="121">
        <f t="shared" si="12"/>
        <v>0</v>
      </c>
      <c r="Q46" s="121">
        <f t="shared" si="12"/>
        <v>0</v>
      </c>
      <c r="R46" s="121">
        <f t="shared" si="12"/>
        <v>0</v>
      </c>
      <c r="S46" s="121">
        <f t="shared" si="12"/>
        <v>0</v>
      </c>
      <c r="T46" s="121">
        <f t="shared" si="12"/>
        <v>0</v>
      </c>
      <c r="U46" s="121">
        <f t="shared" si="12"/>
        <v>0</v>
      </c>
      <c r="V46" s="121">
        <f t="shared" si="12"/>
        <v>0</v>
      </c>
      <c r="W46" s="121">
        <f t="shared" si="12"/>
        <v>0</v>
      </c>
      <c r="X46" s="121">
        <f t="shared" si="12"/>
        <v>0</v>
      </c>
      <c r="Y46" s="121">
        <f t="shared" si="13"/>
        <v>0</v>
      </c>
      <c r="Z46" s="121">
        <f t="shared" si="13"/>
        <v>0</v>
      </c>
      <c r="AA46" s="121">
        <f t="shared" si="13"/>
        <v>0</v>
      </c>
      <c r="AB46" s="121">
        <f t="shared" si="13"/>
        <v>0</v>
      </c>
      <c r="AC46" s="121">
        <f t="shared" si="13"/>
        <v>0</v>
      </c>
      <c r="AD46" s="121">
        <f t="shared" si="13"/>
        <v>0</v>
      </c>
      <c r="AE46" s="121">
        <f t="shared" si="13"/>
        <v>0</v>
      </c>
      <c r="AF46" s="121">
        <f t="shared" si="13"/>
        <v>0</v>
      </c>
      <c r="AG46" s="121">
        <f t="shared" si="13"/>
        <v>0</v>
      </c>
      <c r="AH46" s="121">
        <f t="shared" si="13"/>
        <v>0</v>
      </c>
      <c r="AI46" s="121">
        <f t="shared" si="13"/>
        <v>0</v>
      </c>
      <c r="AJ46" s="121">
        <f t="shared" si="13"/>
        <v>0</v>
      </c>
    </row>
    <row r="47" spans="1:36">
      <c r="B47" s="117" t="s">
        <v>173</v>
      </c>
      <c r="C47" s="122"/>
      <c r="E47" s="117"/>
      <c r="F47" s="121"/>
      <c r="H47" s="35" t="s">
        <v>25</v>
      </c>
      <c r="I47" s="121">
        <f t="shared" si="12"/>
        <v>0</v>
      </c>
      <c r="J47" s="121">
        <f t="shared" si="12"/>
        <v>0</v>
      </c>
      <c r="K47" s="121">
        <f t="shared" si="12"/>
        <v>0</v>
      </c>
      <c r="L47" s="121">
        <f t="shared" si="12"/>
        <v>0</v>
      </c>
      <c r="M47" s="121">
        <f t="shared" si="12"/>
        <v>0</v>
      </c>
      <c r="N47" s="121">
        <f t="shared" si="12"/>
        <v>0</v>
      </c>
      <c r="O47" s="121">
        <f t="shared" si="12"/>
        <v>0</v>
      </c>
      <c r="P47" s="121">
        <f t="shared" si="12"/>
        <v>0</v>
      </c>
      <c r="Q47" s="121">
        <f t="shared" si="12"/>
        <v>0</v>
      </c>
      <c r="R47" s="121">
        <f t="shared" si="12"/>
        <v>0</v>
      </c>
      <c r="S47" s="121">
        <f t="shared" si="12"/>
        <v>0</v>
      </c>
      <c r="T47" s="121">
        <f t="shared" si="12"/>
        <v>0</v>
      </c>
      <c r="U47" s="121">
        <f t="shared" si="12"/>
        <v>0</v>
      </c>
      <c r="V47" s="121">
        <f t="shared" si="12"/>
        <v>0</v>
      </c>
      <c r="W47" s="121">
        <f t="shared" si="12"/>
        <v>0</v>
      </c>
      <c r="X47" s="121">
        <f t="shared" si="12"/>
        <v>0</v>
      </c>
      <c r="Y47" s="121">
        <f t="shared" si="13"/>
        <v>0</v>
      </c>
      <c r="Z47" s="121">
        <f t="shared" si="13"/>
        <v>0</v>
      </c>
      <c r="AA47" s="121">
        <f t="shared" si="13"/>
        <v>0</v>
      </c>
      <c r="AB47" s="121">
        <f t="shared" si="13"/>
        <v>0</v>
      </c>
      <c r="AC47" s="121">
        <f t="shared" si="13"/>
        <v>0</v>
      </c>
      <c r="AD47" s="121">
        <f t="shared" si="13"/>
        <v>0</v>
      </c>
      <c r="AE47" s="121">
        <f t="shared" si="13"/>
        <v>0</v>
      </c>
      <c r="AF47" s="121">
        <f t="shared" si="13"/>
        <v>0</v>
      </c>
      <c r="AG47" s="121">
        <f t="shared" si="13"/>
        <v>0</v>
      </c>
      <c r="AH47" s="121">
        <f t="shared" si="13"/>
        <v>0</v>
      </c>
      <c r="AI47" s="121">
        <f t="shared" si="13"/>
        <v>0</v>
      </c>
      <c r="AJ47" s="121">
        <f t="shared" si="13"/>
        <v>0</v>
      </c>
    </row>
    <row r="48" spans="1:36">
      <c r="B48" s="117" t="s">
        <v>173</v>
      </c>
      <c r="C48" s="122"/>
      <c r="E48" s="117"/>
      <c r="F48" s="121"/>
      <c r="H48" s="117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</row>
    <row r="49" spans="2:36">
      <c r="B49" s="117" t="s">
        <v>173</v>
      </c>
      <c r="C49" s="122"/>
      <c r="E49" s="117"/>
      <c r="F49" s="121"/>
      <c r="H49" s="117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</row>
    <row r="50" spans="2:36">
      <c r="B50" s="117" t="s">
        <v>173</v>
      </c>
      <c r="C50" s="122"/>
      <c r="E50" s="117"/>
      <c r="F50" s="121"/>
      <c r="H50" s="117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</row>
    <row r="51" spans="2:36"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</row>
    <row r="52" spans="2:36">
      <c r="B52" s="113" t="s">
        <v>41</v>
      </c>
      <c r="E52" s="113" t="s">
        <v>65</v>
      </c>
      <c r="H52" s="113" t="s">
        <v>68</v>
      </c>
      <c r="I52" s="115">
        <v>2023</v>
      </c>
      <c r="J52" s="115">
        <v>2024</v>
      </c>
      <c r="K52" s="115">
        <v>2025</v>
      </c>
      <c r="L52" s="115">
        <v>2026</v>
      </c>
      <c r="M52" s="115">
        <v>2027</v>
      </c>
      <c r="N52" s="115">
        <v>2028</v>
      </c>
      <c r="O52" s="115">
        <v>2029</v>
      </c>
      <c r="P52" s="115">
        <v>2030</v>
      </c>
      <c r="Q52" s="115">
        <v>2031</v>
      </c>
      <c r="R52" s="115">
        <v>2032</v>
      </c>
      <c r="S52" s="115">
        <v>2033</v>
      </c>
      <c r="T52" s="115">
        <v>2034</v>
      </c>
      <c r="U52" s="115">
        <v>2035</v>
      </c>
      <c r="V52" s="115">
        <v>2036</v>
      </c>
      <c r="W52" s="115">
        <v>2037</v>
      </c>
      <c r="X52" s="115">
        <v>2038</v>
      </c>
      <c r="Y52" s="115">
        <v>2039</v>
      </c>
      <c r="Z52" s="115">
        <v>2040</v>
      </c>
      <c r="AA52" s="115">
        <v>2041</v>
      </c>
      <c r="AB52" s="115">
        <v>2042</v>
      </c>
      <c r="AC52" s="115">
        <v>2043</v>
      </c>
      <c r="AD52" s="115">
        <v>2044</v>
      </c>
      <c r="AE52" s="115">
        <v>2045</v>
      </c>
      <c r="AF52" s="115">
        <v>2046</v>
      </c>
      <c r="AG52" s="115">
        <v>2047</v>
      </c>
      <c r="AH52" s="115">
        <v>2048</v>
      </c>
      <c r="AI52" s="115">
        <v>2049</v>
      </c>
      <c r="AJ52" s="115">
        <v>2050</v>
      </c>
    </row>
    <row r="53" spans="2:36">
      <c r="B53" s="117" t="s">
        <v>8</v>
      </c>
      <c r="C53" s="80">
        <f>'2.Input data NLC CIL'!E8</f>
        <v>7556.3</v>
      </c>
      <c r="E53" s="117"/>
      <c r="F53" s="121"/>
      <c r="H53" s="117" t="s">
        <v>8</v>
      </c>
      <c r="I53" s="121">
        <f>I137</f>
        <v>10.684819934898</v>
      </c>
      <c r="J53" s="121">
        <f t="shared" ref="J53:AJ53" si="14">J137</f>
        <v>10.522418050588</v>
      </c>
      <c r="K53" s="121">
        <f t="shared" si="14"/>
        <v>10.360016166277999</v>
      </c>
      <c r="L53" s="121">
        <f t="shared" si="14"/>
        <v>10.197614281968001</v>
      </c>
      <c r="M53" s="121">
        <f t="shared" si="14"/>
        <v>10.048064596531201</v>
      </c>
      <c r="N53" s="121">
        <f t="shared" si="14"/>
        <v>9.8985149110944022</v>
      </c>
      <c r="O53" s="121">
        <f t="shared" si="14"/>
        <v>9.7489652256576029</v>
      </c>
      <c r="P53" s="121">
        <f t="shared" si="14"/>
        <v>9.5994155402208037</v>
      </c>
      <c r="Q53" s="121">
        <f t="shared" si="14"/>
        <v>9.4498658547840009</v>
      </c>
      <c r="R53" s="121">
        <f t="shared" si="14"/>
        <v>9.3289080907968014</v>
      </c>
      <c r="S53" s="121">
        <f t="shared" si="14"/>
        <v>9.2079503268096019</v>
      </c>
      <c r="T53" s="121">
        <f t="shared" si="14"/>
        <v>9.0869925628224024</v>
      </c>
      <c r="U53" s="121">
        <f t="shared" si="14"/>
        <v>8.9660347988352029</v>
      </c>
      <c r="V53" s="121">
        <f t="shared" si="14"/>
        <v>8.8450770348480017</v>
      </c>
      <c r="W53" s="121">
        <f t="shared" si="14"/>
        <v>8.7615659120004015</v>
      </c>
      <c r="X53" s="121">
        <f t="shared" si="14"/>
        <v>8.6780547891528013</v>
      </c>
      <c r="Y53" s="121">
        <f t="shared" si="14"/>
        <v>8.5945436663052011</v>
      </c>
      <c r="Z53" s="121">
        <f t="shared" si="14"/>
        <v>8.5110325434576009</v>
      </c>
      <c r="AA53" s="121">
        <f t="shared" si="14"/>
        <v>8.4275214206099971</v>
      </c>
      <c r="AB53" s="121">
        <f t="shared" si="14"/>
        <v>8.3774795319675981</v>
      </c>
      <c r="AC53" s="121">
        <f t="shared" si="14"/>
        <v>8.3274376433251991</v>
      </c>
      <c r="AD53" s="121">
        <f t="shared" si="14"/>
        <v>8.2773957546828001</v>
      </c>
      <c r="AE53" s="121">
        <f t="shared" si="14"/>
        <v>8.2273538660404011</v>
      </c>
      <c r="AF53" s="121">
        <f t="shared" si="14"/>
        <v>8.1773119773979985</v>
      </c>
      <c r="AG53" s="121">
        <f t="shared" si="14"/>
        <v>8.156843246297198</v>
      </c>
      <c r="AH53" s="121">
        <f t="shared" si="14"/>
        <v>8.1363745151963975</v>
      </c>
      <c r="AI53" s="121">
        <f t="shared" si="14"/>
        <v>8.115905784095597</v>
      </c>
      <c r="AJ53" s="121">
        <f t="shared" si="14"/>
        <v>8.0954370529947965</v>
      </c>
    </row>
    <row r="54" spans="2:36">
      <c r="B54" s="117" t="s">
        <v>173</v>
      </c>
      <c r="C54" s="122"/>
      <c r="E54" s="117"/>
      <c r="F54" s="121"/>
      <c r="H54" s="35" t="s">
        <v>12</v>
      </c>
      <c r="I54" s="121">
        <f t="shared" ref="I54:AJ59" si="15">I138</f>
        <v>25.0414200753724</v>
      </c>
      <c r="J54" s="121">
        <f t="shared" si="15"/>
        <v>32.057318261299599</v>
      </c>
      <c r="K54" s="121">
        <f t="shared" si="15"/>
        <v>39.073216447226798</v>
      </c>
      <c r="L54" s="121">
        <f t="shared" si="15"/>
        <v>46.089114633153997</v>
      </c>
      <c r="M54" s="121">
        <f t="shared" si="15"/>
        <v>48.072200152634402</v>
      </c>
      <c r="N54" s="121">
        <f t="shared" si="15"/>
        <v>50.055285672114806</v>
      </c>
      <c r="O54" s="121">
        <f t="shared" si="15"/>
        <v>52.038371191595211</v>
      </c>
      <c r="P54" s="121">
        <f t="shared" si="15"/>
        <v>54.021456711075615</v>
      </c>
      <c r="Q54" s="121">
        <f t="shared" si="15"/>
        <v>56.004542230556012</v>
      </c>
      <c r="R54" s="121">
        <f t="shared" si="15"/>
        <v>58.561105124668011</v>
      </c>
      <c r="S54" s="121">
        <f t="shared" si="15"/>
        <v>61.117668018780009</v>
      </c>
      <c r="T54" s="121">
        <f t="shared" si="15"/>
        <v>63.674230912892007</v>
      </c>
      <c r="U54" s="121">
        <f t="shared" si="15"/>
        <v>66.230793807004005</v>
      </c>
      <c r="V54" s="121">
        <f t="shared" si="15"/>
        <v>68.787356701116011</v>
      </c>
      <c r="W54" s="121">
        <f t="shared" si="15"/>
        <v>71.680261317830414</v>
      </c>
      <c r="X54" s="121">
        <f t="shared" si="15"/>
        <v>74.573165934544818</v>
      </c>
      <c r="Y54" s="121">
        <f t="shared" si="15"/>
        <v>77.466070551259222</v>
      </c>
      <c r="Z54" s="121">
        <f t="shared" si="15"/>
        <v>80.358975167973625</v>
      </c>
      <c r="AA54" s="121">
        <f t="shared" si="15"/>
        <v>83.251879784688001</v>
      </c>
      <c r="AB54" s="121">
        <f t="shared" si="15"/>
        <v>86.7434979985468</v>
      </c>
      <c r="AC54" s="121">
        <f t="shared" si="15"/>
        <v>90.2351162124056</v>
      </c>
      <c r="AD54" s="121">
        <f t="shared" si="15"/>
        <v>93.7267344262644</v>
      </c>
      <c r="AE54" s="121">
        <f t="shared" si="15"/>
        <v>97.2183526401232</v>
      </c>
      <c r="AF54" s="121">
        <f t="shared" si="15"/>
        <v>100.709970853982</v>
      </c>
      <c r="AG54" s="121">
        <f t="shared" si="15"/>
        <v>104.9548035272808</v>
      </c>
      <c r="AH54" s="121">
        <f t="shared" si="15"/>
        <v>109.1996362005796</v>
      </c>
      <c r="AI54" s="121">
        <f t="shared" si="15"/>
        <v>113.44446887387841</v>
      </c>
      <c r="AJ54" s="121">
        <f t="shared" si="15"/>
        <v>117.68930154717721</v>
      </c>
    </row>
    <row r="55" spans="2:36">
      <c r="B55" s="117" t="s">
        <v>173</v>
      </c>
      <c r="C55" s="122"/>
      <c r="E55" s="117"/>
      <c r="F55" s="121"/>
      <c r="H55" s="35" t="s">
        <v>15</v>
      </c>
      <c r="I55" s="121">
        <f t="shared" si="15"/>
        <v>10.684819934898</v>
      </c>
      <c r="J55" s="121">
        <f t="shared" si="15"/>
        <v>10.522418050588</v>
      </c>
      <c r="K55" s="121">
        <f t="shared" si="15"/>
        <v>10.360016166277999</v>
      </c>
      <c r="L55" s="121">
        <f t="shared" si="15"/>
        <v>10.197614281968001</v>
      </c>
      <c r="M55" s="121">
        <f t="shared" si="15"/>
        <v>10.048064596531201</v>
      </c>
      <c r="N55" s="121">
        <f t="shared" si="15"/>
        <v>9.8985149110944022</v>
      </c>
      <c r="O55" s="121">
        <f t="shared" si="15"/>
        <v>9.7489652256576029</v>
      </c>
      <c r="P55" s="121">
        <f t="shared" si="15"/>
        <v>9.5994155402208037</v>
      </c>
      <c r="Q55" s="121">
        <f t="shared" si="15"/>
        <v>9.4498658547840009</v>
      </c>
      <c r="R55" s="121">
        <f t="shared" si="15"/>
        <v>9.3289080907968014</v>
      </c>
      <c r="S55" s="121">
        <f t="shared" si="15"/>
        <v>9.2079503268096019</v>
      </c>
      <c r="T55" s="121">
        <f t="shared" si="15"/>
        <v>9.0869925628224024</v>
      </c>
      <c r="U55" s="121">
        <f t="shared" si="15"/>
        <v>8.9660347988352029</v>
      </c>
      <c r="V55" s="121">
        <f t="shared" si="15"/>
        <v>8.8450770348480017</v>
      </c>
      <c r="W55" s="121">
        <f t="shared" si="15"/>
        <v>8.7615659120004015</v>
      </c>
      <c r="X55" s="121">
        <f t="shared" si="15"/>
        <v>8.6780547891528013</v>
      </c>
      <c r="Y55" s="121">
        <f t="shared" si="15"/>
        <v>8.5945436663052011</v>
      </c>
      <c r="Z55" s="121">
        <f t="shared" si="15"/>
        <v>8.5110325434576009</v>
      </c>
      <c r="AA55" s="121">
        <f t="shared" si="15"/>
        <v>8.4275214206099971</v>
      </c>
      <c r="AB55" s="121">
        <f t="shared" si="15"/>
        <v>8.3774795319675981</v>
      </c>
      <c r="AC55" s="121">
        <f t="shared" si="15"/>
        <v>8.3274376433251991</v>
      </c>
      <c r="AD55" s="121">
        <f t="shared" si="15"/>
        <v>8.2773957546828001</v>
      </c>
      <c r="AE55" s="121">
        <f t="shared" si="15"/>
        <v>8.2273538660404011</v>
      </c>
      <c r="AF55" s="121">
        <f t="shared" si="15"/>
        <v>8.1773119773979985</v>
      </c>
      <c r="AG55" s="121">
        <f t="shared" si="15"/>
        <v>8.156843246297198</v>
      </c>
      <c r="AH55" s="121">
        <f t="shared" si="15"/>
        <v>8.1363745151963975</v>
      </c>
      <c r="AI55" s="121">
        <f t="shared" si="15"/>
        <v>8.115905784095597</v>
      </c>
      <c r="AJ55" s="121">
        <f t="shared" si="15"/>
        <v>8.0954370529947965</v>
      </c>
    </row>
    <row r="56" spans="2:36">
      <c r="B56" s="117" t="s">
        <v>173</v>
      </c>
      <c r="C56" s="122"/>
      <c r="E56" s="117"/>
      <c r="F56" s="121"/>
      <c r="H56" s="35" t="s">
        <v>19</v>
      </c>
      <c r="I56" s="121">
        <f t="shared" si="15"/>
        <v>10.683416029531601</v>
      </c>
      <c r="J56" s="121">
        <f t="shared" si="15"/>
        <v>10.520312192538402</v>
      </c>
      <c r="K56" s="121">
        <f t="shared" si="15"/>
        <v>10.357208355545202</v>
      </c>
      <c r="L56" s="121">
        <f t="shared" si="15"/>
        <v>10.194104518552001</v>
      </c>
      <c r="M56" s="121">
        <f t="shared" si="15"/>
        <v>10.044331579195601</v>
      </c>
      <c r="N56" s="121">
        <f t="shared" si="15"/>
        <v>9.894558639839202</v>
      </c>
      <c r="O56" s="121">
        <f t="shared" si="15"/>
        <v>9.7447857004828027</v>
      </c>
      <c r="P56" s="121">
        <f t="shared" si="15"/>
        <v>9.5950127611264033</v>
      </c>
      <c r="Q56" s="121">
        <f t="shared" si="15"/>
        <v>9.4452398217700004</v>
      </c>
      <c r="R56" s="121">
        <f t="shared" si="15"/>
        <v>32.6149095809008</v>
      </c>
      <c r="S56" s="121">
        <f t="shared" si="15"/>
        <v>55.784579340031598</v>
      </c>
      <c r="T56" s="121">
        <f t="shared" si="15"/>
        <v>78.954249099162396</v>
      </c>
      <c r="U56" s="121">
        <f t="shared" si="15"/>
        <v>102.12391885829319</v>
      </c>
      <c r="V56" s="121">
        <f t="shared" si="15"/>
        <v>125.29358861742401</v>
      </c>
      <c r="W56" s="121">
        <f t="shared" si="15"/>
        <v>137.87139825438243</v>
      </c>
      <c r="X56" s="121">
        <f t="shared" si="15"/>
        <v>150.44920789134085</v>
      </c>
      <c r="Y56" s="121">
        <f t="shared" si="15"/>
        <v>163.02701752829927</v>
      </c>
      <c r="Z56" s="121">
        <f t="shared" si="15"/>
        <v>175.60482716525769</v>
      </c>
      <c r="AA56" s="121">
        <f t="shared" si="15"/>
        <v>188.18263680221611</v>
      </c>
      <c r="AB56" s="121">
        <f t="shared" si="15"/>
        <v>202.39666240802129</v>
      </c>
      <c r="AC56" s="121">
        <f t="shared" si="15"/>
        <v>216.61068801382646</v>
      </c>
      <c r="AD56" s="121">
        <f t="shared" si="15"/>
        <v>230.82471361963164</v>
      </c>
      <c r="AE56" s="121">
        <f t="shared" si="15"/>
        <v>245.03873922543681</v>
      </c>
      <c r="AF56" s="121">
        <f t="shared" si="15"/>
        <v>259.25276483124202</v>
      </c>
      <c r="AG56" s="121">
        <f t="shared" si="15"/>
        <v>274.66921805831521</v>
      </c>
      <c r="AH56" s="121">
        <f t="shared" si="15"/>
        <v>290.0856712853884</v>
      </c>
      <c r="AI56" s="121">
        <f t="shared" si="15"/>
        <v>305.50212451246159</v>
      </c>
      <c r="AJ56" s="121">
        <f t="shared" si="15"/>
        <v>320.91857773953478</v>
      </c>
    </row>
    <row r="57" spans="2:36">
      <c r="B57" s="117" t="s">
        <v>173</v>
      </c>
      <c r="C57" s="122"/>
      <c r="E57" s="117"/>
      <c r="F57" s="121"/>
      <c r="H57" s="35" t="s">
        <v>22</v>
      </c>
      <c r="I57" s="121">
        <f t="shared" si="15"/>
        <v>10.683416029531601</v>
      </c>
      <c r="J57" s="121">
        <f t="shared" si="15"/>
        <v>10.520312192538402</v>
      </c>
      <c r="K57" s="121">
        <f t="shared" si="15"/>
        <v>10.357208355545202</v>
      </c>
      <c r="L57" s="121">
        <f t="shared" si="15"/>
        <v>10.194104518552001</v>
      </c>
      <c r="M57" s="121">
        <f t="shared" si="15"/>
        <v>10.044331579195601</v>
      </c>
      <c r="N57" s="121">
        <f t="shared" si="15"/>
        <v>9.894558639839202</v>
      </c>
      <c r="O57" s="121">
        <f t="shared" si="15"/>
        <v>9.7447857004828027</v>
      </c>
      <c r="P57" s="121">
        <f t="shared" si="15"/>
        <v>9.5950127611264033</v>
      </c>
      <c r="Q57" s="121">
        <f t="shared" si="15"/>
        <v>9.4452398217700004</v>
      </c>
      <c r="R57" s="121">
        <f t="shared" si="15"/>
        <v>27.039689652890402</v>
      </c>
      <c r="S57" s="121">
        <f t="shared" si="15"/>
        <v>44.634139484010802</v>
      </c>
      <c r="T57" s="121">
        <f t="shared" si="15"/>
        <v>62.228589315131202</v>
      </c>
      <c r="U57" s="121">
        <f t="shared" si="15"/>
        <v>79.823039146251602</v>
      </c>
      <c r="V57" s="121">
        <f t="shared" si="15"/>
        <v>97.417488977372017</v>
      </c>
      <c r="W57" s="121">
        <f t="shared" si="15"/>
        <v>101.47175893300961</v>
      </c>
      <c r="X57" s="121">
        <f t="shared" si="15"/>
        <v>105.5260288886472</v>
      </c>
      <c r="Y57" s="121">
        <f t="shared" si="15"/>
        <v>109.5802988442848</v>
      </c>
      <c r="Z57" s="121">
        <f t="shared" si="15"/>
        <v>113.63456879992239</v>
      </c>
      <c r="AA57" s="121">
        <f t="shared" si="15"/>
        <v>117.68883875556</v>
      </c>
      <c r="AB57" s="121">
        <f t="shared" si="15"/>
        <v>121.4130372400912</v>
      </c>
      <c r="AC57" s="121">
        <f t="shared" si="15"/>
        <v>125.1372357246224</v>
      </c>
      <c r="AD57" s="121">
        <f t="shared" si="15"/>
        <v>128.8614342091536</v>
      </c>
      <c r="AE57" s="121">
        <f t="shared" si="15"/>
        <v>132.5856326936848</v>
      </c>
      <c r="AF57" s="121">
        <f t="shared" si="15"/>
        <v>136.309831178216</v>
      </c>
      <c r="AG57" s="121">
        <f t="shared" si="15"/>
        <v>139.9807007772028</v>
      </c>
      <c r="AH57" s="121">
        <f t="shared" si="15"/>
        <v>143.6515703761896</v>
      </c>
      <c r="AI57" s="121">
        <f t="shared" si="15"/>
        <v>147.32243997517639</v>
      </c>
      <c r="AJ57" s="121">
        <f t="shared" si="15"/>
        <v>150.99330957416319</v>
      </c>
    </row>
    <row r="58" spans="2:36">
      <c r="B58" s="117" t="s">
        <v>173</v>
      </c>
      <c r="C58" s="122"/>
      <c r="E58" s="117"/>
      <c r="F58" s="121"/>
      <c r="H58" s="35" t="s">
        <v>24</v>
      </c>
      <c r="I58" s="121">
        <f t="shared" si="15"/>
        <v>19.173481846293999</v>
      </c>
      <c r="J58" s="121">
        <f t="shared" si="15"/>
        <v>23.255410917681999</v>
      </c>
      <c r="K58" s="121">
        <f t="shared" si="15"/>
        <v>27.337339989069999</v>
      </c>
      <c r="L58" s="121">
        <f t="shared" si="15"/>
        <v>31.419269060457999</v>
      </c>
      <c r="M58" s="121">
        <f t="shared" si="15"/>
        <v>34.9382503797844</v>
      </c>
      <c r="N58" s="121">
        <f t="shared" si="15"/>
        <v>38.4572316991108</v>
      </c>
      <c r="O58" s="121">
        <f t="shared" si="15"/>
        <v>41.9762130184372</v>
      </c>
      <c r="P58" s="121">
        <f t="shared" si="15"/>
        <v>45.4951943377636</v>
      </c>
      <c r="Q58" s="121">
        <f t="shared" si="15"/>
        <v>49.014175657089993</v>
      </c>
      <c r="R58" s="121">
        <f t="shared" si="15"/>
        <v>49.260799456695992</v>
      </c>
      <c r="S58" s="121">
        <f t="shared" si="15"/>
        <v>49.50742325630199</v>
      </c>
      <c r="T58" s="121">
        <f t="shared" si="15"/>
        <v>49.754047055907989</v>
      </c>
      <c r="U58" s="121">
        <f t="shared" si="15"/>
        <v>50.000670855513988</v>
      </c>
      <c r="V58" s="121">
        <f t="shared" si="15"/>
        <v>50.247294655119987</v>
      </c>
      <c r="W58" s="121">
        <f t="shared" si="15"/>
        <v>50.783110597825988</v>
      </c>
      <c r="X58" s="121">
        <f t="shared" si="15"/>
        <v>51.31892654053199</v>
      </c>
      <c r="Y58" s="121">
        <f t="shared" si="15"/>
        <v>51.854742483237992</v>
      </c>
      <c r="Z58" s="121">
        <f t="shared" si="15"/>
        <v>52.390558425943993</v>
      </c>
      <c r="AA58" s="121">
        <f t="shared" si="15"/>
        <v>52.926374368650002</v>
      </c>
      <c r="AB58" s="121">
        <f t="shared" si="15"/>
        <v>53.642654937641602</v>
      </c>
      <c r="AC58" s="121">
        <f t="shared" si="15"/>
        <v>54.358935506633202</v>
      </c>
      <c r="AD58" s="121">
        <f t="shared" si="15"/>
        <v>55.075216075624802</v>
      </c>
      <c r="AE58" s="121">
        <f t="shared" si="15"/>
        <v>55.791496644616402</v>
      </c>
      <c r="AF58" s="121">
        <f t="shared" si="15"/>
        <v>56.507777213607987</v>
      </c>
      <c r="AG58" s="121">
        <f t="shared" si="15"/>
        <v>57.263574656870389</v>
      </c>
      <c r="AH58" s="121">
        <f t="shared" si="15"/>
        <v>58.019372100132792</v>
      </c>
      <c r="AI58" s="121">
        <f t="shared" si="15"/>
        <v>58.775169543395194</v>
      </c>
      <c r="AJ58" s="121">
        <f t="shared" si="15"/>
        <v>59.530966986657596</v>
      </c>
    </row>
    <row r="59" spans="2:36">
      <c r="B59" s="117" t="s">
        <v>173</v>
      </c>
      <c r="C59" s="122"/>
      <c r="E59" s="117"/>
      <c r="F59" s="121"/>
      <c r="H59" s="35" t="s">
        <v>25</v>
      </c>
      <c r="I59" s="121">
        <f t="shared" si="15"/>
        <v>65.469516307497202</v>
      </c>
      <c r="J59" s="121">
        <f t="shared" si="15"/>
        <v>92.699462609486801</v>
      </c>
      <c r="K59" s="121">
        <f t="shared" si="15"/>
        <v>119.9294089114764</v>
      </c>
      <c r="L59" s="121">
        <f t="shared" si="15"/>
        <v>147.159355213466</v>
      </c>
      <c r="M59" s="121">
        <f t="shared" si="15"/>
        <v>156.13345781564999</v>
      </c>
      <c r="N59" s="121">
        <f t="shared" si="15"/>
        <v>165.10756041783398</v>
      </c>
      <c r="O59" s="121">
        <f t="shared" si="15"/>
        <v>174.08166302001797</v>
      </c>
      <c r="P59" s="121">
        <f t="shared" si="15"/>
        <v>183.05576562220196</v>
      </c>
      <c r="Q59" s="121">
        <f t="shared" si="15"/>
        <v>192.02986822438601</v>
      </c>
      <c r="R59" s="121">
        <f t="shared" si="15"/>
        <v>205.74762901307679</v>
      </c>
      <c r="S59" s="121">
        <f t="shared" si="15"/>
        <v>219.46538980176757</v>
      </c>
      <c r="T59" s="121">
        <f t="shared" si="15"/>
        <v>233.18315059045835</v>
      </c>
      <c r="U59" s="121">
        <f t="shared" si="15"/>
        <v>246.90091137914914</v>
      </c>
      <c r="V59" s="121">
        <f t="shared" si="15"/>
        <v>260.61867216783997</v>
      </c>
      <c r="W59" s="121">
        <f t="shared" si="15"/>
        <v>276.92654087641876</v>
      </c>
      <c r="X59" s="121">
        <f t="shared" si="15"/>
        <v>293.23440958499754</v>
      </c>
      <c r="Y59" s="121">
        <f t="shared" si="15"/>
        <v>309.54227829357632</v>
      </c>
      <c r="Z59" s="121">
        <f t="shared" si="15"/>
        <v>325.8501470021551</v>
      </c>
      <c r="AA59" s="121">
        <f t="shared" si="15"/>
        <v>342.15801571073399</v>
      </c>
      <c r="AB59" s="121">
        <f t="shared" si="15"/>
        <v>362.56755237622519</v>
      </c>
      <c r="AC59" s="121">
        <f t="shared" si="15"/>
        <v>382.9770890417164</v>
      </c>
      <c r="AD59" s="121">
        <f t="shared" si="15"/>
        <v>403.3866257072076</v>
      </c>
      <c r="AE59" s="121">
        <f t="shared" si="15"/>
        <v>423.7961623726988</v>
      </c>
      <c r="AF59" s="121">
        <f t="shared" si="15"/>
        <v>444.20569903818989</v>
      </c>
      <c r="AG59" s="121">
        <f t="shared" si="15"/>
        <v>469.32704171267989</v>
      </c>
      <c r="AH59" s="121">
        <f t="shared" si="15"/>
        <v>494.44838438716988</v>
      </c>
      <c r="AI59" s="121">
        <f t="shared" si="15"/>
        <v>519.56972706165993</v>
      </c>
      <c r="AJ59" s="121">
        <f t="shared" si="15"/>
        <v>544.69106973614998</v>
      </c>
    </row>
    <row r="60" spans="2:36">
      <c r="B60" s="117" t="s">
        <v>173</v>
      </c>
      <c r="C60" s="122"/>
      <c r="E60" s="117"/>
      <c r="F60" s="121"/>
      <c r="H60" s="117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</row>
    <row r="61" spans="2:36">
      <c r="B61" s="117" t="s">
        <v>173</v>
      </c>
      <c r="C61" s="122"/>
      <c r="E61" s="117"/>
      <c r="F61" s="121"/>
      <c r="H61" s="117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</row>
    <row r="62" spans="2:36">
      <c r="B62" s="117" t="s">
        <v>173</v>
      </c>
      <c r="C62" s="122"/>
      <c r="E62" s="117"/>
      <c r="F62" s="121"/>
      <c r="H62" s="117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</row>
    <row r="64" spans="2:36">
      <c r="B64" s="113" t="s">
        <v>269</v>
      </c>
      <c r="E64" s="113" t="s">
        <v>66</v>
      </c>
      <c r="H64" s="113" t="s">
        <v>69</v>
      </c>
      <c r="I64" s="115">
        <v>2023</v>
      </c>
      <c r="J64" s="115">
        <v>2024</v>
      </c>
      <c r="K64" s="115">
        <v>2025</v>
      </c>
      <c r="L64" s="115">
        <v>2026</v>
      </c>
      <c r="M64" s="115">
        <v>2027</v>
      </c>
      <c r="N64" s="115">
        <v>2028</v>
      </c>
      <c r="O64" s="115">
        <v>2029</v>
      </c>
      <c r="P64" s="115">
        <v>2030</v>
      </c>
      <c r="Q64" s="115">
        <v>2031</v>
      </c>
      <c r="R64" s="115">
        <v>2032</v>
      </c>
      <c r="S64" s="115">
        <v>2033</v>
      </c>
      <c r="T64" s="115">
        <v>2034</v>
      </c>
      <c r="U64" s="115">
        <v>2035</v>
      </c>
      <c r="V64" s="115">
        <v>2036</v>
      </c>
      <c r="W64" s="115">
        <v>2037</v>
      </c>
      <c r="X64" s="115">
        <v>2038</v>
      </c>
      <c r="Y64" s="115">
        <v>2039</v>
      </c>
      <c r="Z64" s="115">
        <v>2040</v>
      </c>
      <c r="AA64" s="115">
        <v>2041</v>
      </c>
      <c r="AB64" s="115">
        <v>2042</v>
      </c>
      <c r="AC64" s="115">
        <v>2043</v>
      </c>
      <c r="AD64" s="115">
        <v>2044</v>
      </c>
      <c r="AE64" s="115">
        <v>2045</v>
      </c>
      <c r="AF64" s="115">
        <v>2046</v>
      </c>
      <c r="AG64" s="115">
        <v>2047</v>
      </c>
      <c r="AH64" s="115">
        <v>2048</v>
      </c>
      <c r="AI64" s="115">
        <v>2049</v>
      </c>
      <c r="AJ64" s="115">
        <v>2050</v>
      </c>
    </row>
    <row r="65" spans="2:36">
      <c r="B65" s="117" t="s">
        <v>173</v>
      </c>
      <c r="C65" s="122"/>
      <c r="E65" s="117"/>
      <c r="F65" s="121"/>
      <c r="H65" s="117" t="s">
        <v>8</v>
      </c>
      <c r="I65" s="121">
        <f>I137</f>
        <v>10.684819934898</v>
      </c>
      <c r="J65" s="121">
        <f t="shared" ref="J65:AJ65" si="16">J137</f>
        <v>10.522418050588</v>
      </c>
      <c r="K65" s="121">
        <f t="shared" si="16"/>
        <v>10.360016166277999</v>
      </c>
      <c r="L65" s="121">
        <f t="shared" si="16"/>
        <v>10.197614281968001</v>
      </c>
      <c r="M65" s="121">
        <f t="shared" si="16"/>
        <v>10.048064596531201</v>
      </c>
      <c r="N65" s="121">
        <f t="shared" si="16"/>
        <v>9.8985149110944022</v>
      </c>
      <c r="O65" s="121">
        <f t="shared" si="16"/>
        <v>9.7489652256576029</v>
      </c>
      <c r="P65" s="121">
        <f t="shared" si="16"/>
        <v>9.5994155402208037</v>
      </c>
      <c r="Q65" s="121">
        <f t="shared" si="16"/>
        <v>9.4498658547840009</v>
      </c>
      <c r="R65" s="121">
        <f t="shared" si="16"/>
        <v>9.3289080907968014</v>
      </c>
      <c r="S65" s="121">
        <f t="shared" si="16"/>
        <v>9.2079503268096019</v>
      </c>
      <c r="T65" s="121">
        <f t="shared" si="16"/>
        <v>9.0869925628224024</v>
      </c>
      <c r="U65" s="121">
        <f t="shared" si="16"/>
        <v>8.9660347988352029</v>
      </c>
      <c r="V65" s="121">
        <f t="shared" si="16"/>
        <v>8.8450770348480017</v>
      </c>
      <c r="W65" s="121">
        <f t="shared" si="16"/>
        <v>8.7615659120004015</v>
      </c>
      <c r="X65" s="121">
        <f t="shared" si="16"/>
        <v>8.6780547891528013</v>
      </c>
      <c r="Y65" s="121">
        <f t="shared" si="16"/>
        <v>8.5945436663052011</v>
      </c>
      <c r="Z65" s="121">
        <f t="shared" si="16"/>
        <v>8.5110325434576009</v>
      </c>
      <c r="AA65" s="121">
        <f t="shared" si="16"/>
        <v>8.4275214206099971</v>
      </c>
      <c r="AB65" s="121">
        <f t="shared" si="16"/>
        <v>8.3774795319675981</v>
      </c>
      <c r="AC65" s="121">
        <f t="shared" si="16"/>
        <v>8.3274376433251991</v>
      </c>
      <c r="AD65" s="121">
        <f t="shared" si="16"/>
        <v>8.2773957546828001</v>
      </c>
      <c r="AE65" s="121">
        <f t="shared" si="16"/>
        <v>8.2273538660404011</v>
      </c>
      <c r="AF65" s="121">
        <f t="shared" si="16"/>
        <v>8.1773119773979985</v>
      </c>
      <c r="AG65" s="121">
        <f t="shared" si="16"/>
        <v>8.156843246297198</v>
      </c>
      <c r="AH65" s="121">
        <f t="shared" si="16"/>
        <v>8.1363745151963975</v>
      </c>
      <c r="AI65" s="121">
        <f t="shared" si="16"/>
        <v>8.115905784095597</v>
      </c>
      <c r="AJ65" s="121">
        <f t="shared" si="16"/>
        <v>8.0954370529947965</v>
      </c>
    </row>
    <row r="66" spans="2:36">
      <c r="B66" s="117" t="s">
        <v>173</v>
      </c>
      <c r="C66" s="122"/>
      <c r="E66" s="117"/>
      <c r="F66" s="121"/>
      <c r="H66" s="35" t="s">
        <v>12</v>
      </c>
      <c r="I66" s="121">
        <f t="shared" ref="I66:AJ71" si="17">I138</f>
        <v>25.0414200753724</v>
      </c>
      <c r="J66" s="121">
        <f t="shared" si="17"/>
        <v>32.057318261299599</v>
      </c>
      <c r="K66" s="121">
        <f t="shared" si="17"/>
        <v>39.073216447226798</v>
      </c>
      <c r="L66" s="121">
        <f t="shared" si="17"/>
        <v>46.089114633153997</v>
      </c>
      <c r="M66" s="121">
        <f t="shared" si="17"/>
        <v>48.072200152634402</v>
      </c>
      <c r="N66" s="121">
        <f t="shared" si="17"/>
        <v>50.055285672114806</v>
      </c>
      <c r="O66" s="121">
        <f t="shared" si="17"/>
        <v>52.038371191595211</v>
      </c>
      <c r="P66" s="121">
        <f t="shared" si="17"/>
        <v>54.021456711075615</v>
      </c>
      <c r="Q66" s="121">
        <f t="shared" si="17"/>
        <v>56.004542230556012</v>
      </c>
      <c r="R66" s="121">
        <f t="shared" si="17"/>
        <v>58.561105124668011</v>
      </c>
      <c r="S66" s="121">
        <f t="shared" si="17"/>
        <v>61.117668018780009</v>
      </c>
      <c r="T66" s="121">
        <f t="shared" si="17"/>
        <v>63.674230912892007</v>
      </c>
      <c r="U66" s="121">
        <f t="shared" si="17"/>
        <v>66.230793807004005</v>
      </c>
      <c r="V66" s="121">
        <f t="shared" si="17"/>
        <v>68.787356701116011</v>
      </c>
      <c r="W66" s="121">
        <f t="shared" si="17"/>
        <v>71.680261317830414</v>
      </c>
      <c r="X66" s="121">
        <f t="shared" si="17"/>
        <v>74.573165934544818</v>
      </c>
      <c r="Y66" s="121">
        <f t="shared" si="17"/>
        <v>77.466070551259222</v>
      </c>
      <c r="Z66" s="121">
        <f t="shared" si="17"/>
        <v>80.358975167973625</v>
      </c>
      <c r="AA66" s="121">
        <f t="shared" si="17"/>
        <v>83.251879784688001</v>
      </c>
      <c r="AB66" s="121">
        <f t="shared" si="17"/>
        <v>86.7434979985468</v>
      </c>
      <c r="AC66" s="121">
        <f t="shared" si="17"/>
        <v>90.2351162124056</v>
      </c>
      <c r="AD66" s="121">
        <f t="shared" si="17"/>
        <v>93.7267344262644</v>
      </c>
      <c r="AE66" s="121">
        <f t="shared" si="17"/>
        <v>97.2183526401232</v>
      </c>
      <c r="AF66" s="121">
        <f t="shared" si="17"/>
        <v>100.709970853982</v>
      </c>
      <c r="AG66" s="121">
        <f t="shared" si="17"/>
        <v>104.9548035272808</v>
      </c>
      <c r="AH66" s="121">
        <f t="shared" si="17"/>
        <v>109.1996362005796</v>
      </c>
      <c r="AI66" s="121">
        <f t="shared" si="17"/>
        <v>113.44446887387841</v>
      </c>
      <c r="AJ66" s="121">
        <f t="shared" si="17"/>
        <v>117.68930154717721</v>
      </c>
    </row>
    <row r="67" spans="2:36">
      <c r="B67" s="117" t="s">
        <v>173</v>
      </c>
      <c r="C67" s="122"/>
      <c r="E67" s="117"/>
      <c r="F67" s="121"/>
      <c r="H67" s="35" t="s">
        <v>15</v>
      </c>
      <c r="I67" s="121">
        <f t="shared" si="17"/>
        <v>10.684819934898</v>
      </c>
      <c r="J67" s="121">
        <f t="shared" si="17"/>
        <v>10.522418050588</v>
      </c>
      <c r="K67" s="121">
        <f t="shared" si="17"/>
        <v>10.360016166277999</v>
      </c>
      <c r="L67" s="121">
        <f t="shared" si="17"/>
        <v>10.197614281968001</v>
      </c>
      <c r="M67" s="121">
        <f t="shared" si="17"/>
        <v>10.048064596531201</v>
      </c>
      <c r="N67" s="121">
        <f t="shared" si="17"/>
        <v>9.8985149110944022</v>
      </c>
      <c r="O67" s="121">
        <f t="shared" si="17"/>
        <v>9.7489652256576029</v>
      </c>
      <c r="P67" s="121">
        <f t="shared" si="17"/>
        <v>9.5994155402208037</v>
      </c>
      <c r="Q67" s="121">
        <f t="shared" si="17"/>
        <v>9.4498658547840009</v>
      </c>
      <c r="R67" s="121">
        <f t="shared" si="17"/>
        <v>9.3289080907968014</v>
      </c>
      <c r="S67" s="121">
        <f t="shared" si="17"/>
        <v>9.2079503268096019</v>
      </c>
      <c r="T67" s="121">
        <f t="shared" si="17"/>
        <v>9.0869925628224024</v>
      </c>
      <c r="U67" s="121">
        <f t="shared" si="17"/>
        <v>8.9660347988352029</v>
      </c>
      <c r="V67" s="121">
        <f t="shared" si="17"/>
        <v>8.8450770348480017</v>
      </c>
      <c r="W67" s="121">
        <f t="shared" si="17"/>
        <v>8.7615659120004015</v>
      </c>
      <c r="X67" s="121">
        <f t="shared" si="17"/>
        <v>8.6780547891528013</v>
      </c>
      <c r="Y67" s="121">
        <f t="shared" si="17"/>
        <v>8.5945436663052011</v>
      </c>
      <c r="Z67" s="121">
        <f t="shared" si="17"/>
        <v>8.5110325434576009</v>
      </c>
      <c r="AA67" s="121">
        <f t="shared" si="17"/>
        <v>8.4275214206099971</v>
      </c>
      <c r="AB67" s="121">
        <f t="shared" si="17"/>
        <v>8.3774795319675981</v>
      </c>
      <c r="AC67" s="121">
        <f t="shared" si="17"/>
        <v>8.3274376433251991</v>
      </c>
      <c r="AD67" s="121">
        <f t="shared" si="17"/>
        <v>8.2773957546828001</v>
      </c>
      <c r="AE67" s="121">
        <f t="shared" si="17"/>
        <v>8.2273538660404011</v>
      </c>
      <c r="AF67" s="121">
        <f t="shared" si="17"/>
        <v>8.1773119773979985</v>
      </c>
      <c r="AG67" s="121">
        <f t="shared" si="17"/>
        <v>8.156843246297198</v>
      </c>
      <c r="AH67" s="121">
        <f t="shared" si="17"/>
        <v>8.1363745151963975</v>
      </c>
      <c r="AI67" s="121">
        <f t="shared" si="17"/>
        <v>8.115905784095597</v>
      </c>
      <c r="AJ67" s="121">
        <f t="shared" si="17"/>
        <v>8.0954370529947965</v>
      </c>
    </row>
    <row r="68" spans="2:36">
      <c r="B68" s="117" t="s">
        <v>173</v>
      </c>
      <c r="C68" s="122"/>
      <c r="E68" s="117"/>
      <c r="F68" s="121"/>
      <c r="H68" s="35" t="s">
        <v>19</v>
      </c>
      <c r="I68" s="121">
        <f t="shared" si="17"/>
        <v>10.683416029531601</v>
      </c>
      <c r="J68" s="121">
        <f t="shared" si="17"/>
        <v>10.520312192538402</v>
      </c>
      <c r="K68" s="121">
        <f t="shared" si="17"/>
        <v>10.357208355545202</v>
      </c>
      <c r="L68" s="121">
        <f t="shared" si="17"/>
        <v>10.194104518552001</v>
      </c>
      <c r="M68" s="121">
        <f t="shared" si="17"/>
        <v>10.044331579195601</v>
      </c>
      <c r="N68" s="121">
        <f t="shared" si="17"/>
        <v>9.894558639839202</v>
      </c>
      <c r="O68" s="121">
        <f t="shared" si="17"/>
        <v>9.7447857004828027</v>
      </c>
      <c r="P68" s="121">
        <f t="shared" si="17"/>
        <v>9.5950127611264033</v>
      </c>
      <c r="Q68" s="121">
        <f t="shared" si="17"/>
        <v>9.4452398217700004</v>
      </c>
      <c r="R68" s="121">
        <f t="shared" si="17"/>
        <v>32.6149095809008</v>
      </c>
      <c r="S68" s="121">
        <f t="shared" si="17"/>
        <v>55.784579340031598</v>
      </c>
      <c r="T68" s="121">
        <f t="shared" si="17"/>
        <v>78.954249099162396</v>
      </c>
      <c r="U68" s="121">
        <f t="shared" si="17"/>
        <v>102.12391885829319</v>
      </c>
      <c r="V68" s="121">
        <f t="shared" si="17"/>
        <v>125.29358861742401</v>
      </c>
      <c r="W68" s="121">
        <f t="shared" si="17"/>
        <v>137.87139825438243</v>
      </c>
      <c r="X68" s="121">
        <f t="shared" si="17"/>
        <v>150.44920789134085</v>
      </c>
      <c r="Y68" s="121">
        <f t="shared" si="17"/>
        <v>163.02701752829927</v>
      </c>
      <c r="Z68" s="121">
        <f t="shared" si="17"/>
        <v>175.60482716525769</v>
      </c>
      <c r="AA68" s="121">
        <f t="shared" si="17"/>
        <v>188.18263680221611</v>
      </c>
      <c r="AB68" s="121">
        <f t="shared" si="17"/>
        <v>202.39666240802129</v>
      </c>
      <c r="AC68" s="121">
        <f t="shared" si="17"/>
        <v>216.61068801382646</v>
      </c>
      <c r="AD68" s="121">
        <f t="shared" si="17"/>
        <v>230.82471361963164</v>
      </c>
      <c r="AE68" s="121">
        <f t="shared" si="17"/>
        <v>245.03873922543681</v>
      </c>
      <c r="AF68" s="121">
        <f t="shared" si="17"/>
        <v>259.25276483124202</v>
      </c>
      <c r="AG68" s="121">
        <f t="shared" si="17"/>
        <v>274.66921805831521</v>
      </c>
      <c r="AH68" s="121">
        <f t="shared" si="17"/>
        <v>290.0856712853884</v>
      </c>
      <c r="AI68" s="121">
        <f t="shared" si="17"/>
        <v>305.50212451246159</v>
      </c>
      <c r="AJ68" s="121">
        <f t="shared" si="17"/>
        <v>320.91857773953478</v>
      </c>
    </row>
    <row r="69" spans="2:36">
      <c r="B69" s="117" t="s">
        <v>173</v>
      </c>
      <c r="C69" s="122"/>
      <c r="E69" s="117"/>
      <c r="F69" s="121"/>
      <c r="H69" s="35" t="s">
        <v>22</v>
      </c>
      <c r="I69" s="121">
        <f t="shared" si="17"/>
        <v>10.683416029531601</v>
      </c>
      <c r="J69" s="121">
        <f t="shared" si="17"/>
        <v>10.520312192538402</v>
      </c>
      <c r="K69" s="121">
        <f t="shared" si="17"/>
        <v>10.357208355545202</v>
      </c>
      <c r="L69" s="121">
        <f t="shared" si="17"/>
        <v>10.194104518552001</v>
      </c>
      <c r="M69" s="121">
        <f t="shared" si="17"/>
        <v>10.044331579195601</v>
      </c>
      <c r="N69" s="121">
        <f t="shared" si="17"/>
        <v>9.894558639839202</v>
      </c>
      <c r="O69" s="121">
        <f t="shared" si="17"/>
        <v>9.7447857004828027</v>
      </c>
      <c r="P69" s="121">
        <f t="shared" si="17"/>
        <v>9.5950127611264033</v>
      </c>
      <c r="Q69" s="121">
        <f t="shared" si="17"/>
        <v>9.4452398217700004</v>
      </c>
      <c r="R69" s="121">
        <f t="shared" si="17"/>
        <v>27.039689652890402</v>
      </c>
      <c r="S69" s="121">
        <f t="shared" si="17"/>
        <v>44.634139484010802</v>
      </c>
      <c r="T69" s="121">
        <f t="shared" si="17"/>
        <v>62.228589315131202</v>
      </c>
      <c r="U69" s="121">
        <f t="shared" si="17"/>
        <v>79.823039146251602</v>
      </c>
      <c r="V69" s="121">
        <f t="shared" si="17"/>
        <v>97.417488977372017</v>
      </c>
      <c r="W69" s="121">
        <f t="shared" si="17"/>
        <v>101.47175893300961</v>
      </c>
      <c r="X69" s="121">
        <f t="shared" si="17"/>
        <v>105.5260288886472</v>
      </c>
      <c r="Y69" s="121">
        <f t="shared" si="17"/>
        <v>109.5802988442848</v>
      </c>
      <c r="Z69" s="121">
        <f t="shared" si="17"/>
        <v>113.63456879992239</v>
      </c>
      <c r="AA69" s="121">
        <f t="shared" si="17"/>
        <v>117.68883875556</v>
      </c>
      <c r="AB69" s="121">
        <f t="shared" si="17"/>
        <v>121.4130372400912</v>
      </c>
      <c r="AC69" s="121">
        <f t="shared" si="17"/>
        <v>125.1372357246224</v>
      </c>
      <c r="AD69" s="121">
        <f t="shared" si="17"/>
        <v>128.8614342091536</v>
      </c>
      <c r="AE69" s="121">
        <f t="shared" si="17"/>
        <v>132.5856326936848</v>
      </c>
      <c r="AF69" s="121">
        <f t="shared" si="17"/>
        <v>136.309831178216</v>
      </c>
      <c r="AG69" s="121">
        <f t="shared" si="17"/>
        <v>139.9807007772028</v>
      </c>
      <c r="AH69" s="121">
        <f t="shared" si="17"/>
        <v>143.6515703761896</v>
      </c>
      <c r="AI69" s="121">
        <f t="shared" si="17"/>
        <v>147.32243997517639</v>
      </c>
      <c r="AJ69" s="121">
        <f t="shared" si="17"/>
        <v>150.99330957416319</v>
      </c>
    </row>
    <row r="70" spans="2:36">
      <c r="B70" s="117" t="s">
        <v>173</v>
      </c>
      <c r="C70" s="122"/>
      <c r="E70" s="117"/>
      <c r="F70" s="121"/>
      <c r="H70" s="35" t="s">
        <v>24</v>
      </c>
      <c r="I70" s="121">
        <f t="shared" si="17"/>
        <v>19.173481846293999</v>
      </c>
      <c r="J70" s="121">
        <f t="shared" si="17"/>
        <v>23.255410917681999</v>
      </c>
      <c r="K70" s="121">
        <f t="shared" si="17"/>
        <v>27.337339989069999</v>
      </c>
      <c r="L70" s="121">
        <f t="shared" si="17"/>
        <v>31.419269060457999</v>
      </c>
      <c r="M70" s="121">
        <f t="shared" si="17"/>
        <v>34.9382503797844</v>
      </c>
      <c r="N70" s="121">
        <f t="shared" si="17"/>
        <v>38.4572316991108</v>
      </c>
      <c r="O70" s="121">
        <f t="shared" si="17"/>
        <v>41.9762130184372</v>
      </c>
      <c r="P70" s="121">
        <f t="shared" si="17"/>
        <v>45.4951943377636</v>
      </c>
      <c r="Q70" s="121">
        <f t="shared" si="17"/>
        <v>49.014175657089993</v>
      </c>
      <c r="R70" s="121">
        <f t="shared" si="17"/>
        <v>49.260799456695992</v>
      </c>
      <c r="S70" s="121">
        <f t="shared" si="17"/>
        <v>49.50742325630199</v>
      </c>
      <c r="T70" s="121">
        <f t="shared" si="17"/>
        <v>49.754047055907989</v>
      </c>
      <c r="U70" s="121">
        <f t="shared" si="17"/>
        <v>50.000670855513988</v>
      </c>
      <c r="V70" s="121">
        <f t="shared" si="17"/>
        <v>50.247294655119987</v>
      </c>
      <c r="W70" s="121">
        <f t="shared" si="17"/>
        <v>50.783110597825988</v>
      </c>
      <c r="X70" s="121">
        <f t="shared" si="17"/>
        <v>51.31892654053199</v>
      </c>
      <c r="Y70" s="121">
        <f t="shared" si="17"/>
        <v>51.854742483237992</v>
      </c>
      <c r="Z70" s="121">
        <f t="shared" si="17"/>
        <v>52.390558425943993</v>
      </c>
      <c r="AA70" s="121">
        <f t="shared" si="17"/>
        <v>52.926374368650002</v>
      </c>
      <c r="AB70" s="121">
        <f t="shared" si="17"/>
        <v>53.642654937641602</v>
      </c>
      <c r="AC70" s="121">
        <f t="shared" si="17"/>
        <v>54.358935506633202</v>
      </c>
      <c r="AD70" s="121">
        <f t="shared" si="17"/>
        <v>55.075216075624802</v>
      </c>
      <c r="AE70" s="121">
        <f t="shared" si="17"/>
        <v>55.791496644616402</v>
      </c>
      <c r="AF70" s="121">
        <f t="shared" si="17"/>
        <v>56.507777213607987</v>
      </c>
      <c r="AG70" s="121">
        <f t="shared" si="17"/>
        <v>57.263574656870389</v>
      </c>
      <c r="AH70" s="121">
        <f t="shared" si="17"/>
        <v>58.019372100132792</v>
      </c>
      <c r="AI70" s="121">
        <f t="shared" si="17"/>
        <v>58.775169543395194</v>
      </c>
      <c r="AJ70" s="121">
        <f t="shared" si="17"/>
        <v>59.530966986657596</v>
      </c>
    </row>
    <row r="71" spans="2:36">
      <c r="B71" s="117" t="s">
        <v>173</v>
      </c>
      <c r="C71" s="122"/>
      <c r="E71" s="117"/>
      <c r="F71" s="121"/>
      <c r="H71" s="35" t="s">
        <v>25</v>
      </c>
      <c r="I71" s="121">
        <f t="shared" si="17"/>
        <v>65.469516307497202</v>
      </c>
      <c r="J71" s="121">
        <f t="shared" si="17"/>
        <v>92.699462609486801</v>
      </c>
      <c r="K71" s="121">
        <f t="shared" si="17"/>
        <v>119.9294089114764</v>
      </c>
      <c r="L71" s="121">
        <f t="shared" si="17"/>
        <v>147.159355213466</v>
      </c>
      <c r="M71" s="121">
        <f t="shared" si="17"/>
        <v>156.13345781564999</v>
      </c>
      <c r="N71" s="121">
        <f t="shared" si="17"/>
        <v>165.10756041783398</v>
      </c>
      <c r="O71" s="121">
        <f t="shared" si="17"/>
        <v>174.08166302001797</v>
      </c>
      <c r="P71" s="121">
        <f t="shared" si="17"/>
        <v>183.05576562220196</v>
      </c>
      <c r="Q71" s="121">
        <f t="shared" si="17"/>
        <v>192.02986822438601</v>
      </c>
      <c r="R71" s="121">
        <f t="shared" si="17"/>
        <v>205.74762901307679</v>
      </c>
      <c r="S71" s="121">
        <f t="shared" si="17"/>
        <v>219.46538980176757</v>
      </c>
      <c r="T71" s="121">
        <f t="shared" si="17"/>
        <v>233.18315059045835</v>
      </c>
      <c r="U71" s="121">
        <f t="shared" si="17"/>
        <v>246.90091137914914</v>
      </c>
      <c r="V71" s="121">
        <f t="shared" si="17"/>
        <v>260.61867216783997</v>
      </c>
      <c r="W71" s="121">
        <f t="shared" si="17"/>
        <v>276.92654087641876</v>
      </c>
      <c r="X71" s="121">
        <f t="shared" si="17"/>
        <v>293.23440958499754</v>
      </c>
      <c r="Y71" s="121">
        <f t="shared" si="17"/>
        <v>309.54227829357632</v>
      </c>
      <c r="Z71" s="121">
        <f t="shared" si="17"/>
        <v>325.8501470021551</v>
      </c>
      <c r="AA71" s="121">
        <f t="shared" si="17"/>
        <v>342.15801571073399</v>
      </c>
      <c r="AB71" s="121">
        <f t="shared" si="17"/>
        <v>362.56755237622519</v>
      </c>
      <c r="AC71" s="121">
        <f t="shared" si="17"/>
        <v>382.9770890417164</v>
      </c>
      <c r="AD71" s="121">
        <f t="shared" si="17"/>
        <v>403.3866257072076</v>
      </c>
      <c r="AE71" s="121">
        <f t="shared" si="17"/>
        <v>423.7961623726988</v>
      </c>
      <c r="AF71" s="121">
        <f t="shared" si="17"/>
        <v>444.20569903818989</v>
      </c>
      <c r="AG71" s="121">
        <f t="shared" si="17"/>
        <v>469.32704171267989</v>
      </c>
      <c r="AH71" s="121">
        <f t="shared" si="17"/>
        <v>494.44838438716988</v>
      </c>
      <c r="AI71" s="121">
        <f t="shared" si="17"/>
        <v>519.56972706165993</v>
      </c>
      <c r="AJ71" s="121">
        <f t="shared" si="17"/>
        <v>544.69106973614998</v>
      </c>
    </row>
    <row r="72" spans="2:36">
      <c r="B72" s="117" t="s">
        <v>173</v>
      </c>
      <c r="C72" s="122"/>
      <c r="E72" s="117"/>
      <c r="F72" s="121"/>
      <c r="H72" s="117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</row>
    <row r="73" spans="2:36">
      <c r="B73" s="117" t="s">
        <v>173</v>
      </c>
      <c r="C73" s="122"/>
      <c r="E73" s="117"/>
      <c r="F73" s="121"/>
      <c r="H73" s="117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</row>
    <row r="74" spans="2:36">
      <c r="B74" s="117" t="s">
        <v>173</v>
      </c>
      <c r="C74" s="122"/>
      <c r="E74" s="117"/>
      <c r="F74" s="121"/>
      <c r="H74" s="117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</row>
    <row r="76" spans="2:36">
      <c r="B76" s="113" t="s">
        <v>270</v>
      </c>
      <c r="E76" s="113" t="s">
        <v>67</v>
      </c>
      <c r="H76" s="113" t="s">
        <v>70</v>
      </c>
      <c r="I76" s="115">
        <v>2023</v>
      </c>
      <c r="J76" s="115">
        <v>2024</v>
      </c>
      <c r="K76" s="115">
        <v>2025</v>
      </c>
      <c r="L76" s="115">
        <v>2026</v>
      </c>
      <c r="M76" s="115">
        <v>2027</v>
      </c>
      <c r="N76" s="115">
        <v>2028</v>
      </c>
      <c r="O76" s="115">
        <v>2029</v>
      </c>
      <c r="P76" s="115">
        <v>2030</v>
      </c>
      <c r="Q76" s="115">
        <v>2031</v>
      </c>
      <c r="R76" s="115">
        <v>2032</v>
      </c>
      <c r="S76" s="115">
        <v>2033</v>
      </c>
      <c r="T76" s="115">
        <v>2034</v>
      </c>
      <c r="U76" s="115">
        <v>2035</v>
      </c>
      <c r="V76" s="115">
        <v>2036</v>
      </c>
      <c r="W76" s="115">
        <v>2037</v>
      </c>
      <c r="X76" s="115">
        <v>2038</v>
      </c>
      <c r="Y76" s="115">
        <v>2039</v>
      </c>
      <c r="Z76" s="115">
        <v>2040</v>
      </c>
      <c r="AA76" s="115">
        <v>2041</v>
      </c>
      <c r="AB76" s="115">
        <v>2042</v>
      </c>
      <c r="AC76" s="115">
        <v>2043</v>
      </c>
      <c r="AD76" s="115">
        <v>2044</v>
      </c>
      <c r="AE76" s="115">
        <v>2045</v>
      </c>
      <c r="AF76" s="115">
        <v>2046</v>
      </c>
      <c r="AG76" s="115">
        <v>2047</v>
      </c>
      <c r="AH76" s="115">
        <v>2048</v>
      </c>
      <c r="AI76" s="115">
        <v>2049</v>
      </c>
      <c r="AJ76" s="115">
        <v>2050</v>
      </c>
    </row>
    <row r="77" spans="2:36">
      <c r="B77" s="117" t="s">
        <v>173</v>
      </c>
      <c r="C77" s="122"/>
      <c r="E77" s="117"/>
      <c r="F77" s="121"/>
      <c r="H77" s="117" t="s">
        <v>8</v>
      </c>
      <c r="I77" s="121">
        <f>I101</f>
        <v>1.2274021734379998</v>
      </c>
      <c r="J77" s="121">
        <f t="shared" ref="J77:AJ83" si="18">J101</f>
        <v>1.2872419559159998</v>
      </c>
      <c r="K77" s="121">
        <f t="shared" si="18"/>
        <v>1.3470817383939997</v>
      </c>
      <c r="L77" s="121">
        <f t="shared" si="18"/>
        <v>1.4069215208720001</v>
      </c>
      <c r="M77" s="121">
        <f t="shared" si="18"/>
        <v>1.4762026156796</v>
      </c>
      <c r="N77" s="121">
        <f t="shared" si="18"/>
        <v>1.5454837104871999</v>
      </c>
      <c r="O77" s="121">
        <f t="shared" si="18"/>
        <v>1.6147648052947998</v>
      </c>
      <c r="P77" s="121">
        <f t="shared" si="18"/>
        <v>1.6840459001023997</v>
      </c>
      <c r="Q77" s="121">
        <f t="shared" si="18"/>
        <v>1.7533269949100001</v>
      </c>
      <c r="R77" s="121">
        <f t="shared" si="18"/>
        <v>1.8328976871844</v>
      </c>
      <c r="S77" s="121">
        <f t="shared" si="18"/>
        <v>1.9124683794588</v>
      </c>
      <c r="T77" s="121">
        <f t="shared" si="18"/>
        <v>1.9920390717331999</v>
      </c>
      <c r="U77" s="121">
        <f t="shared" si="18"/>
        <v>2.0716097640075999</v>
      </c>
      <c r="V77" s="121">
        <f t="shared" si="18"/>
        <v>2.1511804562819998</v>
      </c>
      <c r="W77" s="121">
        <f t="shared" si="18"/>
        <v>2.2421281479167998</v>
      </c>
      <c r="X77" s="121">
        <f t="shared" si="18"/>
        <v>2.3330758395515998</v>
      </c>
      <c r="Y77" s="121">
        <f t="shared" si="18"/>
        <v>2.4240235311863998</v>
      </c>
      <c r="Z77" s="121">
        <f t="shared" si="18"/>
        <v>2.5149712228211998</v>
      </c>
      <c r="AA77" s="121">
        <f t="shared" si="18"/>
        <v>2.6059189144560002</v>
      </c>
      <c r="AB77" s="121">
        <f t="shared" si="18"/>
        <v>2.7092753544872004</v>
      </c>
      <c r="AC77" s="121">
        <f t="shared" si="18"/>
        <v>2.8126317945184005</v>
      </c>
      <c r="AD77" s="121">
        <f t="shared" si="18"/>
        <v>2.9159882345496007</v>
      </c>
      <c r="AE77" s="121">
        <f t="shared" si="18"/>
        <v>3.0193446745808008</v>
      </c>
      <c r="AF77" s="121">
        <f t="shared" si="18"/>
        <v>3.1227011146120001</v>
      </c>
      <c r="AG77" s="121">
        <f t="shared" si="18"/>
        <v>3.2396168904228002</v>
      </c>
      <c r="AH77" s="121">
        <f t="shared" si="18"/>
        <v>3.3565326662336004</v>
      </c>
      <c r="AI77" s="121">
        <f t="shared" si="18"/>
        <v>3.4734484420444005</v>
      </c>
      <c r="AJ77" s="121">
        <f t="shared" si="18"/>
        <v>3.5903642178552007</v>
      </c>
    </row>
    <row r="78" spans="2:36">
      <c r="B78" s="117" t="s">
        <v>173</v>
      </c>
      <c r="C78" s="122"/>
      <c r="E78" s="117"/>
      <c r="F78" s="121"/>
      <c r="H78" s="35" t="s">
        <v>12</v>
      </c>
      <c r="I78" s="121">
        <f t="shared" ref="I78:X83" si="19">I102</f>
        <v>13.458131390376399</v>
      </c>
      <c r="J78" s="121">
        <f t="shared" si="19"/>
        <v>19.633335781323598</v>
      </c>
      <c r="K78" s="121">
        <f t="shared" si="19"/>
        <v>25.808540172270799</v>
      </c>
      <c r="L78" s="121">
        <f t="shared" si="19"/>
        <v>31.983744563218</v>
      </c>
      <c r="M78" s="121">
        <f t="shared" si="19"/>
        <v>33.368109551101597</v>
      </c>
      <c r="N78" s="121">
        <f t="shared" si="19"/>
        <v>34.752474538985197</v>
      </c>
      <c r="O78" s="121">
        <f t="shared" si="19"/>
        <v>36.136839526868798</v>
      </c>
      <c r="P78" s="121">
        <f t="shared" si="19"/>
        <v>37.521204514752398</v>
      </c>
      <c r="Q78" s="121">
        <f t="shared" si="19"/>
        <v>38.905569502635991</v>
      </c>
      <c r="R78" s="121">
        <f t="shared" si="19"/>
        <v>41.067194329817596</v>
      </c>
      <c r="S78" s="121">
        <f t="shared" si="19"/>
        <v>43.228819156999201</v>
      </c>
      <c r="T78" s="121">
        <f t="shared" si="19"/>
        <v>45.390443984180806</v>
      </c>
      <c r="U78" s="121">
        <f t="shared" si="19"/>
        <v>47.55206881136241</v>
      </c>
      <c r="V78" s="121">
        <f t="shared" si="19"/>
        <v>49.713693638544001</v>
      </c>
      <c r="W78" s="121">
        <f t="shared" si="19"/>
        <v>52.840679425011601</v>
      </c>
      <c r="X78" s="121">
        <f t="shared" si="19"/>
        <v>55.967665211479201</v>
      </c>
      <c r="Y78" s="121">
        <f t="shared" si="18"/>
        <v>59.0946509979468</v>
      </c>
      <c r="Z78" s="121">
        <f t="shared" si="18"/>
        <v>62.2216367844144</v>
      </c>
      <c r="AA78" s="121">
        <f t="shared" si="18"/>
        <v>65.348622570882</v>
      </c>
      <c r="AB78" s="121">
        <f t="shared" si="18"/>
        <v>69.779332531809203</v>
      </c>
      <c r="AC78" s="121">
        <f t="shared" si="18"/>
        <v>74.210042492736406</v>
      </c>
      <c r="AD78" s="121">
        <f t="shared" si="18"/>
        <v>78.640752453663609</v>
      </c>
      <c r="AE78" s="121">
        <f t="shared" si="18"/>
        <v>83.071462414590812</v>
      </c>
      <c r="AF78" s="121">
        <f t="shared" si="18"/>
        <v>87.502172375517986</v>
      </c>
      <c r="AG78" s="121">
        <f t="shared" si="18"/>
        <v>93.495521084597186</v>
      </c>
      <c r="AH78" s="121">
        <f t="shared" si="18"/>
        <v>99.488869793676386</v>
      </c>
      <c r="AI78" s="121">
        <f t="shared" si="18"/>
        <v>105.48221850275559</v>
      </c>
      <c r="AJ78" s="121">
        <f t="shared" si="18"/>
        <v>111.47556721183479</v>
      </c>
    </row>
    <row r="79" spans="2:36">
      <c r="B79" s="117" t="s">
        <v>173</v>
      </c>
      <c r="C79" s="122"/>
      <c r="E79" s="117"/>
      <c r="F79" s="121"/>
      <c r="H79" s="35" t="s">
        <v>15</v>
      </c>
      <c r="I79" s="121">
        <f t="shared" si="19"/>
        <v>1.2274021734379998</v>
      </c>
      <c r="J79" s="121">
        <f t="shared" si="18"/>
        <v>1.2872419559159998</v>
      </c>
      <c r="K79" s="121">
        <f t="shared" si="18"/>
        <v>1.3470817383939997</v>
      </c>
      <c r="L79" s="121">
        <f t="shared" si="18"/>
        <v>1.4069215208720001</v>
      </c>
      <c r="M79" s="121">
        <f t="shared" si="18"/>
        <v>1.4762026156796</v>
      </c>
      <c r="N79" s="121">
        <f t="shared" si="18"/>
        <v>1.5454837104871999</v>
      </c>
      <c r="O79" s="121">
        <f t="shared" si="18"/>
        <v>1.6147648052947998</v>
      </c>
      <c r="P79" s="121">
        <f t="shared" si="18"/>
        <v>1.6840459001023997</v>
      </c>
      <c r="Q79" s="121">
        <f t="shared" si="18"/>
        <v>1.7533269949100001</v>
      </c>
      <c r="R79" s="121">
        <f t="shared" si="18"/>
        <v>1.8328976871844</v>
      </c>
      <c r="S79" s="121">
        <f t="shared" si="18"/>
        <v>1.9124683794588</v>
      </c>
      <c r="T79" s="121">
        <f t="shared" si="18"/>
        <v>1.9920390717331999</v>
      </c>
      <c r="U79" s="121">
        <f t="shared" si="18"/>
        <v>2.0716097640075999</v>
      </c>
      <c r="V79" s="121">
        <f t="shared" si="18"/>
        <v>2.1511804562819998</v>
      </c>
      <c r="W79" s="121">
        <f t="shared" si="18"/>
        <v>2.2421281479167998</v>
      </c>
      <c r="X79" s="121">
        <f t="shared" si="18"/>
        <v>2.3330758395515998</v>
      </c>
      <c r="Y79" s="121">
        <f t="shared" si="18"/>
        <v>2.4240235311863998</v>
      </c>
      <c r="Z79" s="121">
        <f t="shared" si="18"/>
        <v>2.5149712228211998</v>
      </c>
      <c r="AA79" s="121">
        <f t="shared" si="18"/>
        <v>2.6059189144560002</v>
      </c>
      <c r="AB79" s="121">
        <f t="shared" si="18"/>
        <v>2.7092753544872004</v>
      </c>
      <c r="AC79" s="121">
        <f t="shared" si="18"/>
        <v>2.8126317945184005</v>
      </c>
      <c r="AD79" s="121">
        <f t="shared" si="18"/>
        <v>2.9159882345496007</v>
      </c>
      <c r="AE79" s="121">
        <f t="shared" si="18"/>
        <v>3.0193446745808008</v>
      </c>
      <c r="AF79" s="121">
        <f t="shared" si="18"/>
        <v>3.1227011146120001</v>
      </c>
      <c r="AG79" s="121">
        <f t="shared" si="18"/>
        <v>3.2396168904228002</v>
      </c>
      <c r="AH79" s="121">
        <f t="shared" si="18"/>
        <v>3.3565326662336004</v>
      </c>
      <c r="AI79" s="121">
        <f t="shared" si="18"/>
        <v>3.4734484420444005</v>
      </c>
      <c r="AJ79" s="121">
        <f t="shared" si="18"/>
        <v>3.5903642178552007</v>
      </c>
    </row>
    <row r="80" spans="2:36">
      <c r="B80" s="117" t="s">
        <v>173</v>
      </c>
      <c r="C80" s="122"/>
      <c r="E80" s="117"/>
      <c r="F80" s="121"/>
      <c r="H80" s="35" t="s">
        <v>19</v>
      </c>
      <c r="I80" s="121">
        <f t="shared" si="19"/>
        <v>1.2273726189348</v>
      </c>
      <c r="J80" s="121">
        <f t="shared" si="18"/>
        <v>1.2871976241612</v>
      </c>
      <c r="K80" s="121">
        <f t="shared" si="18"/>
        <v>1.3470226293876</v>
      </c>
      <c r="L80" s="121">
        <f t="shared" si="18"/>
        <v>1.406847634614</v>
      </c>
      <c r="M80" s="121">
        <f t="shared" si="18"/>
        <v>1.4761205986099999</v>
      </c>
      <c r="N80" s="121">
        <f t="shared" si="18"/>
        <v>1.5453935626059998</v>
      </c>
      <c r="O80" s="121">
        <f t="shared" si="18"/>
        <v>1.6146665266019997</v>
      </c>
      <c r="P80" s="121">
        <f t="shared" si="18"/>
        <v>1.6839394905979996</v>
      </c>
      <c r="Q80" s="121">
        <f t="shared" si="18"/>
        <v>1.753212454594</v>
      </c>
      <c r="R80" s="121">
        <f t="shared" si="18"/>
        <v>16.179528256277997</v>
      </c>
      <c r="S80" s="121">
        <f t="shared" si="18"/>
        <v>30.605844057961995</v>
      </c>
      <c r="T80" s="121">
        <f t="shared" si="18"/>
        <v>45.032159859645994</v>
      </c>
      <c r="U80" s="121">
        <f t="shared" si="18"/>
        <v>59.458475661329992</v>
      </c>
      <c r="V80" s="121">
        <f t="shared" si="18"/>
        <v>73.884791463013997</v>
      </c>
      <c r="W80" s="121">
        <f t="shared" si="18"/>
        <v>83.243135617449994</v>
      </c>
      <c r="X80" s="121">
        <f t="shared" si="18"/>
        <v>92.601479771885991</v>
      </c>
      <c r="Y80" s="121">
        <f t="shared" si="18"/>
        <v>101.95982392632199</v>
      </c>
      <c r="Z80" s="121">
        <f t="shared" si="18"/>
        <v>111.31816808075799</v>
      </c>
      <c r="AA80" s="121">
        <f t="shared" si="18"/>
        <v>120.676512235194</v>
      </c>
      <c r="AB80" s="121">
        <f t="shared" si="18"/>
        <v>133.572178825994</v>
      </c>
      <c r="AC80" s="121">
        <f t="shared" si="18"/>
        <v>146.46784541679401</v>
      </c>
      <c r="AD80" s="121">
        <f t="shared" si="18"/>
        <v>159.36351200759401</v>
      </c>
      <c r="AE80" s="121">
        <f t="shared" si="18"/>
        <v>172.25917859839402</v>
      </c>
      <c r="AF80" s="121">
        <f t="shared" si="18"/>
        <v>185.15484518919399</v>
      </c>
      <c r="AG80" s="121">
        <f t="shared" si="18"/>
        <v>200.136609963474</v>
      </c>
      <c r="AH80" s="121">
        <f t="shared" si="18"/>
        <v>215.11837473775401</v>
      </c>
      <c r="AI80" s="121">
        <f t="shared" si="18"/>
        <v>230.10013951203402</v>
      </c>
      <c r="AJ80" s="121">
        <f t="shared" si="18"/>
        <v>245.08190428631403</v>
      </c>
    </row>
    <row r="81" spans="2:36">
      <c r="B81" s="117" t="s">
        <v>173</v>
      </c>
      <c r="C81" s="122"/>
      <c r="E81" s="117"/>
      <c r="F81" s="121"/>
      <c r="H81" s="35" t="s">
        <v>22</v>
      </c>
      <c r="I81" s="121">
        <f t="shared" si="19"/>
        <v>1.2273726189348</v>
      </c>
      <c r="J81" s="121">
        <f t="shared" si="18"/>
        <v>1.2871976241612</v>
      </c>
      <c r="K81" s="121">
        <f t="shared" si="18"/>
        <v>1.3470226293876</v>
      </c>
      <c r="L81" s="121">
        <f t="shared" si="18"/>
        <v>1.406847634614</v>
      </c>
      <c r="M81" s="121">
        <f t="shared" si="18"/>
        <v>1.4761205986099999</v>
      </c>
      <c r="N81" s="121">
        <f t="shared" si="18"/>
        <v>1.5453935626059998</v>
      </c>
      <c r="O81" s="121">
        <f t="shared" si="18"/>
        <v>1.6146665266019997</v>
      </c>
      <c r="P81" s="121">
        <f t="shared" si="18"/>
        <v>1.6839394905979996</v>
      </c>
      <c r="Q81" s="121">
        <f t="shared" si="18"/>
        <v>1.753212454594</v>
      </c>
      <c r="R81" s="121">
        <f t="shared" si="18"/>
        <v>17.616792503824399</v>
      </c>
      <c r="S81" s="121">
        <f t="shared" si="18"/>
        <v>33.480372553054799</v>
      </c>
      <c r="T81" s="121">
        <f t="shared" si="18"/>
        <v>49.343952602285199</v>
      </c>
      <c r="U81" s="121">
        <f t="shared" si="18"/>
        <v>65.207532651515592</v>
      </c>
      <c r="V81" s="121">
        <f t="shared" si="18"/>
        <v>81.071112700745999</v>
      </c>
      <c r="W81" s="121">
        <f t="shared" si="18"/>
        <v>86.933679432099993</v>
      </c>
      <c r="X81" s="121">
        <f t="shared" si="18"/>
        <v>92.796246163453986</v>
      </c>
      <c r="Y81" s="121">
        <f t="shared" si="18"/>
        <v>98.65881289480798</v>
      </c>
      <c r="Z81" s="121">
        <f t="shared" si="18"/>
        <v>104.52137962616197</v>
      </c>
      <c r="AA81" s="121">
        <f t="shared" si="18"/>
        <v>110.383946357516</v>
      </c>
      <c r="AB81" s="121">
        <f t="shared" si="18"/>
        <v>117.24192417638679</v>
      </c>
      <c r="AC81" s="121">
        <f t="shared" si="18"/>
        <v>124.09990199525758</v>
      </c>
      <c r="AD81" s="121">
        <f t="shared" si="18"/>
        <v>130.95787981412838</v>
      </c>
      <c r="AE81" s="121">
        <f t="shared" si="18"/>
        <v>137.81585763299918</v>
      </c>
      <c r="AF81" s="121">
        <f t="shared" si="18"/>
        <v>144.67383545186999</v>
      </c>
      <c r="AG81" s="121">
        <f t="shared" si="18"/>
        <v>151.8096594976648</v>
      </c>
      <c r="AH81" s="121">
        <f t="shared" si="18"/>
        <v>158.9454835434596</v>
      </c>
      <c r="AI81" s="121">
        <f t="shared" si="18"/>
        <v>166.08130758925441</v>
      </c>
      <c r="AJ81" s="121">
        <f t="shared" si="18"/>
        <v>173.21713163504921</v>
      </c>
    </row>
    <row r="82" spans="2:36">
      <c r="B82" s="117" t="s">
        <v>173</v>
      </c>
      <c r="C82" s="122"/>
      <c r="E82" s="117"/>
      <c r="F82" s="121"/>
      <c r="H82" s="35" t="s">
        <v>24</v>
      </c>
      <c r="I82" s="121">
        <f t="shared" si="19"/>
        <v>6.5387898932644006</v>
      </c>
      <c r="J82" s="121">
        <f t="shared" si="18"/>
        <v>9.2543235356556011</v>
      </c>
      <c r="K82" s="121">
        <f t="shared" si="18"/>
        <v>11.969857178046801</v>
      </c>
      <c r="L82" s="121">
        <f t="shared" si="18"/>
        <v>14.685390820438</v>
      </c>
      <c r="M82" s="121">
        <f t="shared" si="18"/>
        <v>17.400866528027198</v>
      </c>
      <c r="N82" s="121">
        <f t="shared" si="18"/>
        <v>20.116342235616397</v>
      </c>
      <c r="O82" s="121">
        <f t="shared" si="18"/>
        <v>22.831817943205596</v>
      </c>
      <c r="P82" s="121">
        <f t="shared" si="18"/>
        <v>25.547293650794796</v>
      </c>
      <c r="Q82" s="121">
        <f t="shared" si="18"/>
        <v>28.262769358383991</v>
      </c>
      <c r="R82" s="121">
        <f t="shared" si="18"/>
        <v>28.776114485022791</v>
      </c>
      <c r="S82" s="121">
        <f t="shared" si="18"/>
        <v>29.289459611661592</v>
      </c>
      <c r="T82" s="121">
        <f t="shared" si="18"/>
        <v>29.802804738300392</v>
      </c>
      <c r="U82" s="121">
        <f t="shared" si="18"/>
        <v>30.316149864939192</v>
      </c>
      <c r="V82" s="121">
        <f t="shared" si="18"/>
        <v>30.829494991577999</v>
      </c>
      <c r="W82" s="121">
        <f t="shared" si="18"/>
        <v>31.388516204125999</v>
      </c>
      <c r="X82" s="121">
        <f t="shared" si="18"/>
        <v>31.947537416673999</v>
      </c>
      <c r="Y82" s="121">
        <f t="shared" si="18"/>
        <v>32.506558629221999</v>
      </c>
      <c r="Z82" s="121">
        <f t="shared" si="18"/>
        <v>33.065579841769996</v>
      </c>
      <c r="AA82" s="121">
        <f t="shared" si="18"/>
        <v>33.624601054317992</v>
      </c>
      <c r="AB82" s="121">
        <f t="shared" si="18"/>
        <v>34.232998470232793</v>
      </c>
      <c r="AC82" s="121">
        <f t="shared" si="18"/>
        <v>34.841395886147595</v>
      </c>
      <c r="AD82" s="121">
        <f t="shared" si="18"/>
        <v>35.449793302062396</v>
      </c>
      <c r="AE82" s="121">
        <f t="shared" si="18"/>
        <v>36.058190717977197</v>
      </c>
      <c r="AF82" s="121">
        <f t="shared" si="18"/>
        <v>36.666588133891999</v>
      </c>
      <c r="AG82" s="121">
        <f t="shared" si="18"/>
        <v>37.328936985231202</v>
      </c>
      <c r="AH82" s="121">
        <f t="shared" si="18"/>
        <v>37.991285836570405</v>
      </c>
      <c r="AI82" s="121">
        <f t="shared" si="18"/>
        <v>38.653634687909609</v>
      </c>
      <c r="AJ82" s="121">
        <f t="shared" si="18"/>
        <v>39.315983539248812</v>
      </c>
    </row>
    <row r="83" spans="2:36">
      <c r="B83" s="117" t="s">
        <v>173</v>
      </c>
      <c r="C83" s="122"/>
      <c r="E83" s="117"/>
      <c r="F83" s="121"/>
      <c r="H83" s="35" t="s">
        <v>25</v>
      </c>
      <c r="I83" s="121">
        <f t="shared" si="19"/>
        <v>25.389440745104398</v>
      </c>
      <c r="J83" s="121">
        <f t="shared" si="18"/>
        <v>37.530299813415596</v>
      </c>
      <c r="K83" s="121">
        <f t="shared" si="18"/>
        <v>49.671158881726797</v>
      </c>
      <c r="L83" s="121">
        <f t="shared" si="18"/>
        <v>61.812017950037998</v>
      </c>
      <c r="M83" s="121">
        <f t="shared" si="18"/>
        <v>67.143963640499592</v>
      </c>
      <c r="N83" s="121">
        <f t="shared" si="18"/>
        <v>72.475909330961187</v>
      </c>
      <c r="O83" s="121">
        <f t="shared" si="18"/>
        <v>77.807855021422782</v>
      </c>
      <c r="P83" s="121">
        <f t="shared" si="18"/>
        <v>83.139800711884376</v>
      </c>
      <c r="Q83" s="121">
        <f t="shared" si="18"/>
        <v>88.471746402346</v>
      </c>
      <c r="R83" s="121">
        <f t="shared" si="18"/>
        <v>98.112007994063603</v>
      </c>
      <c r="S83" s="121">
        <f t="shared" si="18"/>
        <v>107.75226958578121</v>
      </c>
      <c r="T83" s="121">
        <f t="shared" si="18"/>
        <v>117.39253117749881</v>
      </c>
      <c r="U83" s="121">
        <f t="shared" si="18"/>
        <v>127.03279276921641</v>
      </c>
      <c r="V83" s="121">
        <f t="shared" si="18"/>
        <v>136.673054360934</v>
      </c>
      <c r="W83" s="121">
        <f t="shared" si="18"/>
        <v>152.3950284390416</v>
      </c>
      <c r="X83" s="121">
        <f t="shared" si="18"/>
        <v>168.11700251714919</v>
      </c>
      <c r="Y83" s="121">
        <f t="shared" si="18"/>
        <v>183.83897659525678</v>
      </c>
      <c r="Z83" s="121">
        <f t="shared" si="18"/>
        <v>199.56095067336437</v>
      </c>
      <c r="AA83" s="121">
        <f t="shared" si="18"/>
        <v>215.282924751472</v>
      </c>
      <c r="AB83" s="121">
        <f t="shared" si="18"/>
        <v>238.91711118915001</v>
      </c>
      <c r="AC83" s="121">
        <f t="shared" si="18"/>
        <v>262.55129762682799</v>
      </c>
      <c r="AD83" s="121">
        <f t="shared" si="18"/>
        <v>286.185484064506</v>
      </c>
      <c r="AE83" s="121">
        <f t="shared" si="18"/>
        <v>309.81967050218401</v>
      </c>
      <c r="AF83" s="121">
        <f t="shared" si="18"/>
        <v>333.45385693986202</v>
      </c>
      <c r="AG83" s="121">
        <f t="shared" si="18"/>
        <v>366.77473710987164</v>
      </c>
      <c r="AH83" s="121">
        <f t="shared" si="18"/>
        <v>400.09561727988125</v>
      </c>
      <c r="AI83" s="121">
        <f t="shared" si="18"/>
        <v>433.41649744989087</v>
      </c>
      <c r="AJ83" s="121">
        <f t="shared" si="18"/>
        <v>466.73737761990049</v>
      </c>
    </row>
    <row r="84" spans="2:36">
      <c r="B84" s="117" t="s">
        <v>173</v>
      </c>
      <c r="C84" s="122"/>
      <c r="E84" s="117"/>
      <c r="F84" s="121"/>
      <c r="H84" s="117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</row>
    <row r="85" spans="2:36">
      <c r="B85" s="117" t="s">
        <v>173</v>
      </c>
      <c r="C85" s="122"/>
      <c r="E85" s="117"/>
      <c r="F85" s="121"/>
      <c r="H85" s="117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</row>
    <row r="86" spans="2:36">
      <c r="B86" s="117" t="s">
        <v>173</v>
      </c>
      <c r="C86" s="122"/>
      <c r="E86" s="117"/>
      <c r="F86" s="121"/>
      <c r="H86" s="117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</row>
    <row r="87" spans="2:36">
      <c r="F87" s="127"/>
    </row>
    <row r="88" spans="2:36">
      <c r="B88" s="113" t="s">
        <v>271</v>
      </c>
      <c r="E88" s="113" t="s">
        <v>68</v>
      </c>
      <c r="H88" s="113" t="s">
        <v>71</v>
      </c>
      <c r="I88" s="115">
        <v>2023</v>
      </c>
      <c r="J88" s="115">
        <v>2024</v>
      </c>
      <c r="K88" s="115">
        <v>2025</v>
      </c>
      <c r="L88" s="115">
        <v>2026</v>
      </c>
      <c r="M88" s="115">
        <v>2027</v>
      </c>
      <c r="N88" s="115">
        <v>2028</v>
      </c>
      <c r="O88" s="115">
        <v>2029</v>
      </c>
      <c r="P88" s="115">
        <v>2030</v>
      </c>
      <c r="Q88" s="115">
        <v>2031</v>
      </c>
      <c r="R88" s="115">
        <v>2032</v>
      </c>
      <c r="S88" s="115">
        <v>2033</v>
      </c>
      <c r="T88" s="115">
        <v>2034</v>
      </c>
      <c r="U88" s="115">
        <v>2035</v>
      </c>
      <c r="V88" s="115">
        <v>2036</v>
      </c>
      <c r="W88" s="115">
        <v>2037</v>
      </c>
      <c r="X88" s="115">
        <v>2038</v>
      </c>
      <c r="Y88" s="115">
        <v>2039</v>
      </c>
      <c r="Z88" s="115">
        <v>2040</v>
      </c>
      <c r="AA88" s="115">
        <v>2041</v>
      </c>
      <c r="AB88" s="115">
        <v>2042</v>
      </c>
      <c r="AC88" s="115">
        <v>2043</v>
      </c>
      <c r="AD88" s="115">
        <v>2044</v>
      </c>
      <c r="AE88" s="115">
        <v>2045</v>
      </c>
      <c r="AF88" s="115">
        <v>2046</v>
      </c>
      <c r="AG88" s="115">
        <v>2047</v>
      </c>
      <c r="AH88" s="115">
        <v>2048</v>
      </c>
      <c r="AI88" s="115">
        <v>2049</v>
      </c>
      <c r="AJ88" s="115">
        <v>2050</v>
      </c>
    </row>
    <row r="89" spans="2:36">
      <c r="B89" s="117" t="s">
        <v>173</v>
      </c>
      <c r="C89" s="122"/>
      <c r="E89" s="117"/>
      <c r="F89" s="121"/>
      <c r="H89" s="117" t="s">
        <v>8</v>
      </c>
      <c r="I89" s="121">
        <f>I101</f>
        <v>1.2274021734379998</v>
      </c>
      <c r="J89" s="121">
        <f t="shared" ref="J89:AJ89" si="20">J101</f>
        <v>1.2872419559159998</v>
      </c>
      <c r="K89" s="121">
        <f t="shared" si="20"/>
        <v>1.3470817383939997</v>
      </c>
      <c r="L89" s="121">
        <f t="shared" si="20"/>
        <v>1.4069215208720001</v>
      </c>
      <c r="M89" s="121">
        <f t="shared" si="20"/>
        <v>1.4762026156796</v>
      </c>
      <c r="N89" s="121">
        <f t="shared" si="20"/>
        <v>1.5454837104871999</v>
      </c>
      <c r="O89" s="121">
        <f t="shared" si="20"/>
        <v>1.6147648052947998</v>
      </c>
      <c r="P89" s="121">
        <f t="shared" si="20"/>
        <v>1.6840459001023997</v>
      </c>
      <c r="Q89" s="121">
        <f t="shared" si="20"/>
        <v>1.7533269949100001</v>
      </c>
      <c r="R89" s="121">
        <f t="shared" si="20"/>
        <v>1.8328976871844</v>
      </c>
      <c r="S89" s="121">
        <f t="shared" si="20"/>
        <v>1.9124683794588</v>
      </c>
      <c r="T89" s="121">
        <f t="shared" si="20"/>
        <v>1.9920390717331999</v>
      </c>
      <c r="U89" s="121">
        <f t="shared" si="20"/>
        <v>2.0716097640075999</v>
      </c>
      <c r="V89" s="121">
        <f t="shared" si="20"/>
        <v>2.1511804562819998</v>
      </c>
      <c r="W89" s="121">
        <f t="shared" si="20"/>
        <v>2.2421281479167998</v>
      </c>
      <c r="X89" s="121">
        <f t="shared" si="20"/>
        <v>2.3330758395515998</v>
      </c>
      <c r="Y89" s="121">
        <f t="shared" si="20"/>
        <v>2.4240235311863998</v>
      </c>
      <c r="Z89" s="121">
        <f t="shared" si="20"/>
        <v>2.5149712228211998</v>
      </c>
      <c r="AA89" s="121">
        <f t="shared" si="20"/>
        <v>2.6059189144560002</v>
      </c>
      <c r="AB89" s="121">
        <f t="shared" si="20"/>
        <v>2.7092753544872004</v>
      </c>
      <c r="AC89" s="121">
        <f t="shared" si="20"/>
        <v>2.8126317945184005</v>
      </c>
      <c r="AD89" s="121">
        <f t="shared" si="20"/>
        <v>2.9159882345496007</v>
      </c>
      <c r="AE89" s="121">
        <f t="shared" si="20"/>
        <v>3.0193446745808008</v>
      </c>
      <c r="AF89" s="121">
        <f t="shared" si="20"/>
        <v>3.1227011146120001</v>
      </c>
      <c r="AG89" s="121">
        <f t="shared" si="20"/>
        <v>3.2396168904228002</v>
      </c>
      <c r="AH89" s="121">
        <f t="shared" si="20"/>
        <v>3.3565326662336004</v>
      </c>
      <c r="AI89" s="121">
        <f t="shared" si="20"/>
        <v>3.4734484420444005</v>
      </c>
      <c r="AJ89" s="121">
        <f t="shared" si="20"/>
        <v>3.5903642178552007</v>
      </c>
    </row>
    <row r="90" spans="2:36">
      <c r="B90" s="117" t="s">
        <v>173</v>
      </c>
      <c r="C90" s="122"/>
      <c r="E90" s="117"/>
      <c r="F90" s="121"/>
      <c r="H90" s="35" t="s">
        <v>12</v>
      </c>
      <c r="I90" s="121">
        <f t="shared" ref="I90:AJ94" si="21">I102</f>
        <v>13.458131390376399</v>
      </c>
      <c r="J90" s="121">
        <f t="shared" si="21"/>
        <v>19.633335781323598</v>
      </c>
      <c r="K90" s="121">
        <f t="shared" si="21"/>
        <v>25.808540172270799</v>
      </c>
      <c r="L90" s="121">
        <f t="shared" si="21"/>
        <v>31.983744563218</v>
      </c>
      <c r="M90" s="121">
        <f t="shared" si="21"/>
        <v>33.368109551101597</v>
      </c>
      <c r="N90" s="121">
        <f t="shared" si="21"/>
        <v>34.752474538985197</v>
      </c>
      <c r="O90" s="121">
        <f t="shared" si="21"/>
        <v>36.136839526868798</v>
      </c>
      <c r="P90" s="121">
        <f t="shared" si="21"/>
        <v>37.521204514752398</v>
      </c>
      <c r="Q90" s="121">
        <f t="shared" si="21"/>
        <v>38.905569502635991</v>
      </c>
      <c r="R90" s="121">
        <f t="shared" si="21"/>
        <v>41.067194329817596</v>
      </c>
      <c r="S90" s="121">
        <f t="shared" si="21"/>
        <v>43.228819156999201</v>
      </c>
      <c r="T90" s="121">
        <f t="shared" si="21"/>
        <v>45.390443984180806</v>
      </c>
      <c r="U90" s="121">
        <f t="shared" si="21"/>
        <v>47.55206881136241</v>
      </c>
      <c r="V90" s="121">
        <f t="shared" si="21"/>
        <v>49.713693638544001</v>
      </c>
      <c r="W90" s="121">
        <f t="shared" si="21"/>
        <v>52.840679425011601</v>
      </c>
      <c r="X90" s="121">
        <f t="shared" si="21"/>
        <v>55.967665211479201</v>
      </c>
      <c r="Y90" s="121">
        <f t="shared" si="21"/>
        <v>59.0946509979468</v>
      </c>
      <c r="Z90" s="121">
        <f t="shared" si="21"/>
        <v>62.2216367844144</v>
      </c>
      <c r="AA90" s="121">
        <f t="shared" si="21"/>
        <v>65.348622570882</v>
      </c>
      <c r="AB90" s="121">
        <f t="shared" si="21"/>
        <v>69.779332531809203</v>
      </c>
      <c r="AC90" s="121">
        <f t="shared" si="21"/>
        <v>74.210042492736406</v>
      </c>
      <c r="AD90" s="121">
        <f t="shared" si="21"/>
        <v>78.640752453663609</v>
      </c>
      <c r="AE90" s="121">
        <f t="shared" si="21"/>
        <v>83.071462414590812</v>
      </c>
      <c r="AF90" s="121">
        <f t="shared" si="21"/>
        <v>87.502172375517986</v>
      </c>
      <c r="AG90" s="121">
        <f t="shared" si="21"/>
        <v>93.495521084597186</v>
      </c>
      <c r="AH90" s="121">
        <f t="shared" si="21"/>
        <v>99.488869793676386</v>
      </c>
      <c r="AI90" s="121">
        <f t="shared" si="21"/>
        <v>105.48221850275559</v>
      </c>
      <c r="AJ90" s="121">
        <f t="shared" si="21"/>
        <v>111.47556721183479</v>
      </c>
    </row>
    <row r="91" spans="2:36">
      <c r="B91" s="117" t="s">
        <v>173</v>
      </c>
      <c r="C91" s="122"/>
      <c r="E91" s="117"/>
      <c r="F91" s="121"/>
      <c r="H91" s="35" t="s">
        <v>15</v>
      </c>
      <c r="I91" s="121">
        <f t="shared" si="21"/>
        <v>1.2274021734379998</v>
      </c>
      <c r="J91" s="121">
        <f t="shared" si="21"/>
        <v>1.2872419559159998</v>
      </c>
      <c r="K91" s="121">
        <f t="shared" si="21"/>
        <v>1.3470817383939997</v>
      </c>
      <c r="L91" s="121">
        <f t="shared" si="21"/>
        <v>1.4069215208720001</v>
      </c>
      <c r="M91" s="121">
        <f t="shared" si="21"/>
        <v>1.4762026156796</v>
      </c>
      <c r="N91" s="121">
        <f t="shared" si="21"/>
        <v>1.5454837104871999</v>
      </c>
      <c r="O91" s="121">
        <f t="shared" si="21"/>
        <v>1.6147648052947998</v>
      </c>
      <c r="P91" s="121">
        <f t="shared" si="21"/>
        <v>1.6840459001023997</v>
      </c>
      <c r="Q91" s="121">
        <f t="shared" si="21"/>
        <v>1.7533269949100001</v>
      </c>
      <c r="R91" s="121">
        <f t="shared" si="21"/>
        <v>1.8328976871844</v>
      </c>
      <c r="S91" s="121">
        <f t="shared" si="21"/>
        <v>1.9124683794588</v>
      </c>
      <c r="T91" s="121">
        <f t="shared" si="21"/>
        <v>1.9920390717331999</v>
      </c>
      <c r="U91" s="121">
        <f t="shared" si="21"/>
        <v>2.0716097640075999</v>
      </c>
      <c r="V91" s="121">
        <f t="shared" si="21"/>
        <v>2.1511804562819998</v>
      </c>
      <c r="W91" s="121">
        <f t="shared" si="21"/>
        <v>2.2421281479167998</v>
      </c>
      <c r="X91" s="121">
        <f t="shared" si="21"/>
        <v>2.3330758395515998</v>
      </c>
      <c r="Y91" s="121">
        <f t="shared" si="21"/>
        <v>2.4240235311863998</v>
      </c>
      <c r="Z91" s="121">
        <f t="shared" si="21"/>
        <v>2.5149712228211998</v>
      </c>
      <c r="AA91" s="121">
        <f t="shared" si="21"/>
        <v>2.6059189144560002</v>
      </c>
      <c r="AB91" s="121">
        <f t="shared" si="21"/>
        <v>2.7092753544872004</v>
      </c>
      <c r="AC91" s="121">
        <f t="shared" si="21"/>
        <v>2.8126317945184005</v>
      </c>
      <c r="AD91" s="121">
        <f t="shared" si="21"/>
        <v>2.9159882345496007</v>
      </c>
      <c r="AE91" s="121">
        <f t="shared" si="21"/>
        <v>3.0193446745808008</v>
      </c>
      <c r="AF91" s="121">
        <f t="shared" si="21"/>
        <v>3.1227011146120001</v>
      </c>
      <c r="AG91" s="121">
        <f t="shared" si="21"/>
        <v>3.2396168904228002</v>
      </c>
      <c r="AH91" s="121">
        <f t="shared" si="21"/>
        <v>3.3565326662336004</v>
      </c>
      <c r="AI91" s="121">
        <f t="shared" si="21"/>
        <v>3.4734484420444005</v>
      </c>
      <c r="AJ91" s="121">
        <f t="shared" si="21"/>
        <v>3.5903642178552007</v>
      </c>
    </row>
    <row r="92" spans="2:36">
      <c r="B92" s="117" t="s">
        <v>173</v>
      </c>
      <c r="C92" s="122"/>
      <c r="E92" s="117"/>
      <c r="F92" s="121"/>
      <c r="H92" s="35" t="s">
        <v>19</v>
      </c>
      <c r="I92" s="121">
        <f t="shared" si="21"/>
        <v>1.2273726189348</v>
      </c>
      <c r="J92" s="121">
        <f t="shared" si="21"/>
        <v>1.2871976241612</v>
      </c>
      <c r="K92" s="121">
        <f t="shared" si="21"/>
        <v>1.3470226293876</v>
      </c>
      <c r="L92" s="121">
        <f t="shared" si="21"/>
        <v>1.406847634614</v>
      </c>
      <c r="M92" s="121">
        <f t="shared" si="21"/>
        <v>1.4761205986099999</v>
      </c>
      <c r="N92" s="121">
        <f t="shared" si="21"/>
        <v>1.5453935626059998</v>
      </c>
      <c r="O92" s="121">
        <f t="shared" si="21"/>
        <v>1.6146665266019997</v>
      </c>
      <c r="P92" s="121">
        <f t="shared" si="21"/>
        <v>1.6839394905979996</v>
      </c>
      <c r="Q92" s="121">
        <f t="shared" si="21"/>
        <v>1.753212454594</v>
      </c>
      <c r="R92" s="121">
        <f t="shared" si="21"/>
        <v>16.179528256277997</v>
      </c>
      <c r="S92" s="121">
        <f t="shared" si="21"/>
        <v>30.605844057961995</v>
      </c>
      <c r="T92" s="121">
        <f t="shared" si="21"/>
        <v>45.032159859645994</v>
      </c>
      <c r="U92" s="121">
        <f t="shared" si="21"/>
        <v>59.458475661329992</v>
      </c>
      <c r="V92" s="121">
        <f t="shared" si="21"/>
        <v>73.884791463013997</v>
      </c>
      <c r="W92" s="121">
        <f t="shared" si="21"/>
        <v>83.243135617449994</v>
      </c>
      <c r="X92" s="121">
        <f t="shared" si="21"/>
        <v>92.601479771885991</v>
      </c>
      <c r="Y92" s="121">
        <f t="shared" si="21"/>
        <v>101.95982392632199</v>
      </c>
      <c r="Z92" s="121">
        <f t="shared" si="21"/>
        <v>111.31816808075799</v>
      </c>
      <c r="AA92" s="121">
        <f t="shared" si="21"/>
        <v>120.676512235194</v>
      </c>
      <c r="AB92" s="121">
        <f t="shared" si="21"/>
        <v>133.572178825994</v>
      </c>
      <c r="AC92" s="121">
        <f t="shared" si="21"/>
        <v>146.46784541679401</v>
      </c>
      <c r="AD92" s="121">
        <f t="shared" si="21"/>
        <v>159.36351200759401</v>
      </c>
      <c r="AE92" s="121">
        <f t="shared" si="21"/>
        <v>172.25917859839402</v>
      </c>
      <c r="AF92" s="121">
        <f t="shared" si="21"/>
        <v>185.15484518919399</v>
      </c>
      <c r="AG92" s="121">
        <f t="shared" si="21"/>
        <v>200.136609963474</v>
      </c>
      <c r="AH92" s="121">
        <f t="shared" si="21"/>
        <v>215.11837473775401</v>
      </c>
      <c r="AI92" s="121">
        <f t="shared" si="21"/>
        <v>230.10013951203402</v>
      </c>
      <c r="AJ92" s="121">
        <f t="shared" si="21"/>
        <v>245.08190428631403</v>
      </c>
    </row>
    <row r="93" spans="2:36">
      <c r="B93" s="117" t="s">
        <v>173</v>
      </c>
      <c r="C93" s="122"/>
      <c r="E93" s="117"/>
      <c r="F93" s="121"/>
      <c r="H93" s="35" t="s">
        <v>22</v>
      </c>
      <c r="I93" s="121">
        <f t="shared" si="21"/>
        <v>1.2273726189348</v>
      </c>
      <c r="J93" s="121">
        <f t="shared" si="21"/>
        <v>1.2871976241612</v>
      </c>
      <c r="K93" s="121">
        <f t="shared" si="21"/>
        <v>1.3470226293876</v>
      </c>
      <c r="L93" s="121">
        <f t="shared" si="21"/>
        <v>1.406847634614</v>
      </c>
      <c r="M93" s="121">
        <f t="shared" si="21"/>
        <v>1.4761205986099999</v>
      </c>
      <c r="N93" s="121">
        <f t="shared" si="21"/>
        <v>1.5453935626059998</v>
      </c>
      <c r="O93" s="121">
        <f t="shared" si="21"/>
        <v>1.6146665266019997</v>
      </c>
      <c r="P93" s="121">
        <f t="shared" si="21"/>
        <v>1.6839394905979996</v>
      </c>
      <c r="Q93" s="121">
        <f t="shared" si="21"/>
        <v>1.753212454594</v>
      </c>
      <c r="R93" s="121">
        <f t="shared" si="21"/>
        <v>17.616792503824399</v>
      </c>
      <c r="S93" s="121">
        <f t="shared" si="21"/>
        <v>33.480372553054799</v>
      </c>
      <c r="T93" s="121">
        <f t="shared" si="21"/>
        <v>49.343952602285199</v>
      </c>
      <c r="U93" s="121">
        <f t="shared" si="21"/>
        <v>65.207532651515592</v>
      </c>
      <c r="V93" s="121">
        <f t="shared" si="21"/>
        <v>81.071112700745999</v>
      </c>
      <c r="W93" s="121">
        <f t="shared" si="21"/>
        <v>86.933679432099993</v>
      </c>
      <c r="X93" s="121">
        <f t="shared" si="21"/>
        <v>92.796246163453986</v>
      </c>
      <c r="Y93" s="121">
        <f t="shared" si="21"/>
        <v>98.65881289480798</v>
      </c>
      <c r="Z93" s="121">
        <f t="shared" si="21"/>
        <v>104.52137962616197</v>
      </c>
      <c r="AA93" s="121">
        <f t="shared" si="21"/>
        <v>110.383946357516</v>
      </c>
      <c r="AB93" s="121">
        <f t="shared" si="21"/>
        <v>117.24192417638679</v>
      </c>
      <c r="AC93" s="121">
        <f t="shared" si="21"/>
        <v>124.09990199525758</v>
      </c>
      <c r="AD93" s="121">
        <f t="shared" si="21"/>
        <v>130.95787981412838</v>
      </c>
      <c r="AE93" s="121">
        <f t="shared" si="21"/>
        <v>137.81585763299918</v>
      </c>
      <c r="AF93" s="121">
        <f t="shared" si="21"/>
        <v>144.67383545186999</v>
      </c>
      <c r="AG93" s="121">
        <f t="shared" si="21"/>
        <v>151.8096594976648</v>
      </c>
      <c r="AH93" s="121">
        <f t="shared" si="21"/>
        <v>158.9454835434596</v>
      </c>
      <c r="AI93" s="121">
        <f t="shared" si="21"/>
        <v>166.08130758925441</v>
      </c>
      <c r="AJ93" s="121">
        <f t="shared" si="21"/>
        <v>173.21713163504921</v>
      </c>
    </row>
    <row r="94" spans="2:36">
      <c r="B94" s="117" t="s">
        <v>173</v>
      </c>
      <c r="C94" s="122"/>
      <c r="E94" s="117"/>
      <c r="F94" s="121"/>
      <c r="H94" s="35" t="s">
        <v>24</v>
      </c>
      <c r="I94" s="121">
        <f>I106</f>
        <v>6.5387898932644006</v>
      </c>
      <c r="J94" s="121">
        <f t="shared" si="21"/>
        <v>9.2543235356556011</v>
      </c>
      <c r="K94" s="121">
        <f t="shared" si="21"/>
        <v>11.969857178046801</v>
      </c>
      <c r="L94" s="121">
        <f t="shared" si="21"/>
        <v>14.685390820438</v>
      </c>
      <c r="M94" s="121">
        <f t="shared" si="21"/>
        <v>17.400866528027198</v>
      </c>
      <c r="N94" s="121">
        <f t="shared" si="21"/>
        <v>20.116342235616397</v>
      </c>
      <c r="O94" s="121">
        <f t="shared" si="21"/>
        <v>22.831817943205596</v>
      </c>
      <c r="P94" s="121">
        <f t="shared" si="21"/>
        <v>25.547293650794796</v>
      </c>
      <c r="Q94" s="121">
        <f t="shared" si="21"/>
        <v>28.262769358383991</v>
      </c>
      <c r="R94" s="121">
        <f t="shared" si="21"/>
        <v>28.776114485022791</v>
      </c>
      <c r="S94" s="121">
        <f t="shared" si="21"/>
        <v>29.289459611661592</v>
      </c>
      <c r="T94" s="121">
        <f t="shared" si="21"/>
        <v>29.802804738300392</v>
      </c>
      <c r="U94" s="121">
        <f t="shared" si="21"/>
        <v>30.316149864939192</v>
      </c>
      <c r="V94" s="121">
        <f t="shared" si="21"/>
        <v>30.829494991577999</v>
      </c>
      <c r="W94" s="121">
        <f t="shared" si="21"/>
        <v>31.388516204125999</v>
      </c>
      <c r="X94" s="121">
        <f t="shared" si="21"/>
        <v>31.947537416673999</v>
      </c>
      <c r="Y94" s="121">
        <f t="shared" si="21"/>
        <v>32.506558629221999</v>
      </c>
      <c r="Z94" s="121">
        <f t="shared" si="21"/>
        <v>33.065579841769996</v>
      </c>
      <c r="AA94" s="121">
        <f t="shared" si="21"/>
        <v>33.624601054317992</v>
      </c>
      <c r="AB94" s="121">
        <f t="shared" si="21"/>
        <v>34.232998470232793</v>
      </c>
      <c r="AC94" s="121">
        <f t="shared" si="21"/>
        <v>34.841395886147595</v>
      </c>
      <c r="AD94" s="121">
        <f t="shared" si="21"/>
        <v>35.449793302062396</v>
      </c>
      <c r="AE94" s="121">
        <f t="shared" si="21"/>
        <v>36.058190717977197</v>
      </c>
      <c r="AF94" s="121">
        <f t="shared" si="21"/>
        <v>36.666588133891999</v>
      </c>
      <c r="AG94" s="121">
        <f t="shared" si="21"/>
        <v>37.328936985231202</v>
      </c>
      <c r="AH94" s="121">
        <f t="shared" si="21"/>
        <v>37.991285836570405</v>
      </c>
      <c r="AI94" s="121">
        <f t="shared" si="21"/>
        <v>38.653634687909609</v>
      </c>
      <c r="AJ94" s="121">
        <f t="shared" si="21"/>
        <v>39.315983539248812</v>
      </c>
    </row>
    <row r="95" spans="2:36">
      <c r="B95" s="117" t="s">
        <v>173</v>
      </c>
      <c r="C95" s="122"/>
      <c r="E95" s="117"/>
      <c r="F95" s="121"/>
      <c r="H95" s="35" t="s">
        <v>25</v>
      </c>
      <c r="I95" s="121">
        <f t="shared" ref="I95:AJ95" si="22">I107</f>
        <v>25.389440745104398</v>
      </c>
      <c r="J95" s="121">
        <f t="shared" si="22"/>
        <v>37.530299813415596</v>
      </c>
      <c r="K95" s="121">
        <f t="shared" si="22"/>
        <v>49.671158881726797</v>
      </c>
      <c r="L95" s="121">
        <f t="shared" si="22"/>
        <v>61.812017950037998</v>
      </c>
      <c r="M95" s="121">
        <f t="shared" si="22"/>
        <v>67.143963640499592</v>
      </c>
      <c r="N95" s="121">
        <f t="shared" si="22"/>
        <v>72.475909330961187</v>
      </c>
      <c r="O95" s="121">
        <f t="shared" si="22"/>
        <v>77.807855021422782</v>
      </c>
      <c r="P95" s="121">
        <f t="shared" si="22"/>
        <v>83.139800711884376</v>
      </c>
      <c r="Q95" s="121">
        <f t="shared" si="22"/>
        <v>88.471746402346</v>
      </c>
      <c r="R95" s="121">
        <f t="shared" si="22"/>
        <v>98.112007994063603</v>
      </c>
      <c r="S95" s="121">
        <f t="shared" si="22"/>
        <v>107.75226958578121</v>
      </c>
      <c r="T95" s="121">
        <f t="shared" si="22"/>
        <v>117.39253117749881</v>
      </c>
      <c r="U95" s="121">
        <f t="shared" si="22"/>
        <v>127.03279276921641</v>
      </c>
      <c r="V95" s="121">
        <f t="shared" si="22"/>
        <v>136.673054360934</v>
      </c>
      <c r="W95" s="121">
        <f t="shared" si="22"/>
        <v>152.3950284390416</v>
      </c>
      <c r="X95" s="121">
        <f t="shared" si="22"/>
        <v>168.11700251714919</v>
      </c>
      <c r="Y95" s="121">
        <f t="shared" si="22"/>
        <v>183.83897659525678</v>
      </c>
      <c r="Z95" s="121">
        <f t="shared" si="22"/>
        <v>199.56095067336437</v>
      </c>
      <c r="AA95" s="121">
        <f t="shared" si="22"/>
        <v>215.282924751472</v>
      </c>
      <c r="AB95" s="121">
        <f t="shared" si="22"/>
        <v>238.91711118915001</v>
      </c>
      <c r="AC95" s="121">
        <f t="shared" si="22"/>
        <v>262.55129762682799</v>
      </c>
      <c r="AD95" s="121">
        <f t="shared" si="22"/>
        <v>286.185484064506</v>
      </c>
      <c r="AE95" s="121">
        <f t="shared" si="22"/>
        <v>309.81967050218401</v>
      </c>
      <c r="AF95" s="121">
        <f t="shared" si="22"/>
        <v>333.45385693986202</v>
      </c>
      <c r="AG95" s="121">
        <f t="shared" si="22"/>
        <v>366.77473710987164</v>
      </c>
      <c r="AH95" s="121">
        <f t="shared" si="22"/>
        <v>400.09561727988125</v>
      </c>
      <c r="AI95" s="121">
        <f t="shared" si="22"/>
        <v>433.41649744989087</v>
      </c>
      <c r="AJ95" s="121">
        <f t="shared" si="22"/>
        <v>466.73737761990049</v>
      </c>
    </row>
    <row r="96" spans="2:36">
      <c r="B96" s="117" t="s">
        <v>173</v>
      </c>
      <c r="C96" s="122"/>
      <c r="E96" s="117"/>
      <c r="F96" s="121"/>
      <c r="H96" s="117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</row>
    <row r="97" spans="1:42">
      <c r="B97" s="117" t="s">
        <v>173</v>
      </c>
      <c r="C97" s="122"/>
      <c r="E97" s="117"/>
      <c r="F97" s="121"/>
      <c r="H97" s="117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</row>
    <row r="98" spans="1:42">
      <c r="B98" s="117" t="s">
        <v>173</v>
      </c>
      <c r="C98" s="122"/>
      <c r="E98" s="117"/>
      <c r="F98" s="121"/>
      <c r="H98" s="117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</row>
    <row r="100" spans="1:42">
      <c r="B100" s="113" t="s">
        <v>272</v>
      </c>
      <c r="E100" s="113" t="s">
        <v>69</v>
      </c>
      <c r="H100" s="113" t="s">
        <v>72</v>
      </c>
      <c r="I100" s="115">
        <v>2023</v>
      </c>
      <c r="J100" s="115">
        <v>2024</v>
      </c>
      <c r="K100" s="115">
        <v>2025</v>
      </c>
      <c r="L100" s="115">
        <v>2026</v>
      </c>
      <c r="M100" s="115">
        <v>2027</v>
      </c>
      <c r="N100" s="115">
        <v>2028</v>
      </c>
      <c r="O100" s="115">
        <v>2029</v>
      </c>
      <c r="P100" s="115">
        <v>2030</v>
      </c>
      <c r="Q100" s="115">
        <v>2031</v>
      </c>
      <c r="R100" s="115">
        <v>2032</v>
      </c>
      <c r="S100" s="115">
        <v>2033</v>
      </c>
      <c r="T100" s="115">
        <v>2034</v>
      </c>
      <c r="U100" s="115">
        <v>2035</v>
      </c>
      <c r="V100" s="115">
        <v>2036</v>
      </c>
      <c r="W100" s="115">
        <v>2037</v>
      </c>
      <c r="X100" s="115">
        <v>2038</v>
      </c>
      <c r="Y100" s="115">
        <v>2039</v>
      </c>
      <c r="Z100" s="115">
        <v>2040</v>
      </c>
      <c r="AA100" s="115">
        <v>2041</v>
      </c>
      <c r="AB100" s="115">
        <v>2042</v>
      </c>
      <c r="AC100" s="115">
        <v>2043</v>
      </c>
      <c r="AD100" s="115">
        <v>2044</v>
      </c>
      <c r="AE100" s="115">
        <v>2045</v>
      </c>
      <c r="AF100" s="115">
        <v>2046</v>
      </c>
      <c r="AG100" s="115">
        <v>2047</v>
      </c>
      <c r="AH100" s="115">
        <v>2048</v>
      </c>
      <c r="AI100" s="115">
        <v>2049</v>
      </c>
      <c r="AJ100" s="115">
        <v>2050</v>
      </c>
    </row>
    <row r="101" spans="1:42">
      <c r="B101" s="117" t="s">
        <v>173</v>
      </c>
      <c r="C101" s="122"/>
      <c r="E101" s="117"/>
      <c r="F101" s="121"/>
      <c r="H101" s="117" t="s">
        <v>8</v>
      </c>
      <c r="I101" s="121">
        <f>I103</f>
        <v>1.2274021734379998</v>
      </c>
      <c r="J101" s="121">
        <f t="shared" ref="J101:AJ101" si="23">J103</f>
        <v>1.2872419559159998</v>
      </c>
      <c r="K101" s="121">
        <f t="shared" si="23"/>
        <v>1.3470817383939997</v>
      </c>
      <c r="L101" s="121">
        <f t="shared" si="23"/>
        <v>1.4069215208720001</v>
      </c>
      <c r="M101" s="121">
        <f t="shared" si="23"/>
        <v>1.4762026156796</v>
      </c>
      <c r="N101" s="121">
        <f t="shared" si="23"/>
        <v>1.5454837104871999</v>
      </c>
      <c r="O101" s="121">
        <f t="shared" si="23"/>
        <v>1.6147648052947998</v>
      </c>
      <c r="P101" s="121">
        <f t="shared" si="23"/>
        <v>1.6840459001023997</v>
      </c>
      <c r="Q101" s="121">
        <f t="shared" si="23"/>
        <v>1.7533269949100001</v>
      </c>
      <c r="R101" s="121">
        <f t="shared" si="23"/>
        <v>1.8328976871844</v>
      </c>
      <c r="S101" s="121">
        <f t="shared" si="23"/>
        <v>1.9124683794588</v>
      </c>
      <c r="T101" s="121">
        <f t="shared" si="23"/>
        <v>1.9920390717331999</v>
      </c>
      <c r="U101" s="121">
        <f t="shared" si="23"/>
        <v>2.0716097640075999</v>
      </c>
      <c r="V101" s="121">
        <f t="shared" si="23"/>
        <v>2.1511804562819998</v>
      </c>
      <c r="W101" s="121">
        <f t="shared" si="23"/>
        <v>2.2421281479167998</v>
      </c>
      <c r="X101" s="121">
        <f t="shared" si="23"/>
        <v>2.3330758395515998</v>
      </c>
      <c r="Y101" s="121">
        <f t="shared" si="23"/>
        <v>2.4240235311863998</v>
      </c>
      <c r="Z101" s="121">
        <f t="shared" si="23"/>
        <v>2.5149712228211998</v>
      </c>
      <c r="AA101" s="121">
        <f t="shared" si="23"/>
        <v>2.6059189144560002</v>
      </c>
      <c r="AB101" s="121">
        <f t="shared" si="23"/>
        <v>2.7092753544872004</v>
      </c>
      <c r="AC101" s="121">
        <f t="shared" si="23"/>
        <v>2.8126317945184005</v>
      </c>
      <c r="AD101" s="121">
        <f t="shared" si="23"/>
        <v>2.9159882345496007</v>
      </c>
      <c r="AE101" s="121">
        <f t="shared" si="23"/>
        <v>3.0193446745808008</v>
      </c>
      <c r="AF101" s="121">
        <f t="shared" si="23"/>
        <v>3.1227011146120001</v>
      </c>
      <c r="AG101" s="121">
        <f t="shared" si="23"/>
        <v>3.2396168904228002</v>
      </c>
      <c r="AH101" s="121">
        <f t="shared" si="23"/>
        <v>3.3565326662336004</v>
      </c>
      <c r="AI101" s="121">
        <f t="shared" si="23"/>
        <v>3.4734484420444005</v>
      </c>
      <c r="AJ101" s="121">
        <f t="shared" si="23"/>
        <v>3.5903642178552007</v>
      </c>
    </row>
    <row r="102" spans="1:42">
      <c r="B102" s="117" t="s">
        <v>173</v>
      </c>
      <c r="C102" s="122"/>
      <c r="E102" s="117"/>
      <c r="F102" s="121"/>
      <c r="H102" s="35" t="s">
        <v>12</v>
      </c>
      <c r="I102" s="121">
        <f>I112</f>
        <v>13.458131390376399</v>
      </c>
      <c r="J102" s="121">
        <f t="shared" ref="J102:AJ107" si="24">J112</f>
        <v>19.633335781323598</v>
      </c>
      <c r="K102" s="121">
        <f t="shared" si="24"/>
        <v>25.808540172270799</v>
      </c>
      <c r="L102" s="121">
        <f t="shared" si="24"/>
        <v>31.983744563218</v>
      </c>
      <c r="M102" s="121">
        <f t="shared" si="24"/>
        <v>33.368109551101597</v>
      </c>
      <c r="N102" s="121">
        <f t="shared" si="24"/>
        <v>34.752474538985197</v>
      </c>
      <c r="O102" s="121">
        <f t="shared" si="24"/>
        <v>36.136839526868798</v>
      </c>
      <c r="P102" s="121">
        <f t="shared" si="24"/>
        <v>37.521204514752398</v>
      </c>
      <c r="Q102" s="121">
        <f t="shared" si="24"/>
        <v>38.905569502635991</v>
      </c>
      <c r="R102" s="121">
        <f t="shared" si="24"/>
        <v>41.067194329817596</v>
      </c>
      <c r="S102" s="121">
        <f t="shared" si="24"/>
        <v>43.228819156999201</v>
      </c>
      <c r="T102" s="121">
        <f t="shared" si="24"/>
        <v>45.390443984180806</v>
      </c>
      <c r="U102" s="121">
        <f t="shared" si="24"/>
        <v>47.55206881136241</v>
      </c>
      <c r="V102" s="121">
        <f t="shared" si="24"/>
        <v>49.713693638544001</v>
      </c>
      <c r="W102" s="121">
        <f t="shared" si="24"/>
        <v>52.840679425011601</v>
      </c>
      <c r="X102" s="121">
        <f t="shared" si="24"/>
        <v>55.967665211479201</v>
      </c>
      <c r="Y102" s="121">
        <f t="shared" si="24"/>
        <v>59.0946509979468</v>
      </c>
      <c r="Z102" s="121">
        <f t="shared" si="24"/>
        <v>62.2216367844144</v>
      </c>
      <c r="AA102" s="121">
        <f t="shared" si="24"/>
        <v>65.348622570882</v>
      </c>
      <c r="AB102" s="121">
        <f t="shared" si="24"/>
        <v>69.779332531809203</v>
      </c>
      <c r="AC102" s="121">
        <f t="shared" si="24"/>
        <v>74.210042492736406</v>
      </c>
      <c r="AD102" s="121">
        <f t="shared" si="24"/>
        <v>78.640752453663609</v>
      </c>
      <c r="AE102" s="121">
        <f t="shared" si="24"/>
        <v>83.071462414590812</v>
      </c>
      <c r="AF102" s="121">
        <f t="shared" si="24"/>
        <v>87.502172375517986</v>
      </c>
      <c r="AG102" s="121">
        <f t="shared" si="24"/>
        <v>93.495521084597186</v>
      </c>
      <c r="AH102" s="121">
        <f t="shared" si="24"/>
        <v>99.488869793676386</v>
      </c>
      <c r="AI102" s="121">
        <f t="shared" si="24"/>
        <v>105.48221850275559</v>
      </c>
      <c r="AJ102" s="121">
        <f t="shared" si="24"/>
        <v>111.47556721183479</v>
      </c>
    </row>
    <row r="103" spans="1:42">
      <c r="B103" s="117" t="s">
        <v>173</v>
      </c>
      <c r="C103" s="122"/>
      <c r="E103" s="117"/>
      <c r="F103" s="121"/>
      <c r="H103" s="35" t="s">
        <v>15</v>
      </c>
      <c r="I103" s="121">
        <f t="shared" ref="I103:X107" si="25">I113</f>
        <v>1.2274021734379998</v>
      </c>
      <c r="J103" s="121">
        <f t="shared" si="25"/>
        <v>1.2872419559159998</v>
      </c>
      <c r="K103" s="121">
        <f t="shared" si="25"/>
        <v>1.3470817383939997</v>
      </c>
      <c r="L103" s="121">
        <f t="shared" si="25"/>
        <v>1.4069215208720001</v>
      </c>
      <c r="M103" s="121">
        <f t="shared" si="25"/>
        <v>1.4762026156796</v>
      </c>
      <c r="N103" s="121">
        <f t="shared" si="25"/>
        <v>1.5454837104871999</v>
      </c>
      <c r="O103" s="121">
        <f t="shared" si="25"/>
        <v>1.6147648052947998</v>
      </c>
      <c r="P103" s="121">
        <f t="shared" si="25"/>
        <v>1.6840459001023997</v>
      </c>
      <c r="Q103" s="121">
        <f t="shared" si="25"/>
        <v>1.7533269949100001</v>
      </c>
      <c r="R103" s="121">
        <f t="shared" si="25"/>
        <v>1.8328976871844</v>
      </c>
      <c r="S103" s="121">
        <f t="shared" si="25"/>
        <v>1.9124683794588</v>
      </c>
      <c r="T103" s="121">
        <f t="shared" si="25"/>
        <v>1.9920390717331999</v>
      </c>
      <c r="U103" s="121">
        <f t="shared" si="25"/>
        <v>2.0716097640075999</v>
      </c>
      <c r="V103" s="121">
        <f t="shared" si="25"/>
        <v>2.1511804562819998</v>
      </c>
      <c r="W103" s="121">
        <f t="shared" si="25"/>
        <v>2.2421281479167998</v>
      </c>
      <c r="X103" s="121">
        <f t="shared" si="25"/>
        <v>2.3330758395515998</v>
      </c>
      <c r="Y103" s="121">
        <f t="shared" si="24"/>
        <v>2.4240235311863998</v>
      </c>
      <c r="Z103" s="121">
        <f t="shared" si="24"/>
        <v>2.5149712228211998</v>
      </c>
      <c r="AA103" s="121">
        <f t="shared" si="24"/>
        <v>2.6059189144560002</v>
      </c>
      <c r="AB103" s="121">
        <f t="shared" si="24"/>
        <v>2.7092753544872004</v>
      </c>
      <c r="AC103" s="121">
        <f t="shared" si="24"/>
        <v>2.8126317945184005</v>
      </c>
      <c r="AD103" s="121">
        <f t="shared" si="24"/>
        <v>2.9159882345496007</v>
      </c>
      <c r="AE103" s="121">
        <f t="shared" si="24"/>
        <v>3.0193446745808008</v>
      </c>
      <c r="AF103" s="121">
        <f t="shared" si="24"/>
        <v>3.1227011146120001</v>
      </c>
      <c r="AG103" s="121">
        <f t="shared" si="24"/>
        <v>3.2396168904228002</v>
      </c>
      <c r="AH103" s="121">
        <f t="shared" si="24"/>
        <v>3.3565326662336004</v>
      </c>
      <c r="AI103" s="121">
        <f t="shared" si="24"/>
        <v>3.4734484420444005</v>
      </c>
      <c r="AJ103" s="121">
        <f t="shared" si="24"/>
        <v>3.5903642178552007</v>
      </c>
    </row>
    <row r="104" spans="1:42">
      <c r="B104" s="117" t="s">
        <v>173</v>
      </c>
      <c r="C104" s="122"/>
      <c r="E104" s="117"/>
      <c r="F104" s="121"/>
      <c r="H104" s="35" t="s">
        <v>19</v>
      </c>
      <c r="I104" s="121">
        <f t="shared" si="25"/>
        <v>1.2273726189348</v>
      </c>
      <c r="J104" s="121">
        <f t="shared" si="24"/>
        <v>1.2871976241612</v>
      </c>
      <c r="K104" s="121">
        <f t="shared" si="24"/>
        <v>1.3470226293876</v>
      </c>
      <c r="L104" s="121">
        <f t="shared" si="24"/>
        <v>1.406847634614</v>
      </c>
      <c r="M104" s="121">
        <f t="shared" si="24"/>
        <v>1.4761205986099999</v>
      </c>
      <c r="N104" s="121">
        <f t="shared" si="24"/>
        <v>1.5453935626059998</v>
      </c>
      <c r="O104" s="121">
        <f t="shared" si="24"/>
        <v>1.6146665266019997</v>
      </c>
      <c r="P104" s="121">
        <f t="shared" si="24"/>
        <v>1.6839394905979996</v>
      </c>
      <c r="Q104" s="121">
        <f t="shared" si="24"/>
        <v>1.753212454594</v>
      </c>
      <c r="R104" s="121">
        <f t="shared" si="24"/>
        <v>16.179528256277997</v>
      </c>
      <c r="S104" s="121">
        <f t="shared" si="24"/>
        <v>30.605844057961995</v>
      </c>
      <c r="T104" s="121">
        <f t="shared" si="24"/>
        <v>45.032159859645994</v>
      </c>
      <c r="U104" s="121">
        <f t="shared" si="24"/>
        <v>59.458475661329992</v>
      </c>
      <c r="V104" s="121">
        <f t="shared" si="24"/>
        <v>73.884791463013997</v>
      </c>
      <c r="W104" s="121">
        <f t="shared" si="24"/>
        <v>83.243135617449994</v>
      </c>
      <c r="X104" s="121">
        <f t="shared" si="24"/>
        <v>92.601479771885991</v>
      </c>
      <c r="Y104" s="121">
        <f t="shared" si="24"/>
        <v>101.95982392632199</v>
      </c>
      <c r="Z104" s="121">
        <f t="shared" si="24"/>
        <v>111.31816808075799</v>
      </c>
      <c r="AA104" s="121">
        <f t="shared" si="24"/>
        <v>120.676512235194</v>
      </c>
      <c r="AB104" s="121">
        <f t="shared" si="24"/>
        <v>133.572178825994</v>
      </c>
      <c r="AC104" s="121">
        <f t="shared" si="24"/>
        <v>146.46784541679401</v>
      </c>
      <c r="AD104" s="121">
        <f t="shared" si="24"/>
        <v>159.36351200759401</v>
      </c>
      <c r="AE104" s="121">
        <f t="shared" si="24"/>
        <v>172.25917859839402</v>
      </c>
      <c r="AF104" s="121">
        <f t="shared" si="24"/>
        <v>185.15484518919399</v>
      </c>
      <c r="AG104" s="121">
        <f t="shared" si="24"/>
        <v>200.136609963474</v>
      </c>
      <c r="AH104" s="121">
        <f t="shared" si="24"/>
        <v>215.11837473775401</v>
      </c>
      <c r="AI104" s="121">
        <f t="shared" si="24"/>
        <v>230.10013951203402</v>
      </c>
      <c r="AJ104" s="121">
        <f t="shared" si="24"/>
        <v>245.08190428631403</v>
      </c>
    </row>
    <row r="105" spans="1:42">
      <c r="B105" s="117" t="s">
        <v>173</v>
      </c>
      <c r="C105" s="122"/>
      <c r="E105" s="117"/>
      <c r="F105" s="121"/>
      <c r="H105" s="35" t="s">
        <v>22</v>
      </c>
      <c r="I105" s="121">
        <f t="shared" si="25"/>
        <v>1.2273726189348</v>
      </c>
      <c r="J105" s="121">
        <f t="shared" si="24"/>
        <v>1.2871976241612</v>
      </c>
      <c r="K105" s="121">
        <f t="shared" si="24"/>
        <v>1.3470226293876</v>
      </c>
      <c r="L105" s="121">
        <f t="shared" si="24"/>
        <v>1.406847634614</v>
      </c>
      <c r="M105" s="121">
        <f t="shared" si="24"/>
        <v>1.4761205986099999</v>
      </c>
      <c r="N105" s="121">
        <f t="shared" si="24"/>
        <v>1.5453935626059998</v>
      </c>
      <c r="O105" s="121">
        <f t="shared" si="24"/>
        <v>1.6146665266019997</v>
      </c>
      <c r="P105" s="121">
        <f t="shared" si="24"/>
        <v>1.6839394905979996</v>
      </c>
      <c r="Q105" s="121">
        <f t="shared" si="24"/>
        <v>1.753212454594</v>
      </c>
      <c r="R105" s="121">
        <f t="shared" si="24"/>
        <v>17.616792503824399</v>
      </c>
      <c r="S105" s="121">
        <f t="shared" si="24"/>
        <v>33.480372553054799</v>
      </c>
      <c r="T105" s="121">
        <f t="shared" si="24"/>
        <v>49.343952602285199</v>
      </c>
      <c r="U105" s="121">
        <f t="shared" si="24"/>
        <v>65.207532651515592</v>
      </c>
      <c r="V105" s="121">
        <f t="shared" si="24"/>
        <v>81.071112700745999</v>
      </c>
      <c r="W105" s="121">
        <f t="shared" si="24"/>
        <v>86.933679432099993</v>
      </c>
      <c r="X105" s="121">
        <f t="shared" si="24"/>
        <v>92.796246163453986</v>
      </c>
      <c r="Y105" s="121">
        <f t="shared" si="24"/>
        <v>98.65881289480798</v>
      </c>
      <c r="Z105" s="121">
        <f t="shared" si="24"/>
        <v>104.52137962616197</v>
      </c>
      <c r="AA105" s="121">
        <f t="shared" si="24"/>
        <v>110.383946357516</v>
      </c>
      <c r="AB105" s="121">
        <f t="shared" si="24"/>
        <v>117.24192417638679</v>
      </c>
      <c r="AC105" s="121">
        <f t="shared" si="24"/>
        <v>124.09990199525758</v>
      </c>
      <c r="AD105" s="121">
        <f t="shared" si="24"/>
        <v>130.95787981412838</v>
      </c>
      <c r="AE105" s="121">
        <f t="shared" si="24"/>
        <v>137.81585763299918</v>
      </c>
      <c r="AF105" s="121">
        <f t="shared" si="24"/>
        <v>144.67383545186999</v>
      </c>
      <c r="AG105" s="121">
        <f t="shared" si="24"/>
        <v>151.8096594976648</v>
      </c>
      <c r="AH105" s="121">
        <f t="shared" si="24"/>
        <v>158.9454835434596</v>
      </c>
      <c r="AI105" s="121">
        <f t="shared" si="24"/>
        <v>166.08130758925441</v>
      </c>
      <c r="AJ105" s="121">
        <f t="shared" si="24"/>
        <v>173.21713163504921</v>
      </c>
    </row>
    <row r="106" spans="1:42">
      <c r="B106" s="117" t="s">
        <v>173</v>
      </c>
      <c r="C106" s="122"/>
      <c r="E106" s="117"/>
      <c r="F106" s="121"/>
      <c r="H106" s="35" t="s">
        <v>24</v>
      </c>
      <c r="I106" s="121">
        <f t="shared" si="25"/>
        <v>6.5387898932644006</v>
      </c>
      <c r="J106" s="121">
        <f t="shared" si="24"/>
        <v>9.2543235356556011</v>
      </c>
      <c r="K106" s="121">
        <f t="shared" si="24"/>
        <v>11.969857178046801</v>
      </c>
      <c r="L106" s="121">
        <f t="shared" si="24"/>
        <v>14.685390820438</v>
      </c>
      <c r="M106" s="121">
        <f t="shared" si="24"/>
        <v>17.400866528027198</v>
      </c>
      <c r="N106" s="121">
        <f t="shared" si="24"/>
        <v>20.116342235616397</v>
      </c>
      <c r="O106" s="121">
        <f t="shared" si="24"/>
        <v>22.831817943205596</v>
      </c>
      <c r="P106" s="121">
        <f t="shared" si="24"/>
        <v>25.547293650794796</v>
      </c>
      <c r="Q106" s="121">
        <f t="shared" si="24"/>
        <v>28.262769358383991</v>
      </c>
      <c r="R106" s="121">
        <f t="shared" si="24"/>
        <v>28.776114485022791</v>
      </c>
      <c r="S106" s="121">
        <f t="shared" si="24"/>
        <v>29.289459611661592</v>
      </c>
      <c r="T106" s="121">
        <f t="shared" si="24"/>
        <v>29.802804738300392</v>
      </c>
      <c r="U106" s="121">
        <f t="shared" si="24"/>
        <v>30.316149864939192</v>
      </c>
      <c r="V106" s="121">
        <f t="shared" si="24"/>
        <v>30.829494991577999</v>
      </c>
      <c r="W106" s="121">
        <f t="shared" si="24"/>
        <v>31.388516204125999</v>
      </c>
      <c r="X106" s="121">
        <f t="shared" si="24"/>
        <v>31.947537416673999</v>
      </c>
      <c r="Y106" s="121">
        <f t="shared" si="24"/>
        <v>32.506558629221999</v>
      </c>
      <c r="Z106" s="121">
        <f t="shared" si="24"/>
        <v>33.065579841769996</v>
      </c>
      <c r="AA106" s="121">
        <f t="shared" si="24"/>
        <v>33.624601054317992</v>
      </c>
      <c r="AB106" s="121">
        <f t="shared" si="24"/>
        <v>34.232998470232793</v>
      </c>
      <c r="AC106" s="121">
        <f t="shared" si="24"/>
        <v>34.841395886147595</v>
      </c>
      <c r="AD106" s="121">
        <f t="shared" si="24"/>
        <v>35.449793302062396</v>
      </c>
      <c r="AE106" s="121">
        <f t="shared" si="24"/>
        <v>36.058190717977197</v>
      </c>
      <c r="AF106" s="121">
        <f t="shared" si="24"/>
        <v>36.666588133891999</v>
      </c>
      <c r="AG106" s="121">
        <f t="shared" si="24"/>
        <v>37.328936985231202</v>
      </c>
      <c r="AH106" s="121">
        <f t="shared" si="24"/>
        <v>37.991285836570405</v>
      </c>
      <c r="AI106" s="121">
        <f t="shared" si="24"/>
        <v>38.653634687909609</v>
      </c>
      <c r="AJ106" s="121">
        <f t="shared" si="24"/>
        <v>39.315983539248812</v>
      </c>
    </row>
    <row r="107" spans="1:42">
      <c r="B107" s="117" t="s">
        <v>173</v>
      </c>
      <c r="C107" s="122"/>
      <c r="E107" s="117"/>
      <c r="F107" s="121"/>
      <c r="H107" s="35" t="s">
        <v>25</v>
      </c>
      <c r="I107" s="121">
        <f t="shared" si="25"/>
        <v>25.389440745104398</v>
      </c>
      <c r="J107" s="121">
        <f t="shared" si="24"/>
        <v>37.530299813415596</v>
      </c>
      <c r="K107" s="121">
        <f t="shared" si="24"/>
        <v>49.671158881726797</v>
      </c>
      <c r="L107" s="121">
        <f t="shared" si="24"/>
        <v>61.812017950037998</v>
      </c>
      <c r="M107" s="121">
        <f t="shared" si="24"/>
        <v>67.143963640499592</v>
      </c>
      <c r="N107" s="121">
        <f t="shared" si="24"/>
        <v>72.475909330961187</v>
      </c>
      <c r="O107" s="121">
        <f t="shared" si="24"/>
        <v>77.807855021422782</v>
      </c>
      <c r="P107" s="121">
        <f t="shared" si="24"/>
        <v>83.139800711884376</v>
      </c>
      <c r="Q107" s="121">
        <f t="shared" si="24"/>
        <v>88.471746402346</v>
      </c>
      <c r="R107" s="121">
        <f t="shared" si="24"/>
        <v>98.112007994063603</v>
      </c>
      <c r="S107" s="121">
        <f t="shared" si="24"/>
        <v>107.75226958578121</v>
      </c>
      <c r="T107" s="121">
        <f t="shared" si="24"/>
        <v>117.39253117749881</v>
      </c>
      <c r="U107" s="121">
        <f t="shared" si="24"/>
        <v>127.03279276921641</v>
      </c>
      <c r="V107" s="121">
        <f t="shared" si="24"/>
        <v>136.673054360934</v>
      </c>
      <c r="W107" s="121">
        <f t="shared" si="24"/>
        <v>152.3950284390416</v>
      </c>
      <c r="X107" s="121">
        <f t="shared" si="24"/>
        <v>168.11700251714919</v>
      </c>
      <c r="Y107" s="121">
        <f t="shared" si="24"/>
        <v>183.83897659525678</v>
      </c>
      <c r="Z107" s="121">
        <f t="shared" si="24"/>
        <v>199.56095067336437</v>
      </c>
      <c r="AA107" s="121">
        <f t="shared" si="24"/>
        <v>215.282924751472</v>
      </c>
      <c r="AB107" s="121">
        <f t="shared" si="24"/>
        <v>238.91711118915001</v>
      </c>
      <c r="AC107" s="121">
        <f t="shared" si="24"/>
        <v>262.55129762682799</v>
      </c>
      <c r="AD107" s="121">
        <f t="shared" si="24"/>
        <v>286.185484064506</v>
      </c>
      <c r="AE107" s="121">
        <f t="shared" si="24"/>
        <v>309.81967050218401</v>
      </c>
      <c r="AF107" s="121">
        <f t="shared" si="24"/>
        <v>333.45385693986202</v>
      </c>
      <c r="AG107" s="121">
        <f t="shared" si="24"/>
        <v>366.77473710987164</v>
      </c>
      <c r="AH107" s="121">
        <f t="shared" si="24"/>
        <v>400.09561727988125</v>
      </c>
      <c r="AI107" s="121">
        <f t="shared" si="24"/>
        <v>433.41649744989087</v>
      </c>
      <c r="AJ107" s="121">
        <f t="shared" si="24"/>
        <v>466.73737761990049</v>
      </c>
    </row>
    <row r="108" spans="1:42">
      <c r="B108" s="117" t="s">
        <v>173</v>
      </c>
      <c r="C108" s="122"/>
      <c r="E108" s="117"/>
      <c r="F108" s="121"/>
      <c r="H108" s="117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</row>
    <row r="109" spans="1:42">
      <c r="B109" s="117" t="s">
        <v>173</v>
      </c>
      <c r="C109" s="122"/>
      <c r="E109" s="117"/>
      <c r="F109" s="121"/>
      <c r="H109" s="117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</row>
    <row r="110" spans="1:42" customFormat="1">
      <c r="A110" s="115"/>
      <c r="B110" s="117" t="s">
        <v>173</v>
      </c>
      <c r="C110" s="122"/>
      <c r="D110" s="115"/>
      <c r="E110" s="117"/>
      <c r="F110" s="121"/>
      <c r="G110" s="115"/>
      <c r="H110" s="117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</row>
    <row r="111" spans="1:42">
      <c r="H111" s="171" t="s">
        <v>273</v>
      </c>
      <c r="I111" s="129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</row>
    <row r="112" spans="1:42">
      <c r="B112" s="113" t="s">
        <v>274</v>
      </c>
      <c r="E112" s="113" t="s">
        <v>70</v>
      </c>
      <c r="H112" s="130" t="s">
        <v>12</v>
      </c>
      <c r="I112" s="149">
        <v>13.458131390376399</v>
      </c>
      <c r="J112" s="149">
        <v>19.633335781323598</v>
      </c>
      <c r="K112" s="149">
        <v>25.808540172270799</v>
      </c>
      <c r="L112" s="149">
        <v>31.983744563218</v>
      </c>
      <c r="M112" s="149">
        <v>33.368109551101597</v>
      </c>
      <c r="N112" s="149">
        <v>34.752474538985197</v>
      </c>
      <c r="O112" s="149">
        <v>36.136839526868798</v>
      </c>
      <c r="P112" s="149">
        <v>37.521204514752398</v>
      </c>
      <c r="Q112" s="149">
        <v>38.905569502635991</v>
      </c>
      <c r="R112" s="149">
        <v>41.067194329817596</v>
      </c>
      <c r="S112" s="149">
        <v>43.228819156999201</v>
      </c>
      <c r="T112" s="149">
        <v>45.390443984180806</v>
      </c>
      <c r="U112" s="149">
        <v>47.55206881136241</v>
      </c>
      <c r="V112" s="149">
        <v>49.713693638544001</v>
      </c>
      <c r="W112" s="149">
        <v>52.840679425011601</v>
      </c>
      <c r="X112" s="149">
        <v>55.967665211479201</v>
      </c>
      <c r="Y112" s="149">
        <v>59.0946509979468</v>
      </c>
      <c r="Z112" s="149">
        <v>62.2216367844144</v>
      </c>
      <c r="AA112" s="149">
        <v>65.348622570882</v>
      </c>
      <c r="AB112" s="149">
        <v>69.779332531809203</v>
      </c>
      <c r="AC112" s="149">
        <v>74.210042492736406</v>
      </c>
      <c r="AD112" s="149">
        <v>78.640752453663609</v>
      </c>
      <c r="AE112" s="149">
        <v>83.071462414590812</v>
      </c>
      <c r="AF112" s="149">
        <v>87.502172375517986</v>
      </c>
      <c r="AG112" s="149">
        <v>93.495521084597186</v>
      </c>
      <c r="AH112" s="149">
        <v>99.488869793676386</v>
      </c>
      <c r="AI112" s="149">
        <v>105.48221850275559</v>
      </c>
      <c r="AJ112" s="149">
        <v>111.47556721183479</v>
      </c>
      <c r="AK112" s="115">
        <v>117.468915920914</v>
      </c>
      <c r="AL112" s="115">
        <v>119.98010959525161</v>
      </c>
      <c r="AM112" s="115">
        <v>122.49130326958921</v>
      </c>
      <c r="AN112" s="115">
        <v>125.00249694392681</v>
      </c>
      <c r="AO112" s="115">
        <v>127.51369061826442</v>
      </c>
      <c r="AP112" s="115">
        <v>130.024884292602</v>
      </c>
    </row>
    <row r="113" spans="2:42">
      <c r="B113" s="117" t="s">
        <v>173</v>
      </c>
      <c r="C113" s="122"/>
      <c r="E113" s="117"/>
      <c r="F113" s="121"/>
      <c r="H113" s="130" t="s">
        <v>15</v>
      </c>
      <c r="I113" s="149">
        <v>1.2274021734379998</v>
      </c>
      <c r="J113" s="149">
        <v>1.2872419559159998</v>
      </c>
      <c r="K113" s="149">
        <v>1.3470817383939997</v>
      </c>
      <c r="L113" s="149">
        <v>1.4069215208720001</v>
      </c>
      <c r="M113" s="149">
        <v>1.4762026156796</v>
      </c>
      <c r="N113" s="149">
        <v>1.5454837104871999</v>
      </c>
      <c r="O113" s="149">
        <v>1.6147648052947998</v>
      </c>
      <c r="P113" s="149">
        <v>1.6840459001023997</v>
      </c>
      <c r="Q113" s="149">
        <v>1.7533269949100001</v>
      </c>
      <c r="R113" s="149">
        <v>1.8328976871844</v>
      </c>
      <c r="S113" s="149">
        <v>1.9124683794588</v>
      </c>
      <c r="T113" s="149">
        <v>1.9920390717331999</v>
      </c>
      <c r="U113" s="149">
        <v>2.0716097640075999</v>
      </c>
      <c r="V113" s="149">
        <v>2.1511804562819998</v>
      </c>
      <c r="W113" s="149">
        <v>2.2421281479167998</v>
      </c>
      <c r="X113" s="149">
        <v>2.3330758395515998</v>
      </c>
      <c r="Y113" s="149">
        <v>2.4240235311863998</v>
      </c>
      <c r="Z113" s="149">
        <v>2.5149712228211998</v>
      </c>
      <c r="AA113" s="149">
        <v>2.6059189144560002</v>
      </c>
      <c r="AB113" s="149">
        <v>2.7092753544872004</v>
      </c>
      <c r="AC113" s="149">
        <v>2.8126317945184005</v>
      </c>
      <c r="AD113" s="149">
        <v>2.9159882345496007</v>
      </c>
      <c r="AE113" s="149">
        <v>3.0193446745808008</v>
      </c>
      <c r="AF113" s="149">
        <v>3.1227011146120001</v>
      </c>
      <c r="AG113" s="149">
        <v>3.2396168904228002</v>
      </c>
      <c r="AH113" s="149">
        <v>3.3565326662336004</v>
      </c>
      <c r="AI113" s="149">
        <v>3.4734484420444005</v>
      </c>
      <c r="AJ113" s="149">
        <v>3.5903642178552007</v>
      </c>
      <c r="AK113" s="115">
        <v>3.7072799936659999</v>
      </c>
      <c r="AL113" s="115">
        <v>3.8390105513079997</v>
      </c>
      <c r="AM113" s="115">
        <v>3.9707411089499995</v>
      </c>
      <c r="AN113" s="115">
        <v>4.1024716665919998</v>
      </c>
      <c r="AO113" s="115">
        <v>4.2342022242340001</v>
      </c>
      <c r="AP113" s="115">
        <v>4.3659327818759994</v>
      </c>
    </row>
    <row r="114" spans="2:42">
      <c r="B114" s="117" t="s">
        <v>173</v>
      </c>
      <c r="C114" s="122"/>
      <c r="E114" s="117"/>
      <c r="F114" s="121"/>
      <c r="H114" s="130" t="s">
        <v>19</v>
      </c>
      <c r="I114" s="149">
        <v>1.2273726189348</v>
      </c>
      <c r="J114" s="149">
        <v>1.2871976241612</v>
      </c>
      <c r="K114" s="149">
        <v>1.3470226293876</v>
      </c>
      <c r="L114" s="149">
        <v>1.406847634614</v>
      </c>
      <c r="M114" s="149">
        <v>1.4761205986099999</v>
      </c>
      <c r="N114" s="149">
        <v>1.5453935626059998</v>
      </c>
      <c r="O114" s="149">
        <v>1.6146665266019997</v>
      </c>
      <c r="P114" s="149">
        <v>1.6839394905979996</v>
      </c>
      <c r="Q114" s="149">
        <v>1.753212454594</v>
      </c>
      <c r="R114" s="149">
        <v>16.179528256277997</v>
      </c>
      <c r="S114" s="149">
        <v>30.605844057961995</v>
      </c>
      <c r="T114" s="149">
        <v>45.032159859645994</v>
      </c>
      <c r="U114" s="149">
        <v>59.458475661329992</v>
      </c>
      <c r="V114" s="149">
        <v>73.884791463013997</v>
      </c>
      <c r="W114" s="149">
        <v>83.243135617449994</v>
      </c>
      <c r="X114" s="149">
        <v>92.601479771885991</v>
      </c>
      <c r="Y114" s="149">
        <v>101.95982392632199</v>
      </c>
      <c r="Z114" s="149">
        <v>111.31816808075799</v>
      </c>
      <c r="AA114" s="149">
        <v>120.676512235194</v>
      </c>
      <c r="AB114" s="149">
        <v>133.572178825994</v>
      </c>
      <c r="AC114" s="149">
        <v>146.46784541679401</v>
      </c>
      <c r="AD114" s="149">
        <v>159.36351200759401</v>
      </c>
      <c r="AE114" s="149">
        <v>172.25917859839402</v>
      </c>
      <c r="AF114" s="149">
        <v>185.15484518919399</v>
      </c>
      <c r="AG114" s="149">
        <v>200.136609963474</v>
      </c>
      <c r="AH114" s="149">
        <v>215.11837473775401</v>
      </c>
      <c r="AI114" s="149">
        <v>230.10013951203402</v>
      </c>
      <c r="AJ114" s="149">
        <v>245.08190428631403</v>
      </c>
      <c r="AK114" s="115">
        <v>260.06366906059401</v>
      </c>
      <c r="AL114" s="115">
        <v>270.47673826300161</v>
      </c>
      <c r="AM114" s="115">
        <v>280.88980746540921</v>
      </c>
      <c r="AN114" s="115">
        <v>291.3028766678168</v>
      </c>
      <c r="AO114" s="115">
        <v>301.7159458702244</v>
      </c>
      <c r="AP114" s="115">
        <v>312.12901507263189</v>
      </c>
    </row>
    <row r="115" spans="2:42">
      <c r="B115" s="117" t="s">
        <v>173</v>
      </c>
      <c r="C115" s="122"/>
      <c r="E115" s="117"/>
      <c r="F115" s="121"/>
      <c r="H115" s="130" t="s">
        <v>22</v>
      </c>
      <c r="I115" s="149">
        <v>1.2273726189348</v>
      </c>
      <c r="J115" s="149">
        <v>1.2871976241612</v>
      </c>
      <c r="K115" s="149">
        <v>1.3470226293876</v>
      </c>
      <c r="L115" s="149">
        <v>1.406847634614</v>
      </c>
      <c r="M115" s="149">
        <v>1.4761205986099999</v>
      </c>
      <c r="N115" s="149">
        <v>1.5453935626059998</v>
      </c>
      <c r="O115" s="149">
        <v>1.6146665266019997</v>
      </c>
      <c r="P115" s="149">
        <v>1.6839394905979996</v>
      </c>
      <c r="Q115" s="149">
        <v>1.753212454594</v>
      </c>
      <c r="R115" s="149">
        <v>17.616792503824399</v>
      </c>
      <c r="S115" s="149">
        <v>33.480372553054799</v>
      </c>
      <c r="T115" s="149">
        <v>49.343952602285199</v>
      </c>
      <c r="U115" s="149">
        <v>65.207532651515592</v>
      </c>
      <c r="V115" s="149">
        <v>81.071112700745999</v>
      </c>
      <c r="W115" s="149">
        <v>86.933679432099993</v>
      </c>
      <c r="X115" s="149">
        <v>92.796246163453986</v>
      </c>
      <c r="Y115" s="149">
        <v>98.65881289480798</v>
      </c>
      <c r="Z115" s="149">
        <v>104.52137962616197</v>
      </c>
      <c r="AA115" s="149">
        <v>110.383946357516</v>
      </c>
      <c r="AB115" s="149">
        <v>117.24192417638679</v>
      </c>
      <c r="AC115" s="149">
        <v>124.09990199525758</v>
      </c>
      <c r="AD115" s="149">
        <v>130.95787981412838</v>
      </c>
      <c r="AE115" s="149">
        <v>137.81585763299918</v>
      </c>
      <c r="AF115" s="149">
        <v>144.67383545186999</v>
      </c>
      <c r="AG115" s="149">
        <v>151.8096594976648</v>
      </c>
      <c r="AH115" s="149">
        <v>158.9454835434596</v>
      </c>
      <c r="AI115" s="149">
        <v>166.08130758925441</v>
      </c>
      <c r="AJ115" s="149">
        <v>173.21713163504921</v>
      </c>
      <c r="AK115" s="115">
        <v>180.35295568084399</v>
      </c>
      <c r="AL115" s="115">
        <v>187.9392293700096</v>
      </c>
      <c r="AM115" s="115">
        <v>195.52550305917521</v>
      </c>
      <c r="AN115" s="115">
        <v>203.11177674834082</v>
      </c>
      <c r="AO115" s="115">
        <v>210.69805043750642</v>
      </c>
      <c r="AP115" s="115">
        <v>218.284324126672</v>
      </c>
    </row>
    <row r="116" spans="2:42">
      <c r="B116" s="117" t="s">
        <v>173</v>
      </c>
      <c r="C116" s="122"/>
      <c r="E116" s="117"/>
      <c r="F116" s="121"/>
      <c r="H116" s="130" t="s">
        <v>24</v>
      </c>
      <c r="I116" s="149">
        <v>6.5387898932644006</v>
      </c>
      <c r="J116" s="149">
        <v>9.2543235356556011</v>
      </c>
      <c r="K116" s="149">
        <v>11.969857178046801</v>
      </c>
      <c r="L116" s="149">
        <v>14.685390820438</v>
      </c>
      <c r="M116" s="149">
        <v>17.400866528027198</v>
      </c>
      <c r="N116" s="149">
        <v>20.116342235616397</v>
      </c>
      <c r="O116" s="149">
        <v>22.831817943205596</v>
      </c>
      <c r="P116" s="149">
        <v>25.547293650794796</v>
      </c>
      <c r="Q116" s="149">
        <v>28.262769358383991</v>
      </c>
      <c r="R116" s="149">
        <v>28.776114485022791</v>
      </c>
      <c r="S116" s="149">
        <v>29.289459611661592</v>
      </c>
      <c r="T116" s="149">
        <v>29.802804738300392</v>
      </c>
      <c r="U116" s="149">
        <v>30.316149864939192</v>
      </c>
      <c r="V116" s="149">
        <v>30.829494991577999</v>
      </c>
      <c r="W116" s="149">
        <v>31.388516204125999</v>
      </c>
      <c r="X116" s="149">
        <v>31.947537416673999</v>
      </c>
      <c r="Y116" s="149">
        <v>32.506558629221999</v>
      </c>
      <c r="Z116" s="149">
        <v>33.065579841769996</v>
      </c>
      <c r="AA116" s="149">
        <v>33.624601054317992</v>
      </c>
      <c r="AB116" s="149">
        <v>34.232998470232793</v>
      </c>
      <c r="AC116" s="149">
        <v>34.841395886147595</v>
      </c>
      <c r="AD116" s="149">
        <v>35.449793302062396</v>
      </c>
      <c r="AE116" s="149">
        <v>36.058190717977197</v>
      </c>
      <c r="AF116" s="149">
        <v>36.666588133891999</v>
      </c>
      <c r="AG116" s="149">
        <v>37.328936985231202</v>
      </c>
      <c r="AH116" s="149">
        <v>37.991285836570405</v>
      </c>
      <c r="AI116" s="149">
        <v>38.653634687909609</v>
      </c>
      <c r="AJ116" s="149">
        <v>39.315983539248812</v>
      </c>
      <c r="AK116" s="115">
        <v>39.978332390588022</v>
      </c>
      <c r="AL116" s="115">
        <v>40.699253858464417</v>
      </c>
      <c r="AM116" s="115">
        <v>41.420175326340811</v>
      </c>
      <c r="AN116" s="115">
        <v>42.141096794217205</v>
      </c>
      <c r="AO116" s="115">
        <v>42.862018262093599</v>
      </c>
      <c r="AP116" s="115">
        <v>43.582939729970008</v>
      </c>
    </row>
    <row r="117" spans="2:42">
      <c r="B117" s="117" t="s">
        <v>173</v>
      </c>
      <c r="C117" s="122"/>
      <c r="E117" s="117"/>
      <c r="F117" s="121"/>
      <c r="H117" s="130" t="s">
        <v>25</v>
      </c>
      <c r="I117" s="149">
        <v>25.389440745104398</v>
      </c>
      <c r="J117" s="149">
        <v>37.530299813415596</v>
      </c>
      <c r="K117" s="149">
        <v>49.671158881726797</v>
      </c>
      <c r="L117" s="149">
        <v>61.812017950037998</v>
      </c>
      <c r="M117" s="149">
        <v>67.143963640499592</v>
      </c>
      <c r="N117" s="149">
        <v>72.475909330961187</v>
      </c>
      <c r="O117" s="149">
        <v>77.807855021422782</v>
      </c>
      <c r="P117" s="149">
        <v>83.139800711884376</v>
      </c>
      <c r="Q117" s="149">
        <v>88.471746402346</v>
      </c>
      <c r="R117" s="149">
        <v>98.112007994063603</v>
      </c>
      <c r="S117" s="149">
        <v>107.75226958578121</v>
      </c>
      <c r="T117" s="149">
        <v>117.39253117749881</v>
      </c>
      <c r="U117" s="149">
        <v>127.03279276921641</v>
      </c>
      <c r="V117" s="149">
        <v>136.673054360934</v>
      </c>
      <c r="W117" s="149">
        <v>152.3950284390416</v>
      </c>
      <c r="X117" s="149">
        <v>168.11700251714919</v>
      </c>
      <c r="Y117" s="149">
        <v>183.83897659525678</v>
      </c>
      <c r="Z117" s="149">
        <v>199.56095067336437</v>
      </c>
      <c r="AA117" s="149">
        <v>215.282924751472</v>
      </c>
      <c r="AB117" s="149">
        <v>238.91711118915001</v>
      </c>
      <c r="AC117" s="149">
        <v>262.55129762682799</v>
      </c>
      <c r="AD117" s="149">
        <v>286.185484064506</v>
      </c>
      <c r="AE117" s="149">
        <v>309.81967050218401</v>
      </c>
      <c r="AF117" s="149">
        <v>333.45385693986202</v>
      </c>
      <c r="AG117" s="149">
        <v>366.77473710987164</v>
      </c>
      <c r="AH117" s="149">
        <v>400.09561727988125</v>
      </c>
      <c r="AI117" s="149">
        <v>433.41649744989087</v>
      </c>
      <c r="AJ117" s="149">
        <v>466.73737761990049</v>
      </c>
      <c r="AK117" s="115">
        <v>500.05825778990999</v>
      </c>
      <c r="AL117" s="115">
        <v>507.33038259626483</v>
      </c>
      <c r="AM117" s="115">
        <v>514.60250740261961</v>
      </c>
      <c r="AN117" s="115">
        <v>521.87463220897439</v>
      </c>
      <c r="AO117" s="115">
        <v>529.14675701532917</v>
      </c>
      <c r="AP117" s="115">
        <v>536.41888182168407</v>
      </c>
    </row>
    <row r="118" spans="2:42">
      <c r="B118" s="117" t="s">
        <v>173</v>
      </c>
      <c r="C118" s="122"/>
      <c r="E118" s="117"/>
      <c r="F118" s="121"/>
      <c r="H118" s="117" t="s">
        <v>173</v>
      </c>
      <c r="I118" s="129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</row>
    <row r="119" spans="2:42">
      <c r="B119" s="117" t="s">
        <v>173</v>
      </c>
      <c r="C119" s="122"/>
      <c r="E119" s="117"/>
      <c r="F119" s="121"/>
      <c r="H119" s="117" t="s">
        <v>173</v>
      </c>
      <c r="I119" s="129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</row>
    <row r="120" spans="2:42">
      <c r="B120" s="117" t="s">
        <v>173</v>
      </c>
      <c r="C120" s="122"/>
      <c r="E120" s="117"/>
      <c r="F120" s="121"/>
      <c r="H120" s="117" t="s">
        <v>173</v>
      </c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</row>
    <row r="121" spans="2:42">
      <c r="B121" s="117" t="s">
        <v>173</v>
      </c>
      <c r="C121" s="122"/>
      <c r="E121" s="117"/>
      <c r="F121" s="121"/>
      <c r="H121" s="117" t="s">
        <v>173</v>
      </c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</row>
    <row r="122" spans="2:42">
      <c r="B122" s="117" t="s">
        <v>173</v>
      </c>
      <c r="C122" s="122"/>
      <c r="E122" s="117"/>
      <c r="F122" s="121"/>
      <c r="H122" s="117" t="s">
        <v>173</v>
      </c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</row>
    <row r="123" spans="2:42">
      <c r="H123" s="117" t="s">
        <v>173</v>
      </c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</row>
    <row r="124" spans="2:42">
      <c r="B124" s="113" t="s">
        <v>275</v>
      </c>
      <c r="E124" s="113" t="s">
        <v>71</v>
      </c>
      <c r="H124" s="117" t="s">
        <v>173</v>
      </c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</row>
    <row r="125" spans="2:42">
      <c r="B125" s="117" t="s">
        <v>8</v>
      </c>
      <c r="C125" s="124">
        <f>'2.Input data NLC CIL'!E11</f>
        <v>146388.6</v>
      </c>
      <c r="E125" s="117"/>
      <c r="F125" s="121"/>
      <c r="H125" s="117" t="s">
        <v>173</v>
      </c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</row>
    <row r="126" spans="2:42">
      <c r="B126" s="117" t="s">
        <v>173</v>
      </c>
      <c r="C126" s="122"/>
      <c r="E126" s="117"/>
      <c r="F126" s="121"/>
      <c r="H126" s="117" t="s">
        <v>173</v>
      </c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</row>
    <row r="127" spans="2:42">
      <c r="B127" s="117" t="s">
        <v>173</v>
      </c>
      <c r="C127" s="122"/>
      <c r="E127" s="117"/>
      <c r="F127" s="121"/>
      <c r="H127" s="117" t="s">
        <v>173</v>
      </c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</row>
    <row r="128" spans="2:42">
      <c r="B128" s="117" t="s">
        <v>173</v>
      </c>
      <c r="C128" s="122"/>
      <c r="E128" s="117"/>
      <c r="F128" s="121"/>
      <c r="H128" s="117" t="s">
        <v>173</v>
      </c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</row>
    <row r="129" spans="2:36">
      <c r="B129" s="117" t="s">
        <v>173</v>
      </c>
      <c r="C129" s="122"/>
      <c r="E129" s="117"/>
      <c r="F129" s="121"/>
      <c r="H129" s="117" t="s">
        <v>173</v>
      </c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</row>
    <row r="130" spans="2:36">
      <c r="B130" s="117" t="s">
        <v>173</v>
      </c>
      <c r="C130" s="122"/>
      <c r="E130" s="117"/>
      <c r="F130" s="121"/>
      <c r="H130" s="117" t="s">
        <v>173</v>
      </c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</row>
    <row r="131" spans="2:36">
      <c r="B131" s="117" t="s">
        <v>173</v>
      </c>
      <c r="C131" s="122"/>
      <c r="E131" s="117"/>
      <c r="F131" s="121"/>
      <c r="H131" s="117" t="s">
        <v>173</v>
      </c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</row>
    <row r="132" spans="2:36">
      <c r="B132" s="117" t="s">
        <v>173</v>
      </c>
      <c r="C132" s="122"/>
      <c r="E132" s="117"/>
      <c r="F132" s="121"/>
      <c r="H132" s="117" t="s">
        <v>173</v>
      </c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</row>
    <row r="133" spans="2:36">
      <c r="B133" s="117" t="s">
        <v>173</v>
      </c>
      <c r="C133" s="122"/>
      <c r="E133" s="117"/>
      <c r="F133" s="121"/>
      <c r="H133" s="117" t="s">
        <v>173</v>
      </c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</row>
    <row r="134" spans="2:36">
      <c r="B134" s="117" t="s">
        <v>173</v>
      </c>
      <c r="C134" s="122"/>
      <c r="E134" s="117"/>
      <c r="F134" s="121"/>
      <c r="H134" s="117" t="s">
        <v>173</v>
      </c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</row>
    <row r="136" spans="2:36">
      <c r="B136" s="113" t="s">
        <v>147</v>
      </c>
      <c r="E136" s="113" t="s">
        <v>55</v>
      </c>
      <c r="H136" s="113" t="s">
        <v>73</v>
      </c>
      <c r="I136" s="115">
        <v>2023</v>
      </c>
      <c r="J136" s="115">
        <v>2024</v>
      </c>
      <c r="K136" s="115">
        <v>2025</v>
      </c>
      <c r="L136" s="115">
        <v>2026</v>
      </c>
      <c r="M136" s="115">
        <v>2027</v>
      </c>
      <c r="N136" s="115">
        <v>2028</v>
      </c>
      <c r="O136" s="115">
        <v>2029</v>
      </c>
      <c r="P136" s="115">
        <v>2030</v>
      </c>
      <c r="Q136" s="115">
        <v>2031</v>
      </c>
      <c r="R136" s="115">
        <v>2032</v>
      </c>
      <c r="S136" s="115">
        <v>2033</v>
      </c>
      <c r="T136" s="115">
        <v>2034</v>
      </c>
      <c r="U136" s="115">
        <v>2035</v>
      </c>
      <c r="V136" s="115">
        <v>2036</v>
      </c>
      <c r="W136" s="115">
        <v>2037</v>
      </c>
      <c r="X136" s="115">
        <v>2038</v>
      </c>
      <c r="Y136" s="115">
        <v>2039</v>
      </c>
      <c r="Z136" s="115">
        <v>2040</v>
      </c>
      <c r="AA136" s="115">
        <v>2041</v>
      </c>
      <c r="AB136" s="115">
        <v>2042</v>
      </c>
      <c r="AC136" s="115">
        <v>2043</v>
      </c>
      <c r="AD136" s="115">
        <v>2044</v>
      </c>
      <c r="AE136" s="115">
        <v>2045</v>
      </c>
      <c r="AF136" s="115">
        <v>2046</v>
      </c>
      <c r="AG136" s="115">
        <v>2047</v>
      </c>
      <c r="AH136" s="115">
        <v>2048</v>
      </c>
      <c r="AI136" s="115">
        <v>2049</v>
      </c>
      <c r="AJ136" s="115">
        <v>2050</v>
      </c>
    </row>
    <row r="137" spans="2:36">
      <c r="B137" s="117" t="s">
        <v>8</v>
      </c>
      <c r="C137" s="124">
        <f>'2.Input data NLC CIL'!E12</f>
        <v>34068.5</v>
      </c>
      <c r="E137" s="117" t="s">
        <v>8</v>
      </c>
      <c r="F137" s="131">
        <f>'2.Input data NLC CIL'!C18</f>
        <v>1248.22</v>
      </c>
      <c r="H137" s="117" t="s">
        <v>8</v>
      </c>
      <c r="I137" s="121">
        <f>I139</f>
        <v>10.684819934898</v>
      </c>
      <c r="J137" s="121">
        <f t="shared" ref="J137:AJ137" si="26">J139</f>
        <v>10.522418050588</v>
      </c>
      <c r="K137" s="121">
        <f t="shared" si="26"/>
        <v>10.360016166277999</v>
      </c>
      <c r="L137" s="121">
        <f t="shared" si="26"/>
        <v>10.197614281968001</v>
      </c>
      <c r="M137" s="121">
        <f t="shared" si="26"/>
        <v>10.048064596531201</v>
      </c>
      <c r="N137" s="121">
        <f t="shared" si="26"/>
        <v>9.8985149110944022</v>
      </c>
      <c r="O137" s="121">
        <f t="shared" si="26"/>
        <v>9.7489652256576029</v>
      </c>
      <c r="P137" s="121">
        <f t="shared" si="26"/>
        <v>9.5994155402208037</v>
      </c>
      <c r="Q137" s="121">
        <f t="shared" si="26"/>
        <v>9.4498658547840009</v>
      </c>
      <c r="R137" s="121">
        <f t="shared" si="26"/>
        <v>9.3289080907968014</v>
      </c>
      <c r="S137" s="121">
        <f t="shared" si="26"/>
        <v>9.2079503268096019</v>
      </c>
      <c r="T137" s="121">
        <f t="shared" si="26"/>
        <v>9.0869925628224024</v>
      </c>
      <c r="U137" s="121">
        <f t="shared" si="26"/>
        <v>8.9660347988352029</v>
      </c>
      <c r="V137" s="121">
        <f t="shared" si="26"/>
        <v>8.8450770348480017</v>
      </c>
      <c r="W137" s="121">
        <f t="shared" si="26"/>
        <v>8.7615659120004015</v>
      </c>
      <c r="X137" s="121">
        <f t="shared" si="26"/>
        <v>8.6780547891528013</v>
      </c>
      <c r="Y137" s="121">
        <f t="shared" si="26"/>
        <v>8.5945436663052011</v>
      </c>
      <c r="Z137" s="121">
        <f t="shared" si="26"/>
        <v>8.5110325434576009</v>
      </c>
      <c r="AA137" s="121">
        <f t="shared" si="26"/>
        <v>8.4275214206099971</v>
      </c>
      <c r="AB137" s="121">
        <f t="shared" si="26"/>
        <v>8.3774795319675981</v>
      </c>
      <c r="AC137" s="121">
        <f t="shared" si="26"/>
        <v>8.3274376433251991</v>
      </c>
      <c r="AD137" s="121">
        <f t="shared" si="26"/>
        <v>8.2773957546828001</v>
      </c>
      <c r="AE137" s="121">
        <f t="shared" si="26"/>
        <v>8.2273538660404011</v>
      </c>
      <c r="AF137" s="121">
        <f t="shared" si="26"/>
        <v>8.1773119773979985</v>
      </c>
      <c r="AG137" s="121">
        <f t="shared" si="26"/>
        <v>8.156843246297198</v>
      </c>
      <c r="AH137" s="121">
        <f t="shared" si="26"/>
        <v>8.1363745151963975</v>
      </c>
      <c r="AI137" s="121">
        <f t="shared" si="26"/>
        <v>8.115905784095597</v>
      </c>
      <c r="AJ137" s="121">
        <f t="shared" si="26"/>
        <v>8.0954370529947965</v>
      </c>
    </row>
    <row r="138" spans="2:36">
      <c r="B138" s="117" t="s">
        <v>173</v>
      </c>
      <c r="C138" s="122"/>
      <c r="E138" s="35" t="s">
        <v>12</v>
      </c>
      <c r="F138" s="131">
        <f>F$137</f>
        <v>1248.22</v>
      </c>
      <c r="H138" s="35" t="s">
        <v>12</v>
      </c>
      <c r="I138" s="121">
        <f>I148</f>
        <v>25.0414200753724</v>
      </c>
      <c r="J138" s="121">
        <f t="shared" ref="J138:AJ143" si="27">J148</f>
        <v>32.057318261299599</v>
      </c>
      <c r="K138" s="121">
        <f t="shared" si="27"/>
        <v>39.073216447226798</v>
      </c>
      <c r="L138" s="121">
        <f t="shared" si="27"/>
        <v>46.089114633153997</v>
      </c>
      <c r="M138" s="121">
        <f t="shared" si="27"/>
        <v>48.072200152634402</v>
      </c>
      <c r="N138" s="121">
        <f t="shared" si="27"/>
        <v>50.055285672114806</v>
      </c>
      <c r="O138" s="121">
        <f t="shared" si="27"/>
        <v>52.038371191595211</v>
      </c>
      <c r="P138" s="121">
        <f t="shared" si="27"/>
        <v>54.021456711075615</v>
      </c>
      <c r="Q138" s="121">
        <f t="shared" si="27"/>
        <v>56.004542230556012</v>
      </c>
      <c r="R138" s="121">
        <f t="shared" si="27"/>
        <v>58.561105124668011</v>
      </c>
      <c r="S138" s="121">
        <f t="shared" si="27"/>
        <v>61.117668018780009</v>
      </c>
      <c r="T138" s="121">
        <f t="shared" si="27"/>
        <v>63.674230912892007</v>
      </c>
      <c r="U138" s="121">
        <f t="shared" si="27"/>
        <v>66.230793807004005</v>
      </c>
      <c r="V138" s="121">
        <f t="shared" si="27"/>
        <v>68.787356701116011</v>
      </c>
      <c r="W138" s="121">
        <f t="shared" si="27"/>
        <v>71.680261317830414</v>
      </c>
      <c r="X138" s="121">
        <f t="shared" si="27"/>
        <v>74.573165934544818</v>
      </c>
      <c r="Y138" s="121">
        <f t="shared" si="27"/>
        <v>77.466070551259222</v>
      </c>
      <c r="Z138" s="121">
        <f t="shared" si="27"/>
        <v>80.358975167973625</v>
      </c>
      <c r="AA138" s="121">
        <f t="shared" si="27"/>
        <v>83.251879784688001</v>
      </c>
      <c r="AB138" s="121">
        <f t="shared" si="27"/>
        <v>86.7434979985468</v>
      </c>
      <c r="AC138" s="121">
        <f t="shared" si="27"/>
        <v>90.2351162124056</v>
      </c>
      <c r="AD138" s="121">
        <f t="shared" si="27"/>
        <v>93.7267344262644</v>
      </c>
      <c r="AE138" s="121">
        <f t="shared" si="27"/>
        <v>97.2183526401232</v>
      </c>
      <c r="AF138" s="121">
        <f t="shared" si="27"/>
        <v>100.709970853982</v>
      </c>
      <c r="AG138" s="121">
        <f t="shared" si="27"/>
        <v>104.9548035272808</v>
      </c>
      <c r="AH138" s="121">
        <f t="shared" si="27"/>
        <v>109.1996362005796</v>
      </c>
      <c r="AI138" s="121">
        <f t="shared" si="27"/>
        <v>113.44446887387841</v>
      </c>
      <c r="AJ138" s="121">
        <f t="shared" si="27"/>
        <v>117.68930154717721</v>
      </c>
    </row>
    <row r="139" spans="2:36">
      <c r="B139" s="117" t="s">
        <v>173</v>
      </c>
      <c r="C139" s="122"/>
      <c r="E139" s="35" t="s">
        <v>15</v>
      </c>
      <c r="F139" s="131">
        <f t="shared" ref="F139:F146" si="28">F$137</f>
        <v>1248.22</v>
      </c>
      <c r="H139" s="35" t="s">
        <v>15</v>
      </c>
      <c r="I139" s="121">
        <f t="shared" ref="I139:X143" si="29">I149</f>
        <v>10.684819934898</v>
      </c>
      <c r="J139" s="121">
        <f t="shared" si="29"/>
        <v>10.522418050588</v>
      </c>
      <c r="K139" s="121">
        <f t="shared" si="29"/>
        <v>10.360016166277999</v>
      </c>
      <c r="L139" s="121">
        <f t="shared" si="29"/>
        <v>10.197614281968001</v>
      </c>
      <c r="M139" s="121">
        <f t="shared" si="29"/>
        <v>10.048064596531201</v>
      </c>
      <c r="N139" s="121">
        <f t="shared" si="29"/>
        <v>9.8985149110944022</v>
      </c>
      <c r="O139" s="121">
        <f t="shared" si="29"/>
        <v>9.7489652256576029</v>
      </c>
      <c r="P139" s="121">
        <f t="shared" si="29"/>
        <v>9.5994155402208037</v>
      </c>
      <c r="Q139" s="121">
        <f t="shared" si="29"/>
        <v>9.4498658547840009</v>
      </c>
      <c r="R139" s="121">
        <f t="shared" si="29"/>
        <v>9.3289080907968014</v>
      </c>
      <c r="S139" s="121">
        <f t="shared" si="29"/>
        <v>9.2079503268096019</v>
      </c>
      <c r="T139" s="121">
        <f t="shared" si="29"/>
        <v>9.0869925628224024</v>
      </c>
      <c r="U139" s="121">
        <f t="shared" si="29"/>
        <v>8.9660347988352029</v>
      </c>
      <c r="V139" s="121">
        <f t="shared" si="29"/>
        <v>8.8450770348480017</v>
      </c>
      <c r="W139" s="121">
        <f t="shared" si="29"/>
        <v>8.7615659120004015</v>
      </c>
      <c r="X139" s="121">
        <f t="shared" si="29"/>
        <v>8.6780547891528013</v>
      </c>
      <c r="Y139" s="121">
        <f t="shared" si="27"/>
        <v>8.5945436663052011</v>
      </c>
      <c r="Z139" s="121">
        <f t="shared" si="27"/>
        <v>8.5110325434576009</v>
      </c>
      <c r="AA139" s="121">
        <f t="shared" si="27"/>
        <v>8.4275214206099971</v>
      </c>
      <c r="AB139" s="121">
        <f t="shared" si="27"/>
        <v>8.3774795319675981</v>
      </c>
      <c r="AC139" s="121">
        <f t="shared" si="27"/>
        <v>8.3274376433251991</v>
      </c>
      <c r="AD139" s="121">
        <f t="shared" si="27"/>
        <v>8.2773957546828001</v>
      </c>
      <c r="AE139" s="121">
        <f t="shared" si="27"/>
        <v>8.2273538660404011</v>
      </c>
      <c r="AF139" s="121">
        <f t="shared" si="27"/>
        <v>8.1773119773979985</v>
      </c>
      <c r="AG139" s="121">
        <f t="shared" si="27"/>
        <v>8.156843246297198</v>
      </c>
      <c r="AH139" s="121">
        <f t="shared" si="27"/>
        <v>8.1363745151963975</v>
      </c>
      <c r="AI139" s="121">
        <f t="shared" si="27"/>
        <v>8.115905784095597</v>
      </c>
      <c r="AJ139" s="121">
        <f t="shared" si="27"/>
        <v>8.0954370529947965</v>
      </c>
    </row>
    <row r="140" spans="2:36">
      <c r="B140" s="117" t="s">
        <v>173</v>
      </c>
      <c r="C140" s="122"/>
      <c r="E140" s="35" t="s">
        <v>19</v>
      </c>
      <c r="F140" s="131">
        <f t="shared" si="28"/>
        <v>1248.22</v>
      </c>
      <c r="H140" s="35" t="s">
        <v>19</v>
      </c>
      <c r="I140" s="121">
        <f t="shared" si="29"/>
        <v>10.683416029531601</v>
      </c>
      <c r="J140" s="121">
        <f t="shared" si="27"/>
        <v>10.520312192538402</v>
      </c>
      <c r="K140" s="121">
        <f t="shared" si="27"/>
        <v>10.357208355545202</v>
      </c>
      <c r="L140" s="121">
        <f t="shared" si="27"/>
        <v>10.194104518552001</v>
      </c>
      <c r="M140" s="121">
        <f t="shared" si="27"/>
        <v>10.044331579195601</v>
      </c>
      <c r="N140" s="121">
        <f t="shared" si="27"/>
        <v>9.894558639839202</v>
      </c>
      <c r="O140" s="121">
        <f t="shared" si="27"/>
        <v>9.7447857004828027</v>
      </c>
      <c r="P140" s="121">
        <f t="shared" si="27"/>
        <v>9.5950127611264033</v>
      </c>
      <c r="Q140" s="121">
        <f t="shared" si="27"/>
        <v>9.4452398217700004</v>
      </c>
      <c r="R140" s="121">
        <f t="shared" si="27"/>
        <v>32.6149095809008</v>
      </c>
      <c r="S140" s="121">
        <f t="shared" si="27"/>
        <v>55.784579340031598</v>
      </c>
      <c r="T140" s="121">
        <f t="shared" si="27"/>
        <v>78.954249099162396</v>
      </c>
      <c r="U140" s="121">
        <f t="shared" si="27"/>
        <v>102.12391885829319</v>
      </c>
      <c r="V140" s="121">
        <f t="shared" si="27"/>
        <v>125.29358861742401</v>
      </c>
      <c r="W140" s="121">
        <f t="shared" si="27"/>
        <v>137.87139825438243</v>
      </c>
      <c r="X140" s="121">
        <f t="shared" si="27"/>
        <v>150.44920789134085</v>
      </c>
      <c r="Y140" s="121">
        <f t="shared" si="27"/>
        <v>163.02701752829927</v>
      </c>
      <c r="Z140" s="121">
        <f t="shared" si="27"/>
        <v>175.60482716525769</v>
      </c>
      <c r="AA140" s="121">
        <f t="shared" si="27"/>
        <v>188.18263680221611</v>
      </c>
      <c r="AB140" s="121">
        <f t="shared" si="27"/>
        <v>202.39666240802129</v>
      </c>
      <c r="AC140" s="121">
        <f t="shared" si="27"/>
        <v>216.61068801382646</v>
      </c>
      <c r="AD140" s="121">
        <f t="shared" si="27"/>
        <v>230.82471361963164</v>
      </c>
      <c r="AE140" s="121">
        <f t="shared" si="27"/>
        <v>245.03873922543681</v>
      </c>
      <c r="AF140" s="121">
        <f t="shared" si="27"/>
        <v>259.25276483124202</v>
      </c>
      <c r="AG140" s="121">
        <f t="shared" si="27"/>
        <v>274.66921805831521</v>
      </c>
      <c r="AH140" s="121">
        <f t="shared" si="27"/>
        <v>290.0856712853884</v>
      </c>
      <c r="AI140" s="121">
        <f t="shared" si="27"/>
        <v>305.50212451246159</v>
      </c>
      <c r="AJ140" s="121">
        <f t="shared" si="27"/>
        <v>320.91857773953478</v>
      </c>
    </row>
    <row r="141" spans="2:36">
      <c r="B141" s="117" t="s">
        <v>173</v>
      </c>
      <c r="C141" s="122"/>
      <c r="E141" s="35" t="s">
        <v>22</v>
      </c>
      <c r="F141" s="131">
        <f t="shared" si="28"/>
        <v>1248.22</v>
      </c>
      <c r="H141" s="35" t="s">
        <v>22</v>
      </c>
      <c r="I141" s="121">
        <f t="shared" si="29"/>
        <v>10.683416029531601</v>
      </c>
      <c r="J141" s="121">
        <f t="shared" si="27"/>
        <v>10.520312192538402</v>
      </c>
      <c r="K141" s="121">
        <f t="shared" si="27"/>
        <v>10.357208355545202</v>
      </c>
      <c r="L141" s="121">
        <f t="shared" si="27"/>
        <v>10.194104518552001</v>
      </c>
      <c r="M141" s="121">
        <f t="shared" si="27"/>
        <v>10.044331579195601</v>
      </c>
      <c r="N141" s="121">
        <f t="shared" si="27"/>
        <v>9.894558639839202</v>
      </c>
      <c r="O141" s="121">
        <f t="shared" si="27"/>
        <v>9.7447857004828027</v>
      </c>
      <c r="P141" s="121">
        <f t="shared" si="27"/>
        <v>9.5950127611264033</v>
      </c>
      <c r="Q141" s="121">
        <f t="shared" si="27"/>
        <v>9.4452398217700004</v>
      </c>
      <c r="R141" s="121">
        <f t="shared" si="27"/>
        <v>27.039689652890402</v>
      </c>
      <c r="S141" s="121">
        <f t="shared" si="27"/>
        <v>44.634139484010802</v>
      </c>
      <c r="T141" s="121">
        <f t="shared" si="27"/>
        <v>62.228589315131202</v>
      </c>
      <c r="U141" s="121">
        <f t="shared" si="27"/>
        <v>79.823039146251602</v>
      </c>
      <c r="V141" s="121">
        <f t="shared" si="27"/>
        <v>97.417488977372017</v>
      </c>
      <c r="W141" s="121">
        <f t="shared" si="27"/>
        <v>101.47175893300961</v>
      </c>
      <c r="X141" s="121">
        <f t="shared" si="27"/>
        <v>105.5260288886472</v>
      </c>
      <c r="Y141" s="121">
        <f t="shared" si="27"/>
        <v>109.5802988442848</v>
      </c>
      <c r="Z141" s="121">
        <f t="shared" si="27"/>
        <v>113.63456879992239</v>
      </c>
      <c r="AA141" s="121">
        <f t="shared" si="27"/>
        <v>117.68883875556</v>
      </c>
      <c r="AB141" s="121">
        <f t="shared" si="27"/>
        <v>121.4130372400912</v>
      </c>
      <c r="AC141" s="121">
        <f t="shared" si="27"/>
        <v>125.1372357246224</v>
      </c>
      <c r="AD141" s="121">
        <f t="shared" si="27"/>
        <v>128.8614342091536</v>
      </c>
      <c r="AE141" s="121">
        <f t="shared" si="27"/>
        <v>132.5856326936848</v>
      </c>
      <c r="AF141" s="121">
        <f t="shared" si="27"/>
        <v>136.309831178216</v>
      </c>
      <c r="AG141" s="121">
        <f t="shared" si="27"/>
        <v>139.9807007772028</v>
      </c>
      <c r="AH141" s="121">
        <f t="shared" si="27"/>
        <v>143.6515703761896</v>
      </c>
      <c r="AI141" s="121">
        <f t="shared" si="27"/>
        <v>147.32243997517639</v>
      </c>
      <c r="AJ141" s="121">
        <f t="shared" si="27"/>
        <v>150.99330957416319</v>
      </c>
    </row>
    <row r="142" spans="2:36">
      <c r="B142" s="117" t="s">
        <v>173</v>
      </c>
      <c r="C142" s="122"/>
      <c r="E142" s="35" t="s">
        <v>24</v>
      </c>
      <c r="F142" s="131">
        <f t="shared" si="28"/>
        <v>1248.22</v>
      </c>
      <c r="H142" s="35" t="s">
        <v>24</v>
      </c>
      <c r="I142" s="121">
        <f t="shared" si="29"/>
        <v>19.173481846293999</v>
      </c>
      <c r="J142" s="121">
        <f t="shared" si="27"/>
        <v>23.255410917681999</v>
      </c>
      <c r="K142" s="121">
        <f t="shared" si="27"/>
        <v>27.337339989069999</v>
      </c>
      <c r="L142" s="121">
        <f t="shared" si="27"/>
        <v>31.419269060457999</v>
      </c>
      <c r="M142" s="121">
        <f t="shared" si="27"/>
        <v>34.9382503797844</v>
      </c>
      <c r="N142" s="121">
        <f t="shared" si="27"/>
        <v>38.4572316991108</v>
      </c>
      <c r="O142" s="121">
        <f t="shared" si="27"/>
        <v>41.9762130184372</v>
      </c>
      <c r="P142" s="121">
        <f t="shared" si="27"/>
        <v>45.4951943377636</v>
      </c>
      <c r="Q142" s="121">
        <f t="shared" si="27"/>
        <v>49.014175657089993</v>
      </c>
      <c r="R142" s="121">
        <f t="shared" si="27"/>
        <v>49.260799456695992</v>
      </c>
      <c r="S142" s="121">
        <f t="shared" si="27"/>
        <v>49.50742325630199</v>
      </c>
      <c r="T142" s="121">
        <f t="shared" si="27"/>
        <v>49.754047055907989</v>
      </c>
      <c r="U142" s="121">
        <f t="shared" si="27"/>
        <v>50.000670855513988</v>
      </c>
      <c r="V142" s="121">
        <f t="shared" si="27"/>
        <v>50.247294655119987</v>
      </c>
      <c r="W142" s="121">
        <f t="shared" si="27"/>
        <v>50.783110597825988</v>
      </c>
      <c r="X142" s="121">
        <f t="shared" si="27"/>
        <v>51.31892654053199</v>
      </c>
      <c r="Y142" s="121">
        <f t="shared" si="27"/>
        <v>51.854742483237992</v>
      </c>
      <c r="Z142" s="121">
        <f t="shared" si="27"/>
        <v>52.390558425943993</v>
      </c>
      <c r="AA142" s="121">
        <f t="shared" si="27"/>
        <v>52.926374368650002</v>
      </c>
      <c r="AB142" s="121">
        <f t="shared" si="27"/>
        <v>53.642654937641602</v>
      </c>
      <c r="AC142" s="121">
        <f t="shared" si="27"/>
        <v>54.358935506633202</v>
      </c>
      <c r="AD142" s="121">
        <f t="shared" si="27"/>
        <v>55.075216075624802</v>
      </c>
      <c r="AE142" s="121">
        <f t="shared" si="27"/>
        <v>55.791496644616402</v>
      </c>
      <c r="AF142" s="121">
        <f t="shared" si="27"/>
        <v>56.507777213607987</v>
      </c>
      <c r="AG142" s="121">
        <f t="shared" si="27"/>
        <v>57.263574656870389</v>
      </c>
      <c r="AH142" s="121">
        <f t="shared" si="27"/>
        <v>58.019372100132792</v>
      </c>
      <c r="AI142" s="121">
        <f t="shared" si="27"/>
        <v>58.775169543395194</v>
      </c>
      <c r="AJ142" s="121">
        <f t="shared" si="27"/>
        <v>59.530966986657596</v>
      </c>
    </row>
    <row r="143" spans="2:36">
      <c r="B143" s="117" t="s">
        <v>173</v>
      </c>
      <c r="C143" s="122"/>
      <c r="E143" s="35" t="s">
        <v>25</v>
      </c>
      <c r="F143" s="131">
        <f t="shared" si="28"/>
        <v>1248.22</v>
      </c>
      <c r="H143" s="35" t="s">
        <v>25</v>
      </c>
      <c r="I143" s="121">
        <f t="shared" si="29"/>
        <v>65.469516307497202</v>
      </c>
      <c r="J143" s="121">
        <f t="shared" si="27"/>
        <v>92.699462609486801</v>
      </c>
      <c r="K143" s="121">
        <f t="shared" si="27"/>
        <v>119.9294089114764</v>
      </c>
      <c r="L143" s="121">
        <f t="shared" si="27"/>
        <v>147.159355213466</v>
      </c>
      <c r="M143" s="121">
        <f t="shared" si="27"/>
        <v>156.13345781564999</v>
      </c>
      <c r="N143" s="121">
        <f t="shared" si="27"/>
        <v>165.10756041783398</v>
      </c>
      <c r="O143" s="121">
        <f t="shared" si="27"/>
        <v>174.08166302001797</v>
      </c>
      <c r="P143" s="121">
        <f t="shared" si="27"/>
        <v>183.05576562220196</v>
      </c>
      <c r="Q143" s="121">
        <f t="shared" si="27"/>
        <v>192.02986822438601</v>
      </c>
      <c r="R143" s="121">
        <f t="shared" si="27"/>
        <v>205.74762901307679</v>
      </c>
      <c r="S143" s="121">
        <f t="shared" si="27"/>
        <v>219.46538980176757</v>
      </c>
      <c r="T143" s="121">
        <f t="shared" si="27"/>
        <v>233.18315059045835</v>
      </c>
      <c r="U143" s="121">
        <f t="shared" si="27"/>
        <v>246.90091137914914</v>
      </c>
      <c r="V143" s="121">
        <f t="shared" si="27"/>
        <v>260.61867216783997</v>
      </c>
      <c r="W143" s="121">
        <f t="shared" si="27"/>
        <v>276.92654087641876</v>
      </c>
      <c r="X143" s="121">
        <f t="shared" si="27"/>
        <v>293.23440958499754</v>
      </c>
      <c r="Y143" s="121">
        <f t="shared" si="27"/>
        <v>309.54227829357632</v>
      </c>
      <c r="Z143" s="121">
        <f t="shared" si="27"/>
        <v>325.8501470021551</v>
      </c>
      <c r="AA143" s="121">
        <f t="shared" si="27"/>
        <v>342.15801571073399</v>
      </c>
      <c r="AB143" s="121">
        <f t="shared" si="27"/>
        <v>362.56755237622519</v>
      </c>
      <c r="AC143" s="121">
        <f t="shared" si="27"/>
        <v>382.9770890417164</v>
      </c>
      <c r="AD143" s="121">
        <f t="shared" si="27"/>
        <v>403.3866257072076</v>
      </c>
      <c r="AE143" s="121">
        <f t="shared" si="27"/>
        <v>423.7961623726988</v>
      </c>
      <c r="AF143" s="121">
        <f t="shared" si="27"/>
        <v>444.20569903818989</v>
      </c>
      <c r="AG143" s="121">
        <f t="shared" si="27"/>
        <v>469.32704171267989</v>
      </c>
      <c r="AH143" s="121">
        <f t="shared" si="27"/>
        <v>494.44838438716988</v>
      </c>
      <c r="AI143" s="121">
        <f t="shared" si="27"/>
        <v>519.56972706165993</v>
      </c>
      <c r="AJ143" s="121">
        <f t="shared" si="27"/>
        <v>544.69106973614998</v>
      </c>
    </row>
    <row r="144" spans="2:36">
      <c r="B144" s="117" t="s">
        <v>173</v>
      </c>
      <c r="C144" s="122"/>
      <c r="E144" s="117"/>
      <c r="F144" s="131">
        <f t="shared" si="28"/>
        <v>1248.22</v>
      </c>
      <c r="H144" s="117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</row>
    <row r="145" spans="2:42">
      <c r="B145" s="117" t="s">
        <v>173</v>
      </c>
      <c r="C145" s="122"/>
      <c r="E145" s="117"/>
      <c r="F145" s="131">
        <f t="shared" si="28"/>
        <v>1248.22</v>
      </c>
      <c r="H145" s="117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</row>
    <row r="146" spans="2:42">
      <c r="B146" s="117" t="s">
        <v>173</v>
      </c>
      <c r="C146" s="122"/>
      <c r="E146" s="117"/>
      <c r="F146" s="131">
        <f t="shared" si="28"/>
        <v>1248.22</v>
      </c>
      <c r="H146" s="117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</row>
    <row r="147" spans="2:42">
      <c r="H147" s="128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</row>
    <row r="148" spans="2:42">
      <c r="B148" s="113" t="s">
        <v>42</v>
      </c>
      <c r="E148" s="113" t="s">
        <v>276</v>
      </c>
      <c r="H148" s="130" t="s">
        <v>12</v>
      </c>
      <c r="I148" s="132">
        <v>25.0414200753724</v>
      </c>
      <c r="J148" s="132">
        <v>32.057318261299599</v>
      </c>
      <c r="K148" s="132">
        <v>39.073216447226798</v>
      </c>
      <c r="L148" s="132">
        <v>46.089114633153997</v>
      </c>
      <c r="M148" s="132">
        <v>48.072200152634402</v>
      </c>
      <c r="N148" s="132">
        <v>50.055285672114806</v>
      </c>
      <c r="O148" s="132">
        <v>52.038371191595211</v>
      </c>
      <c r="P148" s="132">
        <v>54.021456711075615</v>
      </c>
      <c r="Q148" s="132">
        <v>56.004542230556012</v>
      </c>
      <c r="R148" s="132">
        <v>58.561105124668011</v>
      </c>
      <c r="S148" s="132">
        <v>61.117668018780009</v>
      </c>
      <c r="T148" s="132">
        <v>63.674230912892007</v>
      </c>
      <c r="U148" s="132">
        <v>66.230793807004005</v>
      </c>
      <c r="V148" s="132">
        <v>68.787356701116011</v>
      </c>
      <c r="W148" s="132">
        <v>71.680261317830414</v>
      </c>
      <c r="X148" s="132">
        <v>74.573165934544818</v>
      </c>
      <c r="Y148" s="132">
        <v>77.466070551259222</v>
      </c>
      <c r="Z148" s="132">
        <v>80.358975167973625</v>
      </c>
      <c r="AA148" s="132">
        <v>83.251879784688001</v>
      </c>
      <c r="AB148" s="132">
        <v>86.7434979985468</v>
      </c>
      <c r="AC148" s="132">
        <v>90.2351162124056</v>
      </c>
      <c r="AD148" s="132">
        <v>93.7267344262644</v>
      </c>
      <c r="AE148" s="132">
        <v>97.2183526401232</v>
      </c>
      <c r="AF148" s="132">
        <v>100.709970853982</v>
      </c>
      <c r="AG148" s="132">
        <v>104.9548035272808</v>
      </c>
      <c r="AH148" s="132">
        <v>109.1996362005796</v>
      </c>
      <c r="AI148" s="132">
        <v>113.44446887387841</v>
      </c>
      <c r="AJ148" s="132">
        <v>117.68930154717721</v>
      </c>
      <c r="AK148" s="115">
        <v>121.934134220476</v>
      </c>
      <c r="AL148" s="115">
        <v>124.38703154863239</v>
      </c>
      <c r="AM148" s="115">
        <v>126.83992887678879</v>
      </c>
      <c r="AN148" s="115">
        <v>129.29282620494519</v>
      </c>
      <c r="AO148" s="115">
        <v>131.7457235331016</v>
      </c>
      <c r="AP148" s="115">
        <v>134.19862086125801</v>
      </c>
    </row>
    <row r="149" spans="2:42">
      <c r="B149" s="117" t="s">
        <v>173</v>
      </c>
      <c r="C149" s="122"/>
      <c r="E149" s="117" t="s">
        <v>8</v>
      </c>
      <c r="F149" s="131">
        <v>0.5</v>
      </c>
      <c r="H149" s="130" t="s">
        <v>15</v>
      </c>
      <c r="I149" s="132">
        <v>10.684819934898</v>
      </c>
      <c r="J149" s="132">
        <v>10.522418050588</v>
      </c>
      <c r="K149" s="132">
        <v>10.360016166277999</v>
      </c>
      <c r="L149" s="132">
        <v>10.197614281968001</v>
      </c>
      <c r="M149" s="132">
        <v>10.048064596531201</v>
      </c>
      <c r="N149" s="132">
        <v>9.8985149110944022</v>
      </c>
      <c r="O149" s="132">
        <v>9.7489652256576029</v>
      </c>
      <c r="P149" s="132">
        <v>9.5994155402208037</v>
      </c>
      <c r="Q149" s="132">
        <v>9.4498658547840009</v>
      </c>
      <c r="R149" s="132">
        <v>9.3289080907968014</v>
      </c>
      <c r="S149" s="132">
        <v>9.2079503268096019</v>
      </c>
      <c r="T149" s="132">
        <v>9.0869925628224024</v>
      </c>
      <c r="U149" s="132">
        <v>8.9660347988352029</v>
      </c>
      <c r="V149" s="132">
        <v>8.8450770348480017</v>
      </c>
      <c r="W149" s="132">
        <v>8.7615659120004015</v>
      </c>
      <c r="X149" s="132">
        <v>8.6780547891528013</v>
      </c>
      <c r="Y149" s="132">
        <v>8.5945436663052011</v>
      </c>
      <c r="Z149" s="132">
        <v>8.5110325434576009</v>
      </c>
      <c r="AA149" s="132">
        <v>8.4275214206099971</v>
      </c>
      <c r="AB149" s="132">
        <v>8.3774795319675981</v>
      </c>
      <c r="AC149" s="132">
        <v>8.3274376433251991</v>
      </c>
      <c r="AD149" s="132">
        <v>8.2773957546828001</v>
      </c>
      <c r="AE149" s="132">
        <v>8.2273538660404011</v>
      </c>
      <c r="AF149" s="132">
        <v>8.1773119773979985</v>
      </c>
      <c r="AG149" s="132">
        <v>8.156843246297198</v>
      </c>
      <c r="AH149" s="132">
        <v>8.1363745151963975</v>
      </c>
      <c r="AI149" s="132">
        <v>8.115905784095597</v>
      </c>
      <c r="AJ149" s="132">
        <v>8.0954370529947965</v>
      </c>
      <c r="AK149" s="115">
        <v>8.0749683218939978</v>
      </c>
      <c r="AL149" s="115">
        <v>8.0907760375515991</v>
      </c>
      <c r="AM149" s="115">
        <v>8.1065837532092004</v>
      </c>
      <c r="AN149" s="115">
        <v>8.1223914688668017</v>
      </c>
      <c r="AO149" s="115">
        <v>8.1381991845244031</v>
      </c>
      <c r="AP149" s="115">
        <v>8.1540069001820008</v>
      </c>
    </row>
    <row r="150" spans="2:42">
      <c r="B150" s="117" t="s">
        <v>173</v>
      </c>
      <c r="C150" s="122"/>
      <c r="E150" s="35" t="s">
        <v>12</v>
      </c>
      <c r="F150" s="131">
        <f>F$149</f>
        <v>0.5</v>
      </c>
      <c r="H150" s="130" t="s">
        <v>19</v>
      </c>
      <c r="I150" s="132">
        <v>10.683416029531601</v>
      </c>
      <c r="J150" s="132">
        <v>10.520312192538402</v>
      </c>
      <c r="K150" s="132">
        <v>10.357208355545202</v>
      </c>
      <c r="L150" s="132">
        <v>10.194104518552001</v>
      </c>
      <c r="M150" s="132">
        <v>10.044331579195601</v>
      </c>
      <c r="N150" s="132">
        <v>9.894558639839202</v>
      </c>
      <c r="O150" s="132">
        <v>9.7447857004828027</v>
      </c>
      <c r="P150" s="132">
        <v>9.5950127611264033</v>
      </c>
      <c r="Q150" s="132">
        <v>9.4452398217700004</v>
      </c>
      <c r="R150" s="132">
        <v>32.6149095809008</v>
      </c>
      <c r="S150" s="132">
        <v>55.784579340031598</v>
      </c>
      <c r="T150" s="132">
        <v>78.954249099162396</v>
      </c>
      <c r="U150" s="132">
        <v>102.12391885829319</v>
      </c>
      <c r="V150" s="132">
        <v>125.29358861742401</v>
      </c>
      <c r="W150" s="132">
        <v>137.87139825438243</v>
      </c>
      <c r="X150" s="132">
        <v>150.44920789134085</v>
      </c>
      <c r="Y150" s="132">
        <v>163.02701752829927</v>
      </c>
      <c r="Z150" s="132">
        <v>175.60482716525769</v>
      </c>
      <c r="AA150" s="132">
        <v>188.18263680221611</v>
      </c>
      <c r="AB150" s="132">
        <v>202.39666240802129</v>
      </c>
      <c r="AC150" s="132">
        <v>216.61068801382646</v>
      </c>
      <c r="AD150" s="132">
        <v>230.82471361963164</v>
      </c>
      <c r="AE150" s="132">
        <v>245.03873922543681</v>
      </c>
      <c r="AF150" s="132">
        <v>259.25276483124202</v>
      </c>
      <c r="AG150" s="132">
        <v>274.66921805831521</v>
      </c>
      <c r="AH150" s="132">
        <v>290.0856712853884</v>
      </c>
      <c r="AI150" s="132">
        <v>305.50212451246159</v>
      </c>
      <c r="AJ150" s="132">
        <v>320.91857773953478</v>
      </c>
      <c r="AK150" s="115">
        <v>336.33503096660792</v>
      </c>
      <c r="AL150" s="115">
        <v>343.49606573474074</v>
      </c>
      <c r="AM150" s="115">
        <v>350.65710050287356</v>
      </c>
      <c r="AN150" s="115">
        <v>357.81813527100638</v>
      </c>
      <c r="AO150" s="115">
        <v>364.97917003913921</v>
      </c>
      <c r="AP150" s="115">
        <v>372.14020480727203</v>
      </c>
    </row>
    <row r="151" spans="2:42">
      <c r="B151" s="117" t="s">
        <v>173</v>
      </c>
      <c r="C151" s="122"/>
      <c r="E151" s="35" t="s">
        <v>15</v>
      </c>
      <c r="F151" s="131">
        <f>F$149</f>
        <v>0.5</v>
      </c>
      <c r="H151" s="130" t="s">
        <v>22</v>
      </c>
      <c r="I151" s="132">
        <v>10.683416029531601</v>
      </c>
      <c r="J151" s="132">
        <v>10.520312192538402</v>
      </c>
      <c r="K151" s="132">
        <v>10.357208355545202</v>
      </c>
      <c r="L151" s="132">
        <v>10.194104518552001</v>
      </c>
      <c r="M151" s="132">
        <v>10.044331579195601</v>
      </c>
      <c r="N151" s="132">
        <v>9.894558639839202</v>
      </c>
      <c r="O151" s="132">
        <v>9.7447857004828027</v>
      </c>
      <c r="P151" s="132">
        <v>9.5950127611264033</v>
      </c>
      <c r="Q151" s="132">
        <v>9.4452398217700004</v>
      </c>
      <c r="R151" s="132">
        <v>27.039689652890402</v>
      </c>
      <c r="S151" s="132">
        <v>44.634139484010802</v>
      </c>
      <c r="T151" s="132">
        <v>62.228589315131202</v>
      </c>
      <c r="U151" s="132">
        <v>79.823039146251602</v>
      </c>
      <c r="V151" s="132">
        <v>97.417488977372017</v>
      </c>
      <c r="W151" s="132">
        <v>101.47175893300961</v>
      </c>
      <c r="X151" s="132">
        <v>105.5260288886472</v>
      </c>
      <c r="Y151" s="132">
        <v>109.5802988442848</v>
      </c>
      <c r="Z151" s="132">
        <v>113.63456879992239</v>
      </c>
      <c r="AA151" s="132">
        <v>117.68883875556</v>
      </c>
      <c r="AB151" s="132">
        <v>121.4130372400912</v>
      </c>
      <c r="AC151" s="132">
        <v>125.1372357246224</v>
      </c>
      <c r="AD151" s="132">
        <v>128.8614342091536</v>
      </c>
      <c r="AE151" s="132">
        <v>132.5856326936848</v>
      </c>
      <c r="AF151" s="132">
        <v>136.309831178216</v>
      </c>
      <c r="AG151" s="132">
        <v>139.9807007772028</v>
      </c>
      <c r="AH151" s="132">
        <v>143.6515703761896</v>
      </c>
      <c r="AI151" s="132">
        <v>147.32243997517639</v>
      </c>
      <c r="AJ151" s="132">
        <v>150.99330957416319</v>
      </c>
      <c r="AK151" s="115">
        <v>154.66417917314999</v>
      </c>
      <c r="AL151" s="115">
        <v>156.78404732009039</v>
      </c>
      <c r="AM151" s="115">
        <v>158.9039154670308</v>
      </c>
      <c r="AN151" s="115">
        <v>161.0237836139712</v>
      </c>
      <c r="AO151" s="115">
        <v>163.14365176091161</v>
      </c>
      <c r="AP151" s="115">
        <v>165.26351990785199</v>
      </c>
    </row>
    <row r="152" spans="2:42">
      <c r="B152" s="117" t="s">
        <v>173</v>
      </c>
      <c r="C152" s="122"/>
      <c r="E152" s="35" t="s">
        <v>19</v>
      </c>
      <c r="F152" s="131">
        <f t="shared" ref="F152:F155" si="30">F$149</f>
        <v>0.5</v>
      </c>
      <c r="H152" s="130" t="s">
        <v>24</v>
      </c>
      <c r="I152" s="132">
        <v>19.173481846293999</v>
      </c>
      <c r="J152" s="132">
        <v>23.255410917681999</v>
      </c>
      <c r="K152" s="132">
        <v>27.337339989069999</v>
      </c>
      <c r="L152" s="132">
        <v>31.419269060457999</v>
      </c>
      <c r="M152" s="132">
        <v>34.9382503797844</v>
      </c>
      <c r="N152" s="132">
        <v>38.4572316991108</v>
      </c>
      <c r="O152" s="132">
        <v>41.9762130184372</v>
      </c>
      <c r="P152" s="132">
        <v>45.4951943377636</v>
      </c>
      <c r="Q152" s="132">
        <v>49.014175657089993</v>
      </c>
      <c r="R152" s="132">
        <v>49.260799456695992</v>
      </c>
      <c r="S152" s="132">
        <v>49.50742325630199</v>
      </c>
      <c r="T152" s="132">
        <v>49.754047055907989</v>
      </c>
      <c r="U152" s="132">
        <v>50.000670855513988</v>
      </c>
      <c r="V152" s="132">
        <v>50.247294655119987</v>
      </c>
      <c r="W152" s="132">
        <v>50.783110597825988</v>
      </c>
      <c r="X152" s="132">
        <v>51.31892654053199</v>
      </c>
      <c r="Y152" s="132">
        <v>51.854742483237992</v>
      </c>
      <c r="Z152" s="132">
        <v>52.390558425943993</v>
      </c>
      <c r="AA152" s="132">
        <v>52.926374368650002</v>
      </c>
      <c r="AB152" s="132">
        <v>53.642654937641602</v>
      </c>
      <c r="AC152" s="132">
        <v>54.358935506633202</v>
      </c>
      <c r="AD152" s="132">
        <v>55.075216075624802</v>
      </c>
      <c r="AE152" s="132">
        <v>55.791496644616402</v>
      </c>
      <c r="AF152" s="132">
        <v>56.507777213607987</v>
      </c>
      <c r="AG152" s="132">
        <v>57.263574656870389</v>
      </c>
      <c r="AH152" s="132">
        <v>58.019372100132792</v>
      </c>
      <c r="AI152" s="132">
        <v>58.775169543395194</v>
      </c>
      <c r="AJ152" s="132">
        <v>59.530966986657596</v>
      </c>
      <c r="AK152" s="115">
        <v>60.286764429919998</v>
      </c>
      <c r="AL152" s="115">
        <v>61.095003503296397</v>
      </c>
      <c r="AM152" s="115">
        <v>61.903242576672795</v>
      </c>
      <c r="AN152" s="115">
        <v>62.711481650049194</v>
      </c>
      <c r="AO152" s="115">
        <v>63.519720723425593</v>
      </c>
      <c r="AP152" s="115">
        <v>64.327959796802006</v>
      </c>
    </row>
    <row r="153" spans="2:42">
      <c r="B153" s="117" t="s">
        <v>173</v>
      </c>
      <c r="C153" s="122"/>
      <c r="E153" s="35" t="s">
        <v>22</v>
      </c>
      <c r="F153" s="131">
        <f t="shared" si="30"/>
        <v>0.5</v>
      </c>
      <c r="H153" s="130" t="s">
        <v>25</v>
      </c>
      <c r="I153" s="132">
        <v>65.469516307497202</v>
      </c>
      <c r="J153" s="132">
        <v>92.699462609486801</v>
      </c>
      <c r="K153" s="132">
        <v>119.9294089114764</v>
      </c>
      <c r="L153" s="132">
        <v>147.159355213466</v>
      </c>
      <c r="M153" s="132">
        <v>156.13345781564999</v>
      </c>
      <c r="N153" s="132">
        <v>165.10756041783398</v>
      </c>
      <c r="O153" s="132">
        <v>174.08166302001797</v>
      </c>
      <c r="P153" s="132">
        <v>183.05576562220196</v>
      </c>
      <c r="Q153" s="132">
        <v>192.02986822438601</v>
      </c>
      <c r="R153" s="132">
        <v>205.74762901307679</v>
      </c>
      <c r="S153" s="132">
        <v>219.46538980176757</v>
      </c>
      <c r="T153" s="132">
        <v>233.18315059045835</v>
      </c>
      <c r="U153" s="132">
        <v>246.90091137914914</v>
      </c>
      <c r="V153" s="132">
        <v>260.61867216783997</v>
      </c>
      <c r="W153" s="132">
        <v>276.92654087641876</v>
      </c>
      <c r="X153" s="132">
        <v>293.23440958499754</v>
      </c>
      <c r="Y153" s="132">
        <v>309.54227829357632</v>
      </c>
      <c r="Z153" s="132">
        <v>325.8501470021551</v>
      </c>
      <c r="AA153" s="132">
        <v>342.15801571073399</v>
      </c>
      <c r="AB153" s="132">
        <v>362.56755237622519</v>
      </c>
      <c r="AC153" s="132">
        <v>382.9770890417164</v>
      </c>
      <c r="AD153" s="132">
        <v>403.3866257072076</v>
      </c>
      <c r="AE153" s="132">
        <v>423.7961623726988</v>
      </c>
      <c r="AF153" s="132">
        <v>444.20569903818989</v>
      </c>
      <c r="AG153" s="132">
        <v>469.32704171267989</v>
      </c>
      <c r="AH153" s="132">
        <v>494.44838438716988</v>
      </c>
      <c r="AI153" s="132">
        <v>519.56972706165993</v>
      </c>
      <c r="AJ153" s="132">
        <v>544.69106973614998</v>
      </c>
      <c r="AK153" s="115">
        <v>569.81241241063992</v>
      </c>
      <c r="AL153" s="115">
        <v>578.64962034854034</v>
      </c>
      <c r="AM153" s="115">
        <v>587.48682828644075</v>
      </c>
      <c r="AN153" s="115">
        <v>596.32403622434117</v>
      </c>
      <c r="AO153" s="115">
        <v>605.16124416224159</v>
      </c>
      <c r="AP153" s="115">
        <v>613.99845210014212</v>
      </c>
    </row>
    <row r="154" spans="2:42">
      <c r="B154" s="117" t="s">
        <v>173</v>
      </c>
      <c r="C154" s="122"/>
      <c r="E154" s="35" t="s">
        <v>24</v>
      </c>
      <c r="F154" s="131">
        <f t="shared" si="30"/>
        <v>0.5</v>
      </c>
      <c r="H154" s="128" t="s">
        <v>173</v>
      </c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</row>
    <row r="155" spans="2:42">
      <c r="B155" s="117" t="s">
        <v>173</v>
      </c>
      <c r="C155" s="122"/>
      <c r="E155" s="35" t="s">
        <v>25</v>
      </c>
      <c r="F155" s="131">
        <f t="shared" si="30"/>
        <v>0.5</v>
      </c>
      <c r="H155" s="128" t="s">
        <v>173</v>
      </c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</row>
    <row r="156" spans="2:42">
      <c r="B156" s="117" t="s">
        <v>173</v>
      </c>
      <c r="C156" s="122"/>
      <c r="E156" s="117"/>
      <c r="F156" s="131"/>
      <c r="H156" s="117" t="s">
        <v>173</v>
      </c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</row>
    <row r="157" spans="2:42">
      <c r="B157" s="117" t="s">
        <v>173</v>
      </c>
      <c r="C157" s="122"/>
      <c r="E157" s="117"/>
      <c r="F157" s="131"/>
      <c r="H157" s="117" t="s">
        <v>173</v>
      </c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</row>
    <row r="158" spans="2:42">
      <c r="B158" s="117" t="s">
        <v>173</v>
      </c>
      <c r="C158" s="122"/>
      <c r="E158" s="117"/>
      <c r="F158" s="131"/>
      <c r="H158" s="117" t="s">
        <v>173</v>
      </c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</row>
    <row r="159" spans="2:42">
      <c r="H159" s="117" t="s">
        <v>173</v>
      </c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</row>
    <row r="160" spans="2:42">
      <c r="B160" s="113" t="s">
        <v>277</v>
      </c>
      <c r="H160" s="117" t="s">
        <v>173</v>
      </c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</row>
    <row r="161" spans="2:36">
      <c r="B161" s="117" t="s">
        <v>8</v>
      </c>
      <c r="C161" s="124">
        <f>'2.Input data NLC CIL'!E13</f>
        <v>60857.399999999994</v>
      </c>
      <c r="H161" s="117" t="s">
        <v>173</v>
      </c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</row>
    <row r="162" spans="2:36">
      <c r="B162" s="117" t="s">
        <v>173</v>
      </c>
      <c r="C162" s="122"/>
      <c r="F162" s="115">
        <v>0.7</v>
      </c>
      <c r="H162" s="117" t="s">
        <v>173</v>
      </c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</row>
    <row r="163" spans="2:36">
      <c r="B163" s="117" t="s">
        <v>173</v>
      </c>
      <c r="C163" s="122"/>
      <c r="H163" s="117" t="s">
        <v>173</v>
      </c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</row>
    <row r="164" spans="2:36">
      <c r="B164" s="117" t="s">
        <v>173</v>
      </c>
      <c r="C164" s="122"/>
      <c r="H164" s="117" t="s">
        <v>173</v>
      </c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</row>
    <row r="165" spans="2:36">
      <c r="B165" s="117" t="s">
        <v>173</v>
      </c>
      <c r="C165" s="122"/>
      <c r="H165" s="117" t="s">
        <v>173</v>
      </c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</row>
    <row r="166" spans="2:36">
      <c r="B166" s="117" t="s">
        <v>173</v>
      </c>
      <c r="C166" s="122"/>
      <c r="H166" s="117" t="s">
        <v>173</v>
      </c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</row>
    <row r="167" spans="2:36">
      <c r="B167" s="117" t="s">
        <v>173</v>
      </c>
      <c r="C167" s="122"/>
      <c r="H167" s="117" t="s">
        <v>173</v>
      </c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</row>
    <row r="168" spans="2:36">
      <c r="B168" s="117" t="s">
        <v>173</v>
      </c>
      <c r="C168" s="122"/>
      <c r="H168" s="117" t="s">
        <v>173</v>
      </c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</row>
    <row r="169" spans="2:36">
      <c r="B169" s="117" t="s">
        <v>173</v>
      </c>
      <c r="C169" s="122"/>
      <c r="H169" s="117" t="s">
        <v>173</v>
      </c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</row>
    <row r="170" spans="2:36">
      <c r="B170" s="117" t="s">
        <v>173</v>
      </c>
      <c r="C170" s="122"/>
      <c r="H170" s="117" t="s">
        <v>173</v>
      </c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</row>
    <row r="172" spans="2:36">
      <c r="B172" s="113" t="s">
        <v>278</v>
      </c>
      <c r="E172" s="113" t="s">
        <v>48</v>
      </c>
    </row>
    <row r="173" spans="2:36">
      <c r="B173" s="117" t="s">
        <v>8</v>
      </c>
      <c r="C173" s="124">
        <f>'2.Input data NLC CIL'!E15</f>
        <v>30789.899999999998</v>
      </c>
      <c r="E173" s="117" t="s">
        <v>8</v>
      </c>
      <c r="F173" s="115" t="s">
        <v>279</v>
      </c>
    </row>
    <row r="174" spans="2:36">
      <c r="B174" s="117" t="s">
        <v>173</v>
      </c>
      <c r="C174" s="122"/>
      <c r="E174" s="35" t="s">
        <v>12</v>
      </c>
    </row>
    <row r="175" spans="2:36">
      <c r="B175" s="117" t="s">
        <v>173</v>
      </c>
      <c r="C175" s="122"/>
      <c r="E175" s="35" t="s">
        <v>15</v>
      </c>
    </row>
    <row r="176" spans="2:36">
      <c r="B176" s="117" t="s">
        <v>173</v>
      </c>
      <c r="C176" s="122"/>
      <c r="E176" s="35" t="s">
        <v>19</v>
      </c>
    </row>
    <row r="177" spans="2:5">
      <c r="B177" s="117" t="s">
        <v>173</v>
      </c>
      <c r="C177" s="122"/>
      <c r="E177" s="35" t="s">
        <v>22</v>
      </c>
    </row>
    <row r="178" spans="2:5">
      <c r="B178" s="117" t="s">
        <v>173</v>
      </c>
      <c r="C178" s="122"/>
      <c r="E178" s="35" t="s">
        <v>24</v>
      </c>
    </row>
    <row r="179" spans="2:5">
      <c r="B179" s="117" t="s">
        <v>173</v>
      </c>
      <c r="C179" s="122"/>
      <c r="E179" s="35" t="s">
        <v>25</v>
      </c>
    </row>
    <row r="180" spans="2:5">
      <c r="B180" s="117" t="s">
        <v>173</v>
      </c>
      <c r="C180" s="122"/>
      <c r="E180"/>
    </row>
    <row r="181" spans="2:5">
      <c r="B181" s="117" t="s">
        <v>173</v>
      </c>
      <c r="C181" s="122"/>
      <c r="E181"/>
    </row>
    <row r="182" spans="2:5">
      <c r="B182" s="117" t="s">
        <v>173</v>
      </c>
      <c r="C182" s="122"/>
      <c r="E182"/>
    </row>
    <row r="183" spans="2:5">
      <c r="E183"/>
    </row>
    <row r="184" spans="2:5">
      <c r="B184" s="113" t="s">
        <v>280</v>
      </c>
    </row>
    <row r="185" spans="2:5">
      <c r="B185" s="117" t="s">
        <v>173</v>
      </c>
      <c r="C185" s="122"/>
    </row>
    <row r="186" spans="2:5">
      <c r="B186" s="117" t="s">
        <v>173</v>
      </c>
      <c r="C186" s="122"/>
    </row>
    <row r="187" spans="2:5">
      <c r="B187" s="117" t="s">
        <v>173</v>
      </c>
      <c r="C187" s="122"/>
    </row>
    <row r="188" spans="2:5">
      <c r="B188" s="117" t="s">
        <v>173</v>
      </c>
      <c r="C188" s="122"/>
    </row>
    <row r="189" spans="2:5">
      <c r="B189" s="117" t="s">
        <v>173</v>
      </c>
      <c r="C189" s="122"/>
    </row>
    <row r="190" spans="2:5">
      <c r="B190" s="117" t="s">
        <v>173</v>
      </c>
      <c r="C190" s="122"/>
    </row>
    <row r="191" spans="2:5">
      <c r="B191" s="117" t="s">
        <v>173</v>
      </c>
      <c r="C191" s="122"/>
    </row>
    <row r="192" spans="2:5">
      <c r="B192" s="117" t="s">
        <v>173</v>
      </c>
      <c r="C192" s="122"/>
    </row>
    <row r="193" spans="2:3">
      <c r="B193" s="117" t="s">
        <v>173</v>
      </c>
      <c r="C193" s="122"/>
    </row>
    <row r="194" spans="2:3">
      <c r="B194" s="117" t="s">
        <v>173</v>
      </c>
      <c r="C194" s="122"/>
    </row>
    <row r="196" spans="2:3">
      <c r="B196" s="133" t="s">
        <v>281</v>
      </c>
      <c r="C196" s="134"/>
    </row>
    <row r="197" spans="2:3">
      <c r="B197" s="135" t="s">
        <v>173</v>
      </c>
      <c r="C197" s="136"/>
    </row>
    <row r="198" spans="2:3">
      <c r="B198" s="135" t="s">
        <v>173</v>
      </c>
      <c r="C198" s="122"/>
    </row>
    <row r="199" spans="2:3">
      <c r="B199" s="135" t="s">
        <v>173</v>
      </c>
      <c r="C199" s="136"/>
    </row>
    <row r="200" spans="2:3">
      <c r="B200" s="135" t="s">
        <v>173</v>
      </c>
      <c r="C200" s="136"/>
    </row>
    <row r="201" spans="2:3">
      <c r="B201" s="135" t="s">
        <v>173</v>
      </c>
      <c r="C201" s="136"/>
    </row>
    <row r="202" spans="2:3">
      <c r="B202" s="135" t="s">
        <v>173</v>
      </c>
      <c r="C202" s="136"/>
    </row>
    <row r="203" spans="2:3">
      <c r="B203" s="135" t="s">
        <v>173</v>
      </c>
      <c r="C203" s="136"/>
    </row>
    <row r="204" spans="2:3">
      <c r="B204" s="135" t="s">
        <v>173</v>
      </c>
      <c r="C204" s="136"/>
    </row>
    <row r="205" spans="2:3">
      <c r="B205" s="135" t="s">
        <v>173</v>
      </c>
      <c r="C205" s="136"/>
    </row>
    <row r="206" spans="2:3">
      <c r="B206" s="135" t="s">
        <v>173</v>
      </c>
      <c r="C206" s="136"/>
    </row>
    <row r="208" spans="2:3">
      <c r="B208" s="133" t="s">
        <v>166</v>
      </c>
      <c r="C208" s="134"/>
    </row>
    <row r="209" spans="2:3">
      <c r="B209" s="135" t="s">
        <v>173</v>
      </c>
      <c r="C209" s="136"/>
    </row>
    <row r="210" spans="2:3">
      <c r="B210" s="135" t="s">
        <v>173</v>
      </c>
      <c r="C210" s="122"/>
    </row>
    <row r="211" spans="2:3">
      <c r="B211" s="135" t="s">
        <v>173</v>
      </c>
      <c r="C211" s="136"/>
    </row>
    <row r="212" spans="2:3">
      <c r="B212" s="135" t="s">
        <v>173</v>
      </c>
      <c r="C212" s="136"/>
    </row>
    <row r="213" spans="2:3">
      <c r="B213" s="135" t="s">
        <v>173</v>
      </c>
      <c r="C213" s="136"/>
    </row>
    <row r="214" spans="2:3">
      <c r="B214" s="135" t="s">
        <v>173</v>
      </c>
      <c r="C214" s="136"/>
    </row>
    <row r="215" spans="2:3">
      <c r="B215" s="135" t="s">
        <v>173</v>
      </c>
      <c r="C215" s="136"/>
    </row>
    <row r="216" spans="2:3">
      <c r="B216" s="135" t="s">
        <v>173</v>
      </c>
      <c r="C216" s="136"/>
    </row>
    <row r="217" spans="2:3">
      <c r="B217" s="135" t="s">
        <v>173</v>
      </c>
      <c r="C217" s="136"/>
    </row>
    <row r="218" spans="2:3">
      <c r="B218" s="135" t="s">
        <v>173</v>
      </c>
      <c r="C218" s="136"/>
    </row>
    <row r="219" spans="2:3">
      <c r="B219" s="137"/>
      <c r="C219" s="137"/>
    </row>
    <row r="220" spans="2:3">
      <c r="B220" s="133" t="s">
        <v>282</v>
      </c>
      <c r="C220" s="137"/>
    </row>
    <row r="221" spans="2:3">
      <c r="B221" s="135" t="s">
        <v>8</v>
      </c>
      <c r="C221" s="124">
        <f>'2.Input data NLC CIL'!E9</f>
        <v>2080</v>
      </c>
    </row>
    <row r="222" spans="2:3">
      <c r="B222" s="135" t="s">
        <v>173</v>
      </c>
      <c r="C222" s="122"/>
    </row>
    <row r="223" spans="2:3">
      <c r="B223" s="135" t="s">
        <v>173</v>
      </c>
      <c r="C223" s="136"/>
    </row>
    <row r="224" spans="2:3">
      <c r="B224" s="135" t="s">
        <v>173</v>
      </c>
      <c r="C224" s="136"/>
    </row>
    <row r="225" spans="2:3">
      <c r="B225" s="135" t="s">
        <v>173</v>
      </c>
      <c r="C225" s="136"/>
    </row>
    <row r="226" spans="2:3">
      <c r="B226" s="135" t="s">
        <v>173</v>
      </c>
      <c r="C226" s="136"/>
    </row>
    <row r="227" spans="2:3">
      <c r="B227" s="135" t="s">
        <v>173</v>
      </c>
      <c r="C227" s="136"/>
    </row>
    <row r="228" spans="2:3">
      <c r="B228" s="135" t="s">
        <v>173</v>
      </c>
      <c r="C228" s="136"/>
    </row>
    <row r="229" spans="2:3">
      <c r="B229" s="135" t="s">
        <v>173</v>
      </c>
      <c r="C229" s="136"/>
    </row>
    <row r="230" spans="2:3">
      <c r="B230" s="135" t="s">
        <v>173</v>
      </c>
      <c r="C230" s="136"/>
    </row>
    <row r="231" spans="2:3">
      <c r="B231" s="137"/>
      <c r="C231" s="137"/>
    </row>
    <row r="232" spans="2:3">
      <c r="B232" s="16" t="s">
        <v>283</v>
      </c>
      <c r="C232" s="137"/>
    </row>
    <row r="233" spans="2:3">
      <c r="B233" s="135" t="s">
        <v>8</v>
      </c>
      <c r="C233" s="124">
        <f>'2.Input data NLC CIL'!E10</f>
        <v>15400.8</v>
      </c>
    </row>
    <row r="234" spans="2:3">
      <c r="B234" s="135" t="s">
        <v>173</v>
      </c>
      <c r="C234" s="122"/>
    </row>
    <row r="235" spans="2:3">
      <c r="B235" s="135" t="s">
        <v>173</v>
      </c>
      <c r="C235" s="136"/>
    </row>
    <row r="236" spans="2:3">
      <c r="B236" s="135" t="s">
        <v>173</v>
      </c>
      <c r="C236" s="136"/>
    </row>
    <row r="237" spans="2:3">
      <c r="B237" s="135" t="s">
        <v>173</v>
      </c>
      <c r="C237" s="136"/>
    </row>
    <row r="238" spans="2:3">
      <c r="B238" s="135" t="s">
        <v>173</v>
      </c>
      <c r="C238" s="136"/>
    </row>
    <row r="239" spans="2:3">
      <c r="B239" s="135" t="s">
        <v>173</v>
      </c>
      <c r="C239" s="136"/>
    </row>
    <row r="240" spans="2:3">
      <c r="B240" s="135" t="s">
        <v>173</v>
      </c>
      <c r="C240" s="136"/>
    </row>
    <row r="241" spans="2:3">
      <c r="B241" s="135" t="s">
        <v>173</v>
      </c>
      <c r="C241" s="136"/>
    </row>
    <row r="242" spans="2:3">
      <c r="B242" s="135" t="s">
        <v>173</v>
      </c>
      <c r="C242" s="136"/>
    </row>
    <row r="243" spans="2:3">
      <c r="B243" s="137"/>
      <c r="C243" s="137"/>
    </row>
    <row r="244" spans="2:3">
      <c r="B244" s="133" t="s">
        <v>284</v>
      </c>
      <c r="C244" s="137"/>
    </row>
    <row r="245" spans="2:3">
      <c r="B245" s="135" t="s">
        <v>173</v>
      </c>
      <c r="C245" s="136"/>
    </row>
    <row r="246" spans="2:3">
      <c r="B246" s="135" t="s">
        <v>173</v>
      </c>
      <c r="C246" s="122"/>
    </row>
    <row r="247" spans="2:3">
      <c r="B247" s="135" t="s">
        <v>173</v>
      </c>
      <c r="C247" s="136"/>
    </row>
    <row r="248" spans="2:3">
      <c r="B248" s="135" t="s">
        <v>173</v>
      </c>
      <c r="C248" s="136"/>
    </row>
    <row r="249" spans="2:3">
      <c r="B249" s="135" t="s">
        <v>173</v>
      </c>
      <c r="C249" s="136"/>
    </row>
    <row r="250" spans="2:3">
      <c r="B250" s="135" t="s">
        <v>173</v>
      </c>
      <c r="C250" s="136"/>
    </row>
    <row r="251" spans="2:3">
      <c r="B251" s="135" t="s">
        <v>173</v>
      </c>
      <c r="C251" s="136"/>
    </row>
    <row r="252" spans="2:3">
      <c r="B252" s="135" t="s">
        <v>173</v>
      </c>
      <c r="C252" s="136"/>
    </row>
    <row r="253" spans="2:3">
      <c r="B253" s="135" t="s">
        <v>173</v>
      </c>
      <c r="C253" s="136"/>
    </row>
    <row r="254" spans="2:3">
      <c r="B254" s="135" t="s">
        <v>173</v>
      </c>
      <c r="C254" s="136"/>
    </row>
    <row r="255" spans="2:3">
      <c r="B255" s="137"/>
      <c r="C255" s="137"/>
    </row>
    <row r="256" spans="2:3">
      <c r="B256" s="133" t="s">
        <v>43</v>
      </c>
      <c r="C256" s="137"/>
    </row>
    <row r="257" spans="2:3">
      <c r="B257" s="135" t="s">
        <v>8</v>
      </c>
      <c r="C257" s="124">
        <f>'2.Input data NLC CIL'!E14</f>
        <v>13866.400000000001</v>
      </c>
    </row>
    <row r="258" spans="2:3">
      <c r="B258" s="135" t="s">
        <v>173</v>
      </c>
      <c r="C258" s="122"/>
    </row>
    <row r="259" spans="2:3">
      <c r="B259" s="135" t="s">
        <v>173</v>
      </c>
      <c r="C259" s="136"/>
    </row>
    <row r="260" spans="2:3">
      <c r="B260" s="135" t="s">
        <v>173</v>
      </c>
      <c r="C260" s="136"/>
    </row>
    <row r="261" spans="2:3">
      <c r="B261" s="135" t="s">
        <v>173</v>
      </c>
      <c r="C261" s="136"/>
    </row>
    <row r="262" spans="2:3">
      <c r="B262" s="135" t="s">
        <v>173</v>
      </c>
      <c r="C262" s="136"/>
    </row>
    <row r="263" spans="2:3">
      <c r="B263" s="135" t="s">
        <v>173</v>
      </c>
      <c r="C263" s="136"/>
    </row>
    <row r="264" spans="2:3">
      <c r="B264" s="135" t="s">
        <v>173</v>
      </c>
      <c r="C264" s="136"/>
    </row>
    <row r="265" spans="2:3">
      <c r="B265" s="135" t="s">
        <v>173</v>
      </c>
      <c r="C265" s="136"/>
    </row>
    <row r="266" spans="2:3">
      <c r="B266" s="135" t="s">
        <v>173</v>
      </c>
      <c r="C266" s="136"/>
    </row>
    <row r="267" spans="2:3">
      <c r="B267" s="137"/>
      <c r="C267" s="137"/>
    </row>
    <row r="268" spans="2:3">
      <c r="B268" s="133" t="s">
        <v>285</v>
      </c>
      <c r="C268" s="137"/>
    </row>
    <row r="269" spans="2:3">
      <c r="B269" s="135" t="s">
        <v>173</v>
      </c>
      <c r="C269" s="136"/>
    </row>
    <row r="270" spans="2:3">
      <c r="B270" s="135" t="s">
        <v>173</v>
      </c>
      <c r="C270" s="122"/>
    </row>
    <row r="271" spans="2:3">
      <c r="B271" s="135" t="s">
        <v>173</v>
      </c>
      <c r="C271" s="136"/>
    </row>
    <row r="272" spans="2:3">
      <c r="B272" s="135" t="s">
        <v>173</v>
      </c>
      <c r="C272" s="136"/>
    </row>
    <row r="273" spans="2:3">
      <c r="B273" s="135" t="s">
        <v>173</v>
      </c>
      <c r="C273" s="136"/>
    </row>
    <row r="274" spans="2:3">
      <c r="B274" s="135" t="s">
        <v>173</v>
      </c>
      <c r="C274" s="136"/>
    </row>
    <row r="275" spans="2:3">
      <c r="B275" s="135" t="s">
        <v>173</v>
      </c>
      <c r="C275" s="136"/>
    </row>
    <row r="276" spans="2:3">
      <c r="B276" s="135" t="s">
        <v>173</v>
      </c>
      <c r="C276" s="136"/>
    </row>
    <row r="277" spans="2:3">
      <c r="B277" s="135" t="s">
        <v>173</v>
      </c>
      <c r="C277" s="136"/>
    </row>
    <row r="278" spans="2:3">
      <c r="B278" s="135" t="s">
        <v>173</v>
      </c>
      <c r="C278" s="136"/>
    </row>
    <row r="279" spans="2:3">
      <c r="B279" s="137"/>
      <c r="C279" s="137"/>
    </row>
    <row r="280" spans="2:3">
      <c r="B280" s="133" t="s">
        <v>286</v>
      </c>
      <c r="C280" s="137"/>
    </row>
    <row r="281" spans="2:3">
      <c r="B281" s="135" t="s">
        <v>173</v>
      </c>
      <c r="C281" s="136"/>
    </row>
    <row r="282" spans="2:3">
      <c r="B282" s="135" t="s">
        <v>173</v>
      </c>
      <c r="C282" s="122"/>
    </row>
    <row r="283" spans="2:3">
      <c r="B283" s="135" t="s">
        <v>173</v>
      </c>
      <c r="C283" s="136"/>
    </row>
    <row r="284" spans="2:3">
      <c r="B284" s="135" t="s">
        <v>173</v>
      </c>
      <c r="C284" s="136"/>
    </row>
    <row r="285" spans="2:3">
      <c r="B285" s="135" t="s">
        <v>173</v>
      </c>
      <c r="C285" s="136"/>
    </row>
    <row r="286" spans="2:3">
      <c r="B286" s="135" t="s">
        <v>173</v>
      </c>
      <c r="C286" s="136"/>
    </row>
    <row r="287" spans="2:3">
      <c r="B287" s="135" t="s">
        <v>173</v>
      </c>
      <c r="C287" s="136"/>
    </row>
    <row r="288" spans="2:3">
      <c r="B288" s="135" t="s">
        <v>173</v>
      </c>
      <c r="C288" s="136"/>
    </row>
    <row r="289" spans="2:3">
      <c r="B289" s="135" t="s">
        <v>173</v>
      </c>
      <c r="C289" s="136"/>
    </row>
    <row r="290" spans="2:3">
      <c r="B290" s="135" t="s">
        <v>173</v>
      </c>
      <c r="C290" s="136"/>
    </row>
    <row r="292" spans="2:3">
      <c r="B292" s="133" t="s">
        <v>287</v>
      </c>
      <c r="C292" s="137"/>
    </row>
    <row r="293" spans="2:3">
      <c r="B293" s="135" t="s">
        <v>173</v>
      </c>
      <c r="C293" s="136"/>
    </row>
    <row r="294" spans="2:3">
      <c r="B294" s="135" t="s">
        <v>173</v>
      </c>
      <c r="C294" s="122"/>
    </row>
    <row r="295" spans="2:3">
      <c r="B295" s="135" t="s">
        <v>173</v>
      </c>
      <c r="C295" s="136"/>
    </row>
    <row r="296" spans="2:3">
      <c r="B296" s="135" t="s">
        <v>173</v>
      </c>
      <c r="C296" s="136"/>
    </row>
    <row r="297" spans="2:3">
      <c r="B297" s="135" t="s">
        <v>173</v>
      </c>
      <c r="C297" s="136"/>
    </row>
    <row r="298" spans="2:3">
      <c r="B298" s="135" t="s">
        <v>173</v>
      </c>
      <c r="C298" s="136"/>
    </row>
    <row r="299" spans="2:3">
      <c r="B299" s="135" t="s">
        <v>173</v>
      </c>
      <c r="C299" s="136"/>
    </row>
    <row r="300" spans="2:3">
      <c r="B300" s="135" t="s">
        <v>173</v>
      </c>
      <c r="C300" s="136"/>
    </row>
    <row r="301" spans="2:3">
      <c r="B301" s="135" t="s">
        <v>173</v>
      </c>
      <c r="C301" s="136"/>
    </row>
    <row r="302" spans="2:3">
      <c r="B302" s="135" t="s">
        <v>173</v>
      </c>
      <c r="C302" s="136"/>
    </row>
    <row r="304" spans="2:3">
      <c r="B304" s="133" t="s">
        <v>288</v>
      </c>
      <c r="C304" s="137"/>
    </row>
    <row r="305" spans="2:3">
      <c r="B305" s="135" t="s">
        <v>173</v>
      </c>
      <c r="C305" s="136"/>
    </row>
    <row r="306" spans="2:3">
      <c r="B306" s="135" t="s">
        <v>173</v>
      </c>
      <c r="C306" s="122"/>
    </row>
    <row r="307" spans="2:3">
      <c r="B307" s="135" t="s">
        <v>173</v>
      </c>
      <c r="C307" s="136"/>
    </row>
    <row r="308" spans="2:3">
      <c r="B308" s="135" t="s">
        <v>173</v>
      </c>
      <c r="C308" s="136"/>
    </row>
    <row r="309" spans="2:3">
      <c r="B309" s="135" t="s">
        <v>173</v>
      </c>
      <c r="C309" s="136"/>
    </row>
    <row r="310" spans="2:3">
      <c r="B310" s="135" t="s">
        <v>173</v>
      </c>
      <c r="C310" s="136"/>
    </row>
    <row r="311" spans="2:3">
      <c r="B311" s="135" t="s">
        <v>173</v>
      </c>
      <c r="C311" s="136"/>
    </row>
    <row r="312" spans="2:3">
      <c r="B312" s="135" t="s">
        <v>173</v>
      </c>
      <c r="C312" s="136"/>
    </row>
    <row r="313" spans="2:3">
      <c r="B313" s="135" t="s">
        <v>173</v>
      </c>
      <c r="C313" s="136"/>
    </row>
    <row r="314" spans="2:3">
      <c r="B314" s="135" t="s">
        <v>173</v>
      </c>
      <c r="C314" s="13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F104B-7D40-414D-8F28-D1F83E900592}">
  <sheetPr codeName="Sheet12"/>
  <dimension ref="B1:AM58"/>
  <sheetViews>
    <sheetView showGridLines="0" zoomScale="70" zoomScaleNormal="80" workbookViewId="0">
      <selection activeCell="C51" sqref="C51"/>
    </sheetView>
  </sheetViews>
  <sheetFormatPr defaultColWidth="8.85546875" defaultRowHeight="14.45"/>
  <cols>
    <col min="2" max="2" width="23.5703125" bestFit="1" customWidth="1"/>
    <col min="3" max="3" width="22.42578125" customWidth="1"/>
    <col min="4" max="4" width="40.5703125" bestFit="1" customWidth="1"/>
    <col min="5" max="5" width="31.5703125" bestFit="1" customWidth="1"/>
    <col min="6" max="6" width="36.140625" customWidth="1"/>
    <col min="7" max="7" width="24.5703125" customWidth="1"/>
    <col min="8" max="8" width="18.85546875" customWidth="1"/>
    <col min="9" max="9" width="12.5703125" customWidth="1"/>
    <col min="10" max="10" width="14.85546875" customWidth="1"/>
    <col min="11" max="36" width="12.5703125" bestFit="1" customWidth="1"/>
  </cols>
  <sheetData>
    <row r="1" spans="2:10">
      <c r="B1" s="38" t="s">
        <v>206</v>
      </c>
      <c r="C1" s="38" t="s">
        <v>207</v>
      </c>
      <c r="D1" s="38" t="s">
        <v>208</v>
      </c>
      <c r="E1" s="38" t="s">
        <v>209</v>
      </c>
      <c r="F1" s="38" t="s">
        <v>210</v>
      </c>
    </row>
    <row r="2" spans="2:10">
      <c r="B2" s="37" t="s">
        <v>211</v>
      </c>
      <c r="C2" s="37">
        <v>1</v>
      </c>
      <c r="D2" s="37"/>
      <c r="E2" s="71"/>
      <c r="F2" s="37"/>
    </row>
    <row r="3" spans="2:10">
      <c r="B3" s="72" t="s">
        <v>87</v>
      </c>
      <c r="C3" s="73">
        <v>0.35</v>
      </c>
      <c r="D3" s="74"/>
      <c r="E3" s="75"/>
      <c r="F3" s="35" t="s">
        <v>212</v>
      </c>
    </row>
    <row r="4" spans="2:10">
      <c r="B4" s="72" t="s">
        <v>104</v>
      </c>
      <c r="C4" s="76" t="s">
        <v>289</v>
      </c>
      <c r="D4" s="77">
        <f>C4*10</f>
        <v>5334675.5</v>
      </c>
      <c r="E4" s="71">
        <f>D4/$C$2</f>
        <v>5334675.5</v>
      </c>
      <c r="F4" s="78"/>
      <c r="I4" s="143"/>
    </row>
    <row r="5" spans="2:10">
      <c r="B5" s="72" t="s">
        <v>105</v>
      </c>
      <c r="C5" s="79">
        <v>19811.940000000002</v>
      </c>
      <c r="D5" s="77">
        <f t="shared" ref="D5:D17" si="0">C5*10</f>
        <v>198119.40000000002</v>
      </c>
      <c r="E5" s="71">
        <f t="shared" ref="E5:E17" si="1">D5/$C$2</f>
        <v>198119.40000000002</v>
      </c>
      <c r="F5" s="35" t="s">
        <v>213</v>
      </c>
      <c r="H5" s="86"/>
      <c r="I5" s="144"/>
    </row>
    <row r="6" spans="2:10" ht="43.5">
      <c r="B6" s="72" t="s">
        <v>107</v>
      </c>
      <c r="C6" s="81">
        <v>13443.12</v>
      </c>
      <c r="D6" s="77">
        <f t="shared" si="0"/>
        <v>134431.20000000001</v>
      </c>
      <c r="E6" s="71">
        <f t="shared" si="1"/>
        <v>134431.20000000001</v>
      </c>
      <c r="F6" s="82" t="s">
        <v>214</v>
      </c>
      <c r="G6" s="83"/>
      <c r="I6" s="144"/>
    </row>
    <row r="7" spans="2:10" ht="29.1">
      <c r="B7" s="72" t="s">
        <v>109</v>
      </c>
      <c r="C7" s="81">
        <v>6234.0300000000007</v>
      </c>
      <c r="D7" s="77">
        <f t="shared" si="0"/>
        <v>62340.3</v>
      </c>
      <c r="E7" s="71">
        <f t="shared" si="1"/>
        <v>62340.3</v>
      </c>
      <c r="F7" s="84" t="s">
        <v>215</v>
      </c>
      <c r="I7" s="86"/>
    </row>
    <row r="8" spans="2:10">
      <c r="B8" s="72" t="s">
        <v>110</v>
      </c>
      <c r="C8" s="81">
        <v>3412.9</v>
      </c>
      <c r="D8" s="77">
        <f t="shared" si="0"/>
        <v>34129</v>
      </c>
      <c r="E8" s="71">
        <f t="shared" si="1"/>
        <v>34129</v>
      </c>
      <c r="F8" s="35" t="s">
        <v>216</v>
      </c>
      <c r="H8" s="187"/>
      <c r="I8" s="187"/>
    </row>
    <row r="9" spans="2:10">
      <c r="B9" s="72" t="s">
        <v>117</v>
      </c>
      <c r="C9" s="79">
        <v>867.7</v>
      </c>
      <c r="D9" s="77">
        <f>C9*10</f>
        <v>8677</v>
      </c>
      <c r="E9" s="71">
        <f t="shared" si="1"/>
        <v>8677</v>
      </c>
      <c r="F9" s="35" t="s">
        <v>217</v>
      </c>
      <c r="H9" s="187"/>
      <c r="I9" s="187"/>
    </row>
    <row r="10" spans="2:10">
      <c r="B10" s="72" t="s">
        <v>118</v>
      </c>
      <c r="C10" s="76">
        <v>12120</v>
      </c>
      <c r="D10" s="77">
        <f t="shared" si="0"/>
        <v>121200</v>
      </c>
      <c r="E10" s="71">
        <f t="shared" si="1"/>
        <v>121200</v>
      </c>
      <c r="F10" s="35" t="s">
        <v>218</v>
      </c>
      <c r="I10" s="83"/>
    </row>
    <row r="11" spans="2:10">
      <c r="B11" s="72" t="s">
        <v>119</v>
      </c>
      <c r="C11" s="79">
        <v>51996.34</v>
      </c>
      <c r="D11" s="77">
        <f t="shared" si="0"/>
        <v>519963.39999999997</v>
      </c>
      <c r="E11" s="71">
        <f t="shared" si="1"/>
        <v>519963.39999999997</v>
      </c>
      <c r="F11" s="35"/>
      <c r="H11" s="69"/>
      <c r="I11" s="145"/>
    </row>
    <row r="12" spans="2:10">
      <c r="B12" s="72" t="s">
        <v>120</v>
      </c>
      <c r="C12" s="79" t="s">
        <v>290</v>
      </c>
      <c r="D12" s="77">
        <f t="shared" si="0"/>
        <v>1608039.8</v>
      </c>
      <c r="E12" s="71">
        <f t="shared" si="1"/>
        <v>1608039.8</v>
      </c>
      <c r="F12" s="35"/>
    </row>
    <row r="13" spans="2:10">
      <c r="B13" s="72" t="s">
        <v>122</v>
      </c>
      <c r="C13" s="79">
        <v>1881.32</v>
      </c>
      <c r="D13" s="77">
        <f t="shared" si="0"/>
        <v>18813.2</v>
      </c>
      <c r="E13" s="71">
        <f t="shared" si="1"/>
        <v>18813.2</v>
      </c>
      <c r="F13" s="35"/>
    </row>
    <row r="14" spans="2:10">
      <c r="B14" s="85" t="s">
        <v>126</v>
      </c>
      <c r="C14" s="79">
        <v>2129.4499999999998</v>
      </c>
      <c r="D14" s="77">
        <f t="shared" si="0"/>
        <v>21294.5</v>
      </c>
      <c r="E14" s="71">
        <f t="shared" si="1"/>
        <v>21294.5</v>
      </c>
      <c r="F14" s="35" t="s">
        <v>219</v>
      </c>
      <c r="I14" s="140"/>
      <c r="J14" s="140"/>
    </row>
    <row r="15" spans="2:10">
      <c r="B15" s="72" t="s">
        <v>123</v>
      </c>
      <c r="C15" s="79">
        <v>537.57000000000005</v>
      </c>
      <c r="D15" s="77">
        <f t="shared" si="0"/>
        <v>5375.7000000000007</v>
      </c>
      <c r="E15" s="71">
        <f t="shared" si="1"/>
        <v>5375.7000000000007</v>
      </c>
      <c r="F15" s="35" t="s">
        <v>220</v>
      </c>
      <c r="I15" s="140"/>
    </row>
    <row r="16" spans="2:10">
      <c r="B16" s="72" t="s">
        <v>221</v>
      </c>
      <c r="C16" s="79">
        <v>1870.1</v>
      </c>
      <c r="D16" s="77">
        <f t="shared" si="0"/>
        <v>18701</v>
      </c>
      <c r="E16" s="71">
        <f t="shared" si="1"/>
        <v>18701</v>
      </c>
      <c r="F16" s="35"/>
      <c r="I16" s="141"/>
    </row>
    <row r="17" spans="2:39">
      <c r="B17" s="72" t="s">
        <v>222</v>
      </c>
      <c r="C17" s="79" t="s">
        <v>289</v>
      </c>
      <c r="D17" s="77">
        <f t="shared" si="0"/>
        <v>5334675.5</v>
      </c>
      <c r="E17" s="71">
        <f t="shared" si="1"/>
        <v>5334675.5</v>
      </c>
      <c r="F17" s="35"/>
      <c r="G17" s="86"/>
      <c r="I17" s="142"/>
    </row>
    <row r="18" spans="2:39">
      <c r="B18" s="72" t="s">
        <v>55</v>
      </c>
      <c r="C18" s="73">
        <v>1870.1</v>
      </c>
      <c r="D18" s="74"/>
      <c r="E18" s="75"/>
      <c r="F18" s="35" t="s">
        <v>223</v>
      </c>
    </row>
    <row r="20" spans="2:39">
      <c r="B20" s="70" t="s">
        <v>224</v>
      </c>
      <c r="C20" s="35"/>
      <c r="D20" s="87" t="s">
        <v>225</v>
      </c>
      <c r="E20" s="87" t="s">
        <v>226</v>
      </c>
      <c r="F20" s="87" t="s">
        <v>227</v>
      </c>
    </row>
    <row r="21" spans="2:39">
      <c r="B21" s="37" t="s">
        <v>228</v>
      </c>
      <c r="C21" s="79"/>
      <c r="D21" s="88"/>
      <c r="E21" s="89"/>
      <c r="F21" s="86"/>
      <c r="G21" s="86"/>
    </row>
    <row r="22" spans="2:39">
      <c r="B22" s="37" t="s">
        <v>229</v>
      </c>
      <c r="C22" s="79">
        <v>790000</v>
      </c>
      <c r="D22" s="88">
        <f>(C22+C21)/E4</f>
        <v>0.14808773279649343</v>
      </c>
      <c r="E22" s="80"/>
    </row>
    <row r="23" spans="2:39">
      <c r="B23" s="37" t="s">
        <v>230</v>
      </c>
      <c r="C23" s="80">
        <v>1087880</v>
      </c>
      <c r="D23" s="80"/>
      <c r="E23" s="90">
        <f>C23/E4</f>
        <v>0.20392618070208768</v>
      </c>
    </row>
    <row r="25" spans="2:39">
      <c r="B25" s="91" t="s">
        <v>231</v>
      </c>
      <c r="C25" s="91" t="s">
        <v>232</v>
      </c>
      <c r="D25" s="91" t="s">
        <v>233</v>
      </c>
      <c r="E25" s="91" t="s">
        <v>234</v>
      </c>
      <c r="F25" s="91">
        <v>2022</v>
      </c>
      <c r="G25" s="91">
        <v>2023</v>
      </c>
      <c r="H25" s="91">
        <v>2024</v>
      </c>
      <c r="I25" s="91">
        <v>2025</v>
      </c>
      <c r="J25" s="91">
        <v>2026</v>
      </c>
      <c r="K25" s="91">
        <v>2027</v>
      </c>
      <c r="L25" s="91">
        <v>2028</v>
      </c>
      <c r="M25" s="91">
        <v>2029</v>
      </c>
      <c r="N25" s="91">
        <v>2030</v>
      </c>
      <c r="O25" s="91">
        <v>2031</v>
      </c>
      <c r="P25" s="91">
        <v>2032</v>
      </c>
      <c r="Q25" s="91">
        <v>2033</v>
      </c>
      <c r="R25" s="91">
        <v>2034</v>
      </c>
      <c r="S25" s="91">
        <v>2035</v>
      </c>
      <c r="T25" s="91">
        <v>2036</v>
      </c>
      <c r="U25" s="91">
        <v>2037</v>
      </c>
      <c r="V25" s="91">
        <v>2038</v>
      </c>
      <c r="W25" s="91">
        <v>2039</v>
      </c>
      <c r="X25" s="91">
        <v>2040</v>
      </c>
      <c r="Y25" s="91">
        <v>2041</v>
      </c>
      <c r="Z25" s="91">
        <v>2042</v>
      </c>
      <c r="AA25" s="91">
        <v>2043</v>
      </c>
      <c r="AB25" s="91">
        <v>2044</v>
      </c>
      <c r="AC25" s="91">
        <v>2045</v>
      </c>
      <c r="AD25" s="91">
        <v>2046</v>
      </c>
      <c r="AE25" s="91">
        <v>2047</v>
      </c>
      <c r="AF25" s="91">
        <v>2048</v>
      </c>
      <c r="AG25" s="91">
        <v>2049</v>
      </c>
      <c r="AH25" s="91">
        <v>2050</v>
      </c>
      <c r="AI25" s="91">
        <v>2051</v>
      </c>
      <c r="AJ25" s="91">
        <v>2052</v>
      </c>
      <c r="AK25" s="91">
        <v>2053</v>
      </c>
      <c r="AL25" s="91">
        <v>2054</v>
      </c>
      <c r="AM25" s="91">
        <v>2055</v>
      </c>
    </row>
    <row r="26" spans="2:39">
      <c r="B26" s="92" t="s">
        <v>235</v>
      </c>
      <c r="C26" s="92" t="s">
        <v>236</v>
      </c>
      <c r="D26" s="92" t="s">
        <v>33</v>
      </c>
      <c r="E26" s="92" t="s">
        <v>237</v>
      </c>
      <c r="F26" s="93">
        <v>13.458131390376399</v>
      </c>
      <c r="G26" s="93">
        <v>19.633335781323598</v>
      </c>
      <c r="H26" s="93">
        <v>25.808540172270799</v>
      </c>
      <c r="I26" s="93">
        <v>31.983744563218</v>
      </c>
      <c r="J26" s="93">
        <v>33.368109551101597</v>
      </c>
      <c r="K26" s="93">
        <v>34.752474538985197</v>
      </c>
      <c r="L26" s="93">
        <v>36.136839526868798</v>
      </c>
      <c r="M26" s="93">
        <v>37.521204514752398</v>
      </c>
      <c r="N26" s="93">
        <v>38.905569502635991</v>
      </c>
      <c r="O26" s="93">
        <v>41.067194329817596</v>
      </c>
      <c r="P26" s="93">
        <v>43.228819156999201</v>
      </c>
      <c r="Q26" s="93">
        <v>45.390443984180806</v>
      </c>
      <c r="R26" s="93">
        <v>47.55206881136241</v>
      </c>
      <c r="S26" s="93">
        <v>49.713693638544001</v>
      </c>
      <c r="T26" s="93">
        <v>52.840679425011601</v>
      </c>
      <c r="U26" s="93">
        <v>55.967665211479201</v>
      </c>
      <c r="V26" s="93">
        <v>59.0946509979468</v>
      </c>
      <c r="W26" s="93">
        <v>62.2216367844144</v>
      </c>
      <c r="X26" s="93">
        <v>65.348622570882</v>
      </c>
      <c r="Y26" s="93">
        <v>69.779332531809203</v>
      </c>
      <c r="Z26" s="93">
        <v>74.210042492736406</v>
      </c>
      <c r="AA26" s="93">
        <v>78.640752453663609</v>
      </c>
      <c r="AB26" s="93">
        <v>83.071462414590812</v>
      </c>
      <c r="AC26" s="93">
        <v>87.502172375517986</v>
      </c>
      <c r="AD26" s="93">
        <v>93.495521084597186</v>
      </c>
      <c r="AE26" s="93">
        <v>99.488869793676386</v>
      </c>
      <c r="AF26" s="93">
        <v>105.48221850275559</v>
      </c>
      <c r="AG26" s="93">
        <v>111.47556721183479</v>
      </c>
      <c r="AH26" s="93">
        <v>117.468915920914</v>
      </c>
      <c r="AI26" s="35">
        <v>119.98010959525161</v>
      </c>
      <c r="AJ26" s="35">
        <v>122.49130326958921</v>
      </c>
      <c r="AK26" s="35">
        <v>125.00249694392681</v>
      </c>
      <c r="AL26" s="35">
        <v>127.51369061826442</v>
      </c>
      <c r="AM26" s="35">
        <v>130.024884292602</v>
      </c>
    </row>
    <row r="27" spans="2:39">
      <c r="B27" s="92" t="s">
        <v>235</v>
      </c>
      <c r="C27" s="92" t="s">
        <v>236</v>
      </c>
      <c r="D27" s="92" t="s">
        <v>34</v>
      </c>
      <c r="E27" s="92" t="s">
        <v>237</v>
      </c>
      <c r="F27" s="93">
        <v>1.2274021734379998</v>
      </c>
      <c r="G27" s="93">
        <v>1.2872419559159998</v>
      </c>
      <c r="H27" s="93">
        <v>1.3470817383939997</v>
      </c>
      <c r="I27" s="93">
        <v>1.4069215208720001</v>
      </c>
      <c r="J27" s="93">
        <v>1.4762026156796</v>
      </c>
      <c r="K27" s="93">
        <v>1.5454837104871999</v>
      </c>
      <c r="L27" s="93">
        <v>1.6147648052947998</v>
      </c>
      <c r="M27" s="93">
        <v>1.6840459001023997</v>
      </c>
      <c r="N27" s="93">
        <v>1.7533269949100001</v>
      </c>
      <c r="O27" s="93">
        <v>1.8328976871844</v>
      </c>
      <c r="P27" s="93">
        <v>1.9124683794588</v>
      </c>
      <c r="Q27" s="93">
        <v>1.9920390717331999</v>
      </c>
      <c r="R27" s="93">
        <v>2.0716097640075999</v>
      </c>
      <c r="S27" s="93">
        <v>2.1511804562819998</v>
      </c>
      <c r="T27" s="93">
        <v>2.2421281479167998</v>
      </c>
      <c r="U27" s="93">
        <v>2.3330758395515998</v>
      </c>
      <c r="V27" s="93">
        <v>2.4240235311863998</v>
      </c>
      <c r="W27" s="93">
        <v>2.5149712228211998</v>
      </c>
      <c r="X27" s="93">
        <v>2.6059189144560002</v>
      </c>
      <c r="Y27" s="93">
        <v>2.7092753544872004</v>
      </c>
      <c r="Z27" s="93">
        <v>2.8126317945184005</v>
      </c>
      <c r="AA27" s="93">
        <v>2.9159882345496007</v>
      </c>
      <c r="AB27" s="93">
        <v>3.0193446745808008</v>
      </c>
      <c r="AC27" s="93">
        <v>3.1227011146120001</v>
      </c>
      <c r="AD27" s="93">
        <v>3.2396168904228002</v>
      </c>
      <c r="AE27" s="93">
        <v>3.3565326662336004</v>
      </c>
      <c r="AF27" s="93">
        <v>3.4734484420444005</v>
      </c>
      <c r="AG27" s="93">
        <v>3.5903642178552007</v>
      </c>
      <c r="AH27" s="93">
        <v>3.7072799936659999</v>
      </c>
      <c r="AI27" s="35">
        <v>3.8390105513079997</v>
      </c>
      <c r="AJ27" s="35">
        <v>3.9707411089499995</v>
      </c>
      <c r="AK27" s="35">
        <v>4.1024716665919998</v>
      </c>
      <c r="AL27" s="35">
        <v>4.2342022242340001</v>
      </c>
      <c r="AM27" s="35">
        <v>4.3659327818759994</v>
      </c>
    </row>
    <row r="28" spans="2:39">
      <c r="B28" s="92" t="s">
        <v>235</v>
      </c>
      <c r="C28" s="92" t="s">
        <v>236</v>
      </c>
      <c r="D28" s="92" t="s">
        <v>19</v>
      </c>
      <c r="E28" s="92" t="s">
        <v>237</v>
      </c>
      <c r="F28" s="93">
        <v>1.2273726189348</v>
      </c>
      <c r="G28" s="93">
        <v>1.2871976241612</v>
      </c>
      <c r="H28" s="93">
        <v>1.3470226293876</v>
      </c>
      <c r="I28" s="93">
        <v>1.406847634614</v>
      </c>
      <c r="J28" s="93">
        <v>1.4761205986099999</v>
      </c>
      <c r="K28" s="93">
        <v>1.5453935626059998</v>
      </c>
      <c r="L28" s="93">
        <v>1.6146665266019997</v>
      </c>
      <c r="M28" s="93">
        <v>1.6839394905979996</v>
      </c>
      <c r="N28" s="93">
        <v>1.753212454594</v>
      </c>
      <c r="O28" s="93">
        <v>16.179528256277997</v>
      </c>
      <c r="P28" s="93">
        <v>30.605844057961995</v>
      </c>
      <c r="Q28" s="93">
        <v>45.032159859645994</v>
      </c>
      <c r="R28" s="93">
        <v>59.458475661329992</v>
      </c>
      <c r="S28" s="93">
        <v>73.884791463013997</v>
      </c>
      <c r="T28" s="93">
        <v>83.243135617449994</v>
      </c>
      <c r="U28" s="93">
        <v>92.601479771885991</v>
      </c>
      <c r="V28" s="93">
        <v>101.95982392632199</v>
      </c>
      <c r="W28" s="93">
        <v>111.31816808075799</v>
      </c>
      <c r="X28" s="93">
        <v>120.676512235194</v>
      </c>
      <c r="Y28" s="93">
        <v>133.572178825994</v>
      </c>
      <c r="Z28" s="93">
        <v>146.46784541679401</v>
      </c>
      <c r="AA28" s="93">
        <v>159.36351200759401</v>
      </c>
      <c r="AB28" s="93">
        <v>172.25917859839402</v>
      </c>
      <c r="AC28" s="93">
        <v>185.15484518919399</v>
      </c>
      <c r="AD28" s="93">
        <v>200.136609963474</v>
      </c>
      <c r="AE28" s="93">
        <v>215.11837473775401</v>
      </c>
      <c r="AF28" s="93">
        <v>230.10013951203402</v>
      </c>
      <c r="AG28" s="93">
        <v>245.08190428631403</v>
      </c>
      <c r="AH28" s="93">
        <v>260.06366906059401</v>
      </c>
      <c r="AI28" s="35">
        <v>270.47673826300161</v>
      </c>
      <c r="AJ28" s="35">
        <v>280.88980746540921</v>
      </c>
      <c r="AK28" s="35">
        <v>291.3028766678168</v>
      </c>
      <c r="AL28" s="35">
        <v>301.7159458702244</v>
      </c>
      <c r="AM28" s="35">
        <v>312.12901507263189</v>
      </c>
    </row>
    <row r="29" spans="2:39">
      <c r="B29" s="92" t="s">
        <v>235</v>
      </c>
      <c r="C29" s="92" t="s">
        <v>236</v>
      </c>
      <c r="D29" s="92" t="s">
        <v>238</v>
      </c>
      <c r="E29" s="92" t="s">
        <v>237</v>
      </c>
      <c r="F29" s="93">
        <v>1.2273726189348</v>
      </c>
      <c r="G29" s="93">
        <v>1.2871976241612</v>
      </c>
      <c r="H29" s="93">
        <v>1.3470226293876</v>
      </c>
      <c r="I29" s="93">
        <v>1.406847634614</v>
      </c>
      <c r="J29" s="93">
        <v>1.4761205986099999</v>
      </c>
      <c r="K29" s="93">
        <v>1.5453935626059998</v>
      </c>
      <c r="L29" s="93">
        <v>1.6146665266019997</v>
      </c>
      <c r="M29" s="93">
        <v>1.6839394905979996</v>
      </c>
      <c r="N29" s="93">
        <v>1.753212454594</v>
      </c>
      <c r="O29" s="93">
        <v>17.616792503824399</v>
      </c>
      <c r="P29" s="93">
        <v>33.480372553054799</v>
      </c>
      <c r="Q29" s="93">
        <v>49.343952602285199</v>
      </c>
      <c r="R29" s="93">
        <v>65.207532651515592</v>
      </c>
      <c r="S29" s="93">
        <v>81.071112700745999</v>
      </c>
      <c r="T29" s="93">
        <v>86.933679432099993</v>
      </c>
      <c r="U29" s="93">
        <v>92.796246163453986</v>
      </c>
      <c r="V29" s="93">
        <v>98.65881289480798</v>
      </c>
      <c r="W29" s="93">
        <v>104.52137962616197</v>
      </c>
      <c r="X29" s="93">
        <v>110.383946357516</v>
      </c>
      <c r="Y29" s="93">
        <v>117.24192417638679</v>
      </c>
      <c r="Z29" s="93">
        <v>124.09990199525758</v>
      </c>
      <c r="AA29" s="93">
        <v>130.95787981412838</v>
      </c>
      <c r="AB29" s="93">
        <v>137.81585763299918</v>
      </c>
      <c r="AC29" s="93">
        <v>144.67383545186999</v>
      </c>
      <c r="AD29" s="93">
        <v>151.8096594976648</v>
      </c>
      <c r="AE29" s="93">
        <v>158.9454835434596</v>
      </c>
      <c r="AF29" s="93">
        <v>166.08130758925441</v>
      </c>
      <c r="AG29" s="93">
        <v>173.21713163504921</v>
      </c>
      <c r="AH29" s="93">
        <v>180.35295568084399</v>
      </c>
      <c r="AI29" s="35">
        <v>187.9392293700096</v>
      </c>
      <c r="AJ29" s="35">
        <v>195.52550305917521</v>
      </c>
      <c r="AK29" s="35">
        <v>203.11177674834082</v>
      </c>
      <c r="AL29" s="35">
        <v>210.69805043750642</v>
      </c>
      <c r="AM29" s="35">
        <v>218.284324126672</v>
      </c>
    </row>
    <row r="30" spans="2:39">
      <c r="B30" s="92" t="s">
        <v>235</v>
      </c>
      <c r="C30" s="92" t="s">
        <v>236</v>
      </c>
      <c r="D30" s="92" t="s">
        <v>35</v>
      </c>
      <c r="E30" s="92" t="s">
        <v>237</v>
      </c>
      <c r="F30" s="93">
        <v>6.5387898932644006</v>
      </c>
      <c r="G30" s="93">
        <v>9.2543235356556011</v>
      </c>
      <c r="H30" s="93">
        <v>11.969857178046801</v>
      </c>
      <c r="I30" s="93">
        <v>14.685390820438</v>
      </c>
      <c r="J30" s="93">
        <v>17.400866528027198</v>
      </c>
      <c r="K30" s="93">
        <v>20.116342235616397</v>
      </c>
      <c r="L30" s="93">
        <v>22.831817943205596</v>
      </c>
      <c r="M30" s="93">
        <v>25.547293650794796</v>
      </c>
      <c r="N30" s="93">
        <v>28.262769358383991</v>
      </c>
      <c r="O30" s="93">
        <v>28.776114485022791</v>
      </c>
      <c r="P30" s="93">
        <v>29.289459611661592</v>
      </c>
      <c r="Q30" s="93">
        <v>29.802804738300392</v>
      </c>
      <c r="R30" s="93">
        <v>30.316149864939192</v>
      </c>
      <c r="S30" s="93">
        <v>30.829494991577999</v>
      </c>
      <c r="T30" s="93">
        <v>31.388516204125999</v>
      </c>
      <c r="U30" s="93">
        <v>31.947537416673999</v>
      </c>
      <c r="V30" s="93">
        <v>32.506558629221999</v>
      </c>
      <c r="W30" s="93">
        <v>33.065579841769996</v>
      </c>
      <c r="X30" s="93">
        <v>33.624601054317992</v>
      </c>
      <c r="Y30" s="93">
        <v>34.232998470232793</v>
      </c>
      <c r="Z30" s="93">
        <v>34.841395886147595</v>
      </c>
      <c r="AA30" s="93">
        <v>35.449793302062396</v>
      </c>
      <c r="AB30" s="93">
        <v>36.058190717977197</v>
      </c>
      <c r="AC30" s="93">
        <v>36.666588133891999</v>
      </c>
      <c r="AD30" s="93">
        <v>37.328936985231202</v>
      </c>
      <c r="AE30" s="93">
        <v>37.991285836570405</v>
      </c>
      <c r="AF30" s="93">
        <v>38.653634687909609</v>
      </c>
      <c r="AG30" s="93">
        <v>39.315983539248812</v>
      </c>
      <c r="AH30" s="93">
        <v>39.978332390588022</v>
      </c>
      <c r="AI30" s="35">
        <v>40.699253858464417</v>
      </c>
      <c r="AJ30" s="35">
        <v>41.420175326340811</v>
      </c>
      <c r="AK30" s="35">
        <v>42.141096794217205</v>
      </c>
      <c r="AL30" s="35">
        <v>42.862018262093599</v>
      </c>
      <c r="AM30" s="35">
        <v>43.582939729970008</v>
      </c>
    </row>
    <row r="31" spans="2:39">
      <c r="B31" s="92" t="s">
        <v>235</v>
      </c>
      <c r="C31" s="92" t="s">
        <v>236</v>
      </c>
      <c r="D31" s="92" t="s">
        <v>25</v>
      </c>
      <c r="E31" s="92" t="s">
        <v>237</v>
      </c>
      <c r="F31" s="93">
        <v>25.389440745104398</v>
      </c>
      <c r="G31" s="93">
        <v>37.530299813415596</v>
      </c>
      <c r="H31" s="93">
        <v>49.671158881726797</v>
      </c>
      <c r="I31" s="93">
        <v>61.812017950037998</v>
      </c>
      <c r="J31" s="93">
        <v>67.143963640499592</v>
      </c>
      <c r="K31" s="93">
        <v>72.475909330961187</v>
      </c>
      <c r="L31" s="93">
        <v>77.807855021422782</v>
      </c>
      <c r="M31" s="93">
        <v>83.139800711884376</v>
      </c>
      <c r="N31" s="93">
        <v>88.471746402346</v>
      </c>
      <c r="O31" s="93">
        <v>98.112007994063603</v>
      </c>
      <c r="P31" s="93">
        <v>107.75226958578121</v>
      </c>
      <c r="Q31" s="93">
        <v>117.39253117749881</v>
      </c>
      <c r="R31" s="93">
        <v>127.03279276921641</v>
      </c>
      <c r="S31" s="93">
        <v>136.673054360934</v>
      </c>
      <c r="T31" s="93">
        <v>152.3950284390416</v>
      </c>
      <c r="U31" s="93">
        <v>168.11700251714919</v>
      </c>
      <c r="V31" s="93">
        <v>183.83897659525678</v>
      </c>
      <c r="W31" s="93">
        <v>199.56095067336437</v>
      </c>
      <c r="X31" s="93">
        <v>215.282924751472</v>
      </c>
      <c r="Y31" s="93">
        <v>238.91711118915001</v>
      </c>
      <c r="Z31" s="93">
        <v>262.55129762682799</v>
      </c>
      <c r="AA31" s="93">
        <v>286.185484064506</v>
      </c>
      <c r="AB31" s="93">
        <v>309.81967050218401</v>
      </c>
      <c r="AC31" s="93">
        <v>333.45385693986202</v>
      </c>
      <c r="AD31" s="93">
        <v>366.77473710987164</v>
      </c>
      <c r="AE31" s="93">
        <v>400.09561727988125</v>
      </c>
      <c r="AF31" s="93">
        <v>433.41649744989087</v>
      </c>
      <c r="AG31" s="93">
        <v>466.73737761990049</v>
      </c>
      <c r="AH31" s="93">
        <v>500.05825778990999</v>
      </c>
      <c r="AI31" s="35">
        <v>507.33038259626483</v>
      </c>
      <c r="AJ31" s="35">
        <v>514.60250740261961</v>
      </c>
      <c r="AK31" s="35">
        <v>521.87463220897439</v>
      </c>
      <c r="AL31" s="35">
        <v>529.14675701532917</v>
      </c>
      <c r="AM31" s="35">
        <v>536.41888182168407</v>
      </c>
    </row>
    <row r="34" spans="2:7">
      <c r="B34" t="s">
        <v>239</v>
      </c>
    </row>
    <row r="35" spans="2:7">
      <c r="B35" s="94"/>
    </row>
    <row r="38" spans="2:7">
      <c r="B38" s="193" t="s">
        <v>240</v>
      </c>
      <c r="C38" s="193"/>
    </row>
    <row r="39" spans="2:7">
      <c r="B39" s="95" t="s">
        <v>241</v>
      </c>
      <c r="C39" s="95" t="s">
        <v>242</v>
      </c>
      <c r="D39" s="95" t="s">
        <v>243</v>
      </c>
    </row>
    <row r="40" spans="2:7">
      <c r="B40" s="35" t="s">
        <v>38</v>
      </c>
      <c r="C40" s="96">
        <v>0.2</v>
      </c>
      <c r="D40" s="96">
        <f>C40+E40</f>
        <v>0.48571428571428577</v>
      </c>
      <c r="E40" s="97">
        <f>(C40/SUM($C$40,$C$42:$C$47))*$C$51</f>
        <v>0.28571428571428575</v>
      </c>
    </row>
    <row r="41" spans="2:7">
      <c r="B41" s="100" t="s">
        <v>244</v>
      </c>
      <c r="C41" s="96">
        <v>0.2</v>
      </c>
      <c r="D41" s="96">
        <v>0</v>
      </c>
      <c r="E41" s="97">
        <f t="shared" ref="E41:E48" si="2">(C41/SUM($C$40,$C$42:$C$47))*$C$51</f>
        <v>0.28571428571428575</v>
      </c>
    </row>
    <row r="42" spans="2:7">
      <c r="B42" s="35" t="s">
        <v>245</v>
      </c>
      <c r="C42" s="96">
        <v>0.1</v>
      </c>
      <c r="D42" s="96">
        <f t="shared" ref="D42:D47" si="3">C42+E42</f>
        <v>0.24285714285714288</v>
      </c>
      <c r="E42" s="97">
        <f t="shared" si="2"/>
        <v>0.14285714285714288</v>
      </c>
      <c r="G42" s="138"/>
    </row>
    <row r="43" spans="2:7">
      <c r="B43" s="35" t="s">
        <v>246</v>
      </c>
      <c r="C43" s="96">
        <v>0.05</v>
      </c>
      <c r="D43" s="96">
        <f t="shared" si="3"/>
        <v>0.12142857142857144</v>
      </c>
      <c r="E43" s="97">
        <f t="shared" si="2"/>
        <v>7.1428571428571438E-2</v>
      </c>
      <c r="G43" s="139"/>
    </row>
    <row r="44" spans="2:7">
      <c r="B44" s="35" t="s">
        <v>247</v>
      </c>
      <c r="C44" s="96">
        <v>0.15</v>
      </c>
      <c r="D44" s="96">
        <f t="shared" si="3"/>
        <v>0.36428571428571432</v>
      </c>
      <c r="E44" s="97">
        <f t="shared" si="2"/>
        <v>0.2142857142857143</v>
      </c>
    </row>
    <row r="45" spans="2:7">
      <c r="B45" s="35" t="s">
        <v>248</v>
      </c>
      <c r="C45" s="96">
        <v>0.05</v>
      </c>
      <c r="D45" s="96">
        <f t="shared" si="3"/>
        <v>0.12142857142857144</v>
      </c>
      <c r="E45" s="97">
        <f t="shared" si="2"/>
        <v>7.1428571428571438E-2</v>
      </c>
      <c r="G45" s="138"/>
    </row>
    <row r="46" spans="2:7">
      <c r="B46" s="35" t="s">
        <v>249</v>
      </c>
      <c r="C46" s="103">
        <v>7.4999999999999997E-2</v>
      </c>
      <c r="D46" s="96">
        <f t="shared" si="3"/>
        <v>0.18214285714285716</v>
      </c>
      <c r="E46" s="97">
        <f t="shared" si="2"/>
        <v>0.10714285714285715</v>
      </c>
      <c r="G46" s="139"/>
    </row>
    <row r="47" spans="2:7">
      <c r="B47" s="35" t="s">
        <v>250</v>
      </c>
      <c r="C47" s="103">
        <v>7.4999999999999997E-2</v>
      </c>
      <c r="D47" s="96">
        <f t="shared" si="3"/>
        <v>0.18214285714285716</v>
      </c>
      <c r="E47" s="97">
        <f t="shared" si="2"/>
        <v>0.10714285714285715</v>
      </c>
    </row>
    <row r="48" spans="2:7">
      <c r="B48" s="100" t="s">
        <v>251</v>
      </c>
      <c r="C48" s="96">
        <v>0.1</v>
      </c>
      <c r="D48" s="96">
        <v>0</v>
      </c>
      <c r="E48" s="97">
        <f t="shared" si="2"/>
        <v>0.14285714285714288</v>
      </c>
    </row>
    <row r="49" spans="2:9">
      <c r="B49" s="37" t="s">
        <v>252</v>
      </c>
      <c r="C49" s="105">
        <f>SUM(C40:C48)</f>
        <v>1</v>
      </c>
      <c r="D49" s="105">
        <f>SUM(D40:D48)</f>
        <v>1.7000000000000002</v>
      </c>
      <c r="E49" s="106"/>
    </row>
    <row r="51" spans="2:9">
      <c r="B51" s="107" t="s">
        <v>253</v>
      </c>
      <c r="C51" s="108">
        <v>1</v>
      </c>
      <c r="D51" s="108">
        <f>C51/7</f>
        <v>0.14285714285714285</v>
      </c>
    </row>
    <row r="54" spans="2:9">
      <c r="B54" s="109"/>
      <c r="E54" s="98"/>
      <c r="F54" s="110"/>
      <c r="G54" s="110"/>
      <c r="H54" s="110" t="s">
        <v>254</v>
      </c>
      <c r="I54" s="99">
        <v>1</v>
      </c>
    </row>
    <row r="55" spans="2:9">
      <c r="E55" s="101" t="s">
        <v>255</v>
      </c>
      <c r="G55" t="s">
        <v>256</v>
      </c>
      <c r="I55" s="102"/>
    </row>
    <row r="56" spans="2:9">
      <c r="E56" s="101"/>
      <c r="G56" t="s">
        <v>257</v>
      </c>
      <c r="I56" s="102"/>
    </row>
    <row r="57" spans="2:9">
      <c r="E57" s="101"/>
      <c r="G57" t="s">
        <v>258</v>
      </c>
      <c r="I57" s="102"/>
    </row>
    <row r="58" spans="2:9">
      <c r="E58" s="104"/>
      <c r="F58" s="111"/>
      <c r="G58" s="111" t="s">
        <v>259</v>
      </c>
      <c r="H58" s="111"/>
      <c r="I58" s="112"/>
    </row>
  </sheetData>
  <mergeCells count="2">
    <mergeCell ref="H8:I9"/>
    <mergeCell ref="B38:C3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460CF-06DD-4FE4-95E5-5B3598D8EC28}">
  <sheetPr codeName="Sheet13"/>
  <dimension ref="A2:AP314"/>
  <sheetViews>
    <sheetView showGridLines="0" zoomScale="70" zoomScaleNormal="70" workbookViewId="0">
      <selection activeCell="F149" sqref="F149"/>
    </sheetView>
  </sheetViews>
  <sheetFormatPr defaultColWidth="8.5703125" defaultRowHeight="14.45"/>
  <cols>
    <col min="1" max="1" width="2.5703125" style="115" customWidth="1"/>
    <col min="2" max="2" width="24" style="115" customWidth="1"/>
    <col min="3" max="3" width="15" style="116" bestFit="1" customWidth="1"/>
    <col min="4" max="4" width="2.5703125" style="115" customWidth="1"/>
    <col min="5" max="5" width="42.140625" style="115" customWidth="1"/>
    <col min="6" max="6" width="8.5703125" style="115"/>
    <col min="7" max="7" width="2.5703125" style="115" customWidth="1"/>
    <col min="8" max="8" width="41.140625" style="115" bestFit="1" customWidth="1"/>
    <col min="9" max="11" width="9.85546875" style="115" bestFit="1" customWidth="1"/>
    <col min="12" max="12" width="25.140625" style="115" bestFit="1" customWidth="1"/>
    <col min="13" max="13" width="9.85546875" style="115" bestFit="1" customWidth="1"/>
    <col min="14" max="15" width="8.5703125" style="115" bestFit="1" customWidth="1"/>
    <col min="16" max="16" width="20.5703125" style="115" bestFit="1" customWidth="1"/>
    <col min="17" max="36" width="8.5703125" style="115" bestFit="1" customWidth="1"/>
    <col min="37" max="16384" width="8.5703125" style="115"/>
  </cols>
  <sheetData>
    <row r="2" spans="2:36" s="113" customFormat="1">
      <c r="B2" s="113" t="s">
        <v>260</v>
      </c>
      <c r="C2" s="114"/>
      <c r="E2" s="113" t="s">
        <v>261</v>
      </c>
      <c r="H2" s="113" t="s">
        <v>262</v>
      </c>
      <c r="L2" s="113" t="s">
        <v>263</v>
      </c>
      <c r="P2" s="113" t="s">
        <v>264</v>
      </c>
    </row>
    <row r="3" spans="2:36">
      <c r="F3" s="113"/>
      <c r="H3" s="113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</row>
    <row r="4" spans="2:36">
      <c r="B4" s="113" t="s">
        <v>148</v>
      </c>
      <c r="E4" s="113" t="s">
        <v>265</v>
      </c>
      <c r="F4" s="113"/>
      <c r="H4" s="113" t="s">
        <v>266</v>
      </c>
      <c r="I4" s="115">
        <v>2023</v>
      </c>
      <c r="J4" s="115">
        <v>2024</v>
      </c>
      <c r="K4" s="115">
        <v>2025</v>
      </c>
      <c r="L4" s="115">
        <v>2026</v>
      </c>
      <c r="M4" s="115">
        <v>2027</v>
      </c>
      <c r="N4" s="115">
        <v>2028</v>
      </c>
      <c r="O4" s="115">
        <v>2029</v>
      </c>
      <c r="P4" s="115">
        <v>2030</v>
      </c>
      <c r="Q4" s="115">
        <v>2031</v>
      </c>
      <c r="R4" s="115">
        <v>2032</v>
      </c>
      <c r="S4" s="115">
        <v>2033</v>
      </c>
      <c r="T4" s="115">
        <v>2034</v>
      </c>
      <c r="U4" s="115">
        <v>2035</v>
      </c>
      <c r="V4" s="115">
        <v>2036</v>
      </c>
      <c r="W4" s="115">
        <v>2037</v>
      </c>
      <c r="X4" s="115">
        <v>2038</v>
      </c>
      <c r="Y4" s="115">
        <v>2039</v>
      </c>
      <c r="Z4" s="115">
        <v>2040</v>
      </c>
      <c r="AA4" s="115">
        <v>2041</v>
      </c>
      <c r="AB4" s="115">
        <v>2042</v>
      </c>
      <c r="AC4" s="115">
        <v>2043</v>
      </c>
      <c r="AD4" s="115">
        <v>2044</v>
      </c>
      <c r="AE4" s="115">
        <v>2045</v>
      </c>
      <c r="AF4" s="115">
        <v>2046</v>
      </c>
      <c r="AG4" s="115">
        <v>2047</v>
      </c>
      <c r="AH4" s="115">
        <v>2048</v>
      </c>
      <c r="AI4" s="115">
        <v>2049</v>
      </c>
      <c r="AJ4" s="115">
        <v>2050</v>
      </c>
    </row>
    <row r="5" spans="2:36">
      <c r="B5" s="117" t="s">
        <v>8</v>
      </c>
      <c r="C5" s="118">
        <f>'3.Input data Bharat Petroleum'!E4</f>
        <v>5334675.5</v>
      </c>
      <c r="E5" s="117" t="s">
        <v>8</v>
      </c>
      <c r="F5" s="147">
        <v>-0.5</v>
      </c>
      <c r="H5" s="117" t="s">
        <v>8</v>
      </c>
      <c r="I5" s="120">
        <f>'3.Input data Bharat Petroleum'!D22</f>
        <v>0.14808773279649343</v>
      </c>
      <c r="J5" s="121">
        <f t="shared" ref="J5:Y11" si="0">$I5*($AJ$4-J$4)/27</f>
        <v>0.14260300195217887</v>
      </c>
      <c r="K5" s="121">
        <f t="shared" si="0"/>
        <v>0.13711827110786429</v>
      </c>
      <c r="L5" s="121">
        <f t="shared" si="0"/>
        <v>0.1316335402635497</v>
      </c>
      <c r="M5" s="121">
        <f t="shared" si="0"/>
        <v>0.12614880941923515</v>
      </c>
      <c r="N5" s="121">
        <f t="shared" si="0"/>
        <v>0.12066407857492056</v>
      </c>
      <c r="O5" s="121">
        <f t="shared" si="0"/>
        <v>0.11517934773060599</v>
      </c>
      <c r="P5" s="121">
        <f t="shared" si="0"/>
        <v>0.10969461688629144</v>
      </c>
      <c r="Q5" s="121">
        <f t="shared" si="0"/>
        <v>0.10420988604197685</v>
      </c>
      <c r="R5" s="121">
        <f t="shared" si="0"/>
        <v>9.8725155197662284E-2</v>
      </c>
      <c r="S5" s="121">
        <f t="shared" si="0"/>
        <v>9.3240424353347715E-2</v>
      </c>
      <c r="T5" s="121">
        <f t="shared" si="0"/>
        <v>8.7755693509033145E-2</v>
      </c>
      <c r="U5" s="121">
        <f t="shared" si="0"/>
        <v>8.2270962664718561E-2</v>
      </c>
      <c r="V5" s="121">
        <f t="shared" si="0"/>
        <v>7.6786231820404005E-2</v>
      </c>
      <c r="W5" s="121">
        <f t="shared" si="0"/>
        <v>7.1301500976089435E-2</v>
      </c>
      <c r="X5" s="121">
        <f t="shared" si="0"/>
        <v>6.5816770131774852E-2</v>
      </c>
      <c r="Y5" s="121">
        <f t="shared" si="0"/>
        <v>6.0332039287460282E-2</v>
      </c>
      <c r="Z5" s="121">
        <f t="shared" ref="Z5:AJ11" si="1">$I5*($AJ$4-Z$4)/27</f>
        <v>5.4847308443145719E-2</v>
      </c>
      <c r="AA5" s="121">
        <f t="shared" si="1"/>
        <v>4.9362577598831142E-2</v>
      </c>
      <c r="AB5" s="121">
        <f t="shared" si="1"/>
        <v>4.3877846754516572E-2</v>
      </c>
      <c r="AC5" s="121">
        <f t="shared" si="1"/>
        <v>3.8393115910202003E-2</v>
      </c>
      <c r="AD5" s="121">
        <f t="shared" si="1"/>
        <v>3.2908385065887426E-2</v>
      </c>
      <c r="AE5" s="121">
        <f t="shared" si="1"/>
        <v>2.7423654221572859E-2</v>
      </c>
      <c r="AF5" s="121">
        <f t="shared" si="1"/>
        <v>2.1938923377258286E-2</v>
      </c>
      <c r="AG5" s="121">
        <f t="shared" si="1"/>
        <v>1.6454192532943713E-2</v>
      </c>
      <c r="AH5" s="121">
        <f t="shared" si="1"/>
        <v>1.0969461688629143E-2</v>
      </c>
      <c r="AI5" s="121">
        <f t="shared" si="1"/>
        <v>5.4847308443145715E-3</v>
      </c>
      <c r="AJ5" s="121">
        <f t="shared" si="1"/>
        <v>0</v>
      </c>
    </row>
    <row r="6" spans="2:36">
      <c r="B6" s="117" t="s">
        <v>173</v>
      </c>
      <c r="C6" s="122"/>
      <c r="E6" s="35" t="s">
        <v>12</v>
      </c>
      <c r="F6" s="121">
        <f>F$5</f>
        <v>-0.5</v>
      </c>
      <c r="H6" s="35" t="s">
        <v>12</v>
      </c>
      <c r="I6" s="121">
        <f>I$5</f>
        <v>0.14808773279649343</v>
      </c>
      <c r="J6" s="121">
        <f t="shared" si="0"/>
        <v>0.14260300195217887</v>
      </c>
      <c r="K6" s="121">
        <f t="shared" si="0"/>
        <v>0.13711827110786429</v>
      </c>
      <c r="L6" s="121">
        <f t="shared" si="0"/>
        <v>0.1316335402635497</v>
      </c>
      <c r="M6" s="121">
        <f t="shared" si="0"/>
        <v>0.12614880941923515</v>
      </c>
      <c r="N6" s="121">
        <f t="shared" si="0"/>
        <v>0.12066407857492056</v>
      </c>
      <c r="O6" s="121">
        <f t="shared" si="0"/>
        <v>0.11517934773060599</v>
      </c>
      <c r="P6" s="121">
        <f t="shared" si="0"/>
        <v>0.10969461688629144</v>
      </c>
      <c r="Q6" s="121">
        <f t="shared" si="0"/>
        <v>0.10420988604197685</v>
      </c>
      <c r="R6" s="121">
        <f t="shared" si="0"/>
        <v>9.8725155197662284E-2</v>
      </c>
      <c r="S6" s="121">
        <f t="shared" si="0"/>
        <v>9.3240424353347715E-2</v>
      </c>
      <c r="T6" s="121">
        <f t="shared" si="0"/>
        <v>8.7755693509033145E-2</v>
      </c>
      <c r="U6" s="121">
        <f t="shared" si="0"/>
        <v>8.2270962664718561E-2</v>
      </c>
      <c r="V6" s="121">
        <f t="shared" si="0"/>
        <v>7.6786231820404005E-2</v>
      </c>
      <c r="W6" s="121">
        <f t="shared" si="0"/>
        <v>7.1301500976089435E-2</v>
      </c>
      <c r="X6" s="121">
        <f t="shared" si="0"/>
        <v>6.5816770131774852E-2</v>
      </c>
      <c r="Y6" s="121">
        <f t="shared" si="0"/>
        <v>6.0332039287460282E-2</v>
      </c>
      <c r="Z6" s="121">
        <f t="shared" si="1"/>
        <v>5.4847308443145719E-2</v>
      </c>
      <c r="AA6" s="121">
        <f t="shared" si="1"/>
        <v>4.9362577598831142E-2</v>
      </c>
      <c r="AB6" s="121">
        <f t="shared" si="1"/>
        <v>4.3877846754516572E-2</v>
      </c>
      <c r="AC6" s="121">
        <f t="shared" si="1"/>
        <v>3.8393115910202003E-2</v>
      </c>
      <c r="AD6" s="121">
        <f t="shared" si="1"/>
        <v>3.2908385065887426E-2</v>
      </c>
      <c r="AE6" s="121">
        <f t="shared" si="1"/>
        <v>2.7423654221572859E-2</v>
      </c>
      <c r="AF6" s="121">
        <f t="shared" si="1"/>
        <v>2.1938923377258286E-2</v>
      </c>
      <c r="AG6" s="121">
        <f t="shared" si="1"/>
        <v>1.6454192532943713E-2</v>
      </c>
      <c r="AH6" s="121">
        <f t="shared" si="1"/>
        <v>1.0969461688629143E-2</v>
      </c>
      <c r="AI6" s="121">
        <f t="shared" si="1"/>
        <v>5.4847308443145715E-3</v>
      </c>
      <c r="AJ6" s="121">
        <f t="shared" si="1"/>
        <v>0</v>
      </c>
    </row>
    <row r="7" spans="2:36">
      <c r="B7" s="117" t="s">
        <v>173</v>
      </c>
      <c r="C7" s="122"/>
      <c r="E7" s="35" t="s">
        <v>15</v>
      </c>
      <c r="F7" s="121">
        <f>F$5</f>
        <v>-0.5</v>
      </c>
      <c r="H7" s="35" t="s">
        <v>15</v>
      </c>
      <c r="I7" s="121">
        <f>I$5</f>
        <v>0.14808773279649343</v>
      </c>
      <c r="J7" s="121">
        <f t="shared" si="0"/>
        <v>0.14260300195217887</v>
      </c>
      <c r="K7" s="121">
        <f t="shared" si="0"/>
        <v>0.13711827110786429</v>
      </c>
      <c r="L7" s="121">
        <f t="shared" si="0"/>
        <v>0.1316335402635497</v>
      </c>
      <c r="M7" s="121">
        <f t="shared" si="0"/>
        <v>0.12614880941923515</v>
      </c>
      <c r="N7" s="121">
        <f t="shared" si="0"/>
        <v>0.12066407857492056</v>
      </c>
      <c r="O7" s="121">
        <f t="shared" si="0"/>
        <v>0.11517934773060599</v>
      </c>
      <c r="P7" s="121">
        <f t="shared" si="0"/>
        <v>0.10969461688629144</v>
      </c>
      <c r="Q7" s="121">
        <f t="shared" si="0"/>
        <v>0.10420988604197685</v>
      </c>
      <c r="R7" s="121">
        <f t="shared" si="0"/>
        <v>9.8725155197662284E-2</v>
      </c>
      <c r="S7" s="121">
        <f t="shared" si="0"/>
        <v>9.3240424353347715E-2</v>
      </c>
      <c r="T7" s="121">
        <f t="shared" si="0"/>
        <v>8.7755693509033145E-2</v>
      </c>
      <c r="U7" s="121">
        <f t="shared" si="0"/>
        <v>8.2270962664718561E-2</v>
      </c>
      <c r="V7" s="121">
        <f t="shared" si="0"/>
        <v>7.6786231820404005E-2</v>
      </c>
      <c r="W7" s="121">
        <f t="shared" si="0"/>
        <v>7.1301500976089435E-2</v>
      </c>
      <c r="X7" s="121">
        <f t="shared" si="0"/>
        <v>6.5816770131774852E-2</v>
      </c>
      <c r="Y7" s="121">
        <f t="shared" si="0"/>
        <v>6.0332039287460282E-2</v>
      </c>
      <c r="Z7" s="121">
        <f t="shared" si="1"/>
        <v>5.4847308443145719E-2</v>
      </c>
      <c r="AA7" s="121">
        <f t="shared" si="1"/>
        <v>4.9362577598831142E-2</v>
      </c>
      <c r="AB7" s="121">
        <f t="shared" si="1"/>
        <v>4.3877846754516572E-2</v>
      </c>
      <c r="AC7" s="121">
        <f t="shared" si="1"/>
        <v>3.8393115910202003E-2</v>
      </c>
      <c r="AD7" s="121">
        <f t="shared" si="1"/>
        <v>3.2908385065887426E-2</v>
      </c>
      <c r="AE7" s="121">
        <f t="shared" si="1"/>
        <v>2.7423654221572859E-2</v>
      </c>
      <c r="AF7" s="121">
        <f t="shared" si="1"/>
        <v>2.1938923377258286E-2</v>
      </c>
      <c r="AG7" s="121">
        <f t="shared" si="1"/>
        <v>1.6454192532943713E-2</v>
      </c>
      <c r="AH7" s="121">
        <f t="shared" si="1"/>
        <v>1.0969461688629143E-2</v>
      </c>
      <c r="AI7" s="121">
        <f t="shared" si="1"/>
        <v>5.4847308443145715E-3</v>
      </c>
      <c r="AJ7" s="121">
        <f t="shared" si="1"/>
        <v>0</v>
      </c>
    </row>
    <row r="8" spans="2:36">
      <c r="B8" s="117" t="s">
        <v>173</v>
      </c>
      <c r="C8" s="122"/>
      <c r="E8" s="35" t="s">
        <v>19</v>
      </c>
      <c r="F8" s="121">
        <f t="shared" ref="F8:F11" si="2">F$5</f>
        <v>-0.5</v>
      </c>
      <c r="H8" s="35" t="s">
        <v>19</v>
      </c>
      <c r="I8" s="121">
        <f>I$5</f>
        <v>0.14808773279649343</v>
      </c>
      <c r="J8" s="121">
        <f t="shared" si="0"/>
        <v>0.14260300195217887</v>
      </c>
      <c r="K8" s="121">
        <f t="shared" si="0"/>
        <v>0.13711827110786429</v>
      </c>
      <c r="L8" s="121">
        <f t="shared" si="0"/>
        <v>0.1316335402635497</v>
      </c>
      <c r="M8" s="121">
        <f t="shared" si="0"/>
        <v>0.12614880941923515</v>
      </c>
      <c r="N8" s="121">
        <f t="shared" si="0"/>
        <v>0.12066407857492056</v>
      </c>
      <c r="O8" s="121">
        <f t="shared" si="0"/>
        <v>0.11517934773060599</v>
      </c>
      <c r="P8" s="121">
        <f t="shared" si="0"/>
        <v>0.10969461688629144</v>
      </c>
      <c r="Q8" s="121">
        <f t="shared" si="0"/>
        <v>0.10420988604197685</v>
      </c>
      <c r="R8" s="121">
        <f t="shared" si="0"/>
        <v>9.8725155197662284E-2</v>
      </c>
      <c r="S8" s="121">
        <f t="shared" si="0"/>
        <v>9.3240424353347715E-2</v>
      </c>
      <c r="T8" s="121">
        <f t="shared" si="0"/>
        <v>8.7755693509033145E-2</v>
      </c>
      <c r="U8" s="121">
        <f t="shared" si="0"/>
        <v>8.2270962664718561E-2</v>
      </c>
      <c r="V8" s="121">
        <f t="shared" si="0"/>
        <v>7.6786231820404005E-2</v>
      </c>
      <c r="W8" s="121">
        <f t="shared" si="0"/>
        <v>7.1301500976089435E-2</v>
      </c>
      <c r="X8" s="121">
        <f t="shared" si="0"/>
        <v>6.5816770131774852E-2</v>
      </c>
      <c r="Y8" s="121">
        <f t="shared" si="0"/>
        <v>6.0332039287460282E-2</v>
      </c>
      <c r="Z8" s="121">
        <f t="shared" si="1"/>
        <v>5.4847308443145719E-2</v>
      </c>
      <c r="AA8" s="121">
        <f t="shared" si="1"/>
        <v>4.9362577598831142E-2</v>
      </c>
      <c r="AB8" s="121">
        <f t="shared" si="1"/>
        <v>4.3877846754516572E-2</v>
      </c>
      <c r="AC8" s="121">
        <f t="shared" si="1"/>
        <v>3.8393115910202003E-2</v>
      </c>
      <c r="AD8" s="121">
        <f t="shared" si="1"/>
        <v>3.2908385065887426E-2</v>
      </c>
      <c r="AE8" s="121">
        <f t="shared" si="1"/>
        <v>2.7423654221572859E-2</v>
      </c>
      <c r="AF8" s="121">
        <f t="shared" si="1"/>
        <v>2.1938923377258286E-2</v>
      </c>
      <c r="AG8" s="121">
        <f t="shared" si="1"/>
        <v>1.6454192532943713E-2</v>
      </c>
      <c r="AH8" s="121">
        <f t="shared" si="1"/>
        <v>1.0969461688629143E-2</v>
      </c>
      <c r="AI8" s="121">
        <f t="shared" si="1"/>
        <v>5.4847308443145715E-3</v>
      </c>
      <c r="AJ8" s="121">
        <f t="shared" si="1"/>
        <v>0</v>
      </c>
    </row>
    <row r="9" spans="2:36">
      <c r="B9" s="117" t="s">
        <v>173</v>
      </c>
      <c r="C9" s="122"/>
      <c r="E9" s="35" t="s">
        <v>22</v>
      </c>
      <c r="F9" s="121">
        <f t="shared" si="2"/>
        <v>-0.5</v>
      </c>
      <c r="H9" s="35" t="s">
        <v>22</v>
      </c>
      <c r="I9" s="121">
        <f>I$5</f>
        <v>0.14808773279649343</v>
      </c>
      <c r="J9" s="121">
        <f t="shared" si="0"/>
        <v>0.14260300195217887</v>
      </c>
      <c r="K9" s="121">
        <f t="shared" si="0"/>
        <v>0.13711827110786429</v>
      </c>
      <c r="L9" s="121">
        <f t="shared" si="0"/>
        <v>0.1316335402635497</v>
      </c>
      <c r="M9" s="121">
        <f t="shared" si="0"/>
        <v>0.12614880941923515</v>
      </c>
      <c r="N9" s="121">
        <f t="shared" si="0"/>
        <v>0.12066407857492056</v>
      </c>
      <c r="O9" s="121">
        <f t="shared" si="0"/>
        <v>0.11517934773060599</v>
      </c>
      <c r="P9" s="121">
        <f t="shared" si="0"/>
        <v>0.10969461688629144</v>
      </c>
      <c r="Q9" s="121">
        <f t="shared" si="0"/>
        <v>0.10420988604197685</v>
      </c>
      <c r="R9" s="121">
        <f t="shared" si="0"/>
        <v>9.8725155197662284E-2</v>
      </c>
      <c r="S9" s="121">
        <f t="shared" si="0"/>
        <v>9.3240424353347715E-2</v>
      </c>
      <c r="T9" s="121">
        <f t="shared" si="0"/>
        <v>8.7755693509033145E-2</v>
      </c>
      <c r="U9" s="121">
        <f t="shared" si="0"/>
        <v>8.2270962664718561E-2</v>
      </c>
      <c r="V9" s="121">
        <f t="shared" si="0"/>
        <v>7.6786231820404005E-2</v>
      </c>
      <c r="W9" s="121">
        <f t="shared" si="0"/>
        <v>7.1301500976089435E-2</v>
      </c>
      <c r="X9" s="121">
        <f t="shared" si="0"/>
        <v>6.5816770131774852E-2</v>
      </c>
      <c r="Y9" s="121">
        <f t="shared" si="0"/>
        <v>6.0332039287460282E-2</v>
      </c>
      <c r="Z9" s="121">
        <f t="shared" si="1"/>
        <v>5.4847308443145719E-2</v>
      </c>
      <c r="AA9" s="121">
        <f t="shared" si="1"/>
        <v>4.9362577598831142E-2</v>
      </c>
      <c r="AB9" s="121">
        <f t="shared" si="1"/>
        <v>4.3877846754516572E-2</v>
      </c>
      <c r="AC9" s="121">
        <f t="shared" si="1"/>
        <v>3.8393115910202003E-2</v>
      </c>
      <c r="AD9" s="121">
        <f t="shared" si="1"/>
        <v>3.2908385065887426E-2</v>
      </c>
      <c r="AE9" s="121">
        <f t="shared" si="1"/>
        <v>2.7423654221572859E-2</v>
      </c>
      <c r="AF9" s="121">
        <f t="shared" si="1"/>
        <v>2.1938923377258286E-2</v>
      </c>
      <c r="AG9" s="121">
        <f t="shared" si="1"/>
        <v>1.6454192532943713E-2</v>
      </c>
      <c r="AH9" s="121">
        <f t="shared" si="1"/>
        <v>1.0969461688629143E-2</v>
      </c>
      <c r="AI9" s="121">
        <f t="shared" si="1"/>
        <v>5.4847308443145715E-3</v>
      </c>
      <c r="AJ9" s="121">
        <f t="shared" si="1"/>
        <v>0</v>
      </c>
    </row>
    <row r="10" spans="2:36">
      <c r="B10" s="117" t="s">
        <v>173</v>
      </c>
      <c r="C10" s="122"/>
      <c r="E10" s="35" t="s">
        <v>24</v>
      </c>
      <c r="F10" s="121">
        <f t="shared" si="2"/>
        <v>-0.5</v>
      </c>
      <c r="H10" s="35" t="s">
        <v>24</v>
      </c>
      <c r="I10" s="78">
        <f>MAX(I$5, $I$5/2)</f>
        <v>0.14808773279649343</v>
      </c>
      <c r="J10" s="121">
        <f t="shared" si="0"/>
        <v>0.14260300195217887</v>
      </c>
      <c r="K10" s="121">
        <f t="shared" si="0"/>
        <v>0.13711827110786429</v>
      </c>
      <c r="L10" s="121">
        <f t="shared" si="0"/>
        <v>0.1316335402635497</v>
      </c>
      <c r="M10" s="121">
        <f t="shared" si="0"/>
        <v>0.12614880941923515</v>
      </c>
      <c r="N10" s="121">
        <f t="shared" si="0"/>
        <v>0.12066407857492056</v>
      </c>
      <c r="O10" s="121">
        <f t="shared" si="0"/>
        <v>0.11517934773060599</v>
      </c>
      <c r="P10" s="121">
        <f t="shared" si="0"/>
        <v>0.10969461688629144</v>
      </c>
      <c r="Q10" s="121">
        <f t="shared" si="0"/>
        <v>0.10420988604197685</v>
      </c>
      <c r="R10" s="121">
        <f t="shared" si="0"/>
        <v>9.8725155197662284E-2</v>
      </c>
      <c r="S10" s="121">
        <f t="shared" si="0"/>
        <v>9.3240424353347715E-2</v>
      </c>
      <c r="T10" s="121">
        <f t="shared" si="0"/>
        <v>8.7755693509033145E-2</v>
      </c>
      <c r="U10" s="121">
        <f t="shared" si="0"/>
        <v>8.2270962664718561E-2</v>
      </c>
      <c r="V10" s="121">
        <f t="shared" si="0"/>
        <v>7.6786231820404005E-2</v>
      </c>
      <c r="W10" s="121">
        <f t="shared" si="0"/>
        <v>7.1301500976089435E-2</v>
      </c>
      <c r="X10" s="121">
        <f t="shared" si="0"/>
        <v>6.5816770131774852E-2</v>
      </c>
      <c r="Y10" s="121">
        <f t="shared" si="0"/>
        <v>6.0332039287460282E-2</v>
      </c>
      <c r="Z10" s="121">
        <f t="shared" si="1"/>
        <v>5.4847308443145719E-2</v>
      </c>
      <c r="AA10" s="121">
        <f t="shared" si="1"/>
        <v>4.9362577598831142E-2</v>
      </c>
      <c r="AB10" s="121">
        <f t="shared" si="1"/>
        <v>4.3877846754516572E-2</v>
      </c>
      <c r="AC10" s="121">
        <f t="shared" si="1"/>
        <v>3.8393115910202003E-2</v>
      </c>
      <c r="AD10" s="121">
        <f t="shared" si="1"/>
        <v>3.2908385065887426E-2</v>
      </c>
      <c r="AE10" s="121">
        <f t="shared" si="1"/>
        <v>2.7423654221572859E-2</v>
      </c>
      <c r="AF10" s="121">
        <f t="shared" si="1"/>
        <v>2.1938923377258286E-2</v>
      </c>
      <c r="AG10" s="121">
        <f t="shared" si="1"/>
        <v>1.6454192532943713E-2</v>
      </c>
      <c r="AH10" s="121">
        <f t="shared" si="1"/>
        <v>1.0969461688629143E-2</v>
      </c>
      <c r="AI10" s="121">
        <f t="shared" si="1"/>
        <v>5.4847308443145715E-3</v>
      </c>
      <c r="AJ10" s="121">
        <f t="shared" si="1"/>
        <v>0</v>
      </c>
    </row>
    <row r="11" spans="2:36">
      <c r="B11" s="117" t="s">
        <v>173</v>
      </c>
      <c r="C11" s="122"/>
      <c r="E11" s="35" t="s">
        <v>25</v>
      </c>
      <c r="F11" s="121">
        <f t="shared" si="2"/>
        <v>-0.5</v>
      </c>
      <c r="H11" s="35" t="s">
        <v>25</v>
      </c>
      <c r="I11" s="78">
        <f>MAX(I$5, $I$5/2)</f>
        <v>0.14808773279649343</v>
      </c>
      <c r="J11" s="121">
        <f t="shared" si="0"/>
        <v>0.14260300195217887</v>
      </c>
      <c r="K11" s="121">
        <f t="shared" si="0"/>
        <v>0.13711827110786429</v>
      </c>
      <c r="L11" s="121">
        <f t="shared" si="0"/>
        <v>0.1316335402635497</v>
      </c>
      <c r="M11" s="121">
        <f t="shared" si="0"/>
        <v>0.12614880941923515</v>
      </c>
      <c r="N11" s="121">
        <f t="shared" si="0"/>
        <v>0.12066407857492056</v>
      </c>
      <c r="O11" s="121">
        <f t="shared" si="0"/>
        <v>0.11517934773060599</v>
      </c>
      <c r="P11" s="121">
        <f t="shared" si="0"/>
        <v>0.10969461688629144</v>
      </c>
      <c r="Q11" s="121">
        <f t="shared" si="0"/>
        <v>0.10420988604197685</v>
      </c>
      <c r="R11" s="121">
        <f t="shared" si="0"/>
        <v>9.8725155197662284E-2</v>
      </c>
      <c r="S11" s="121">
        <f t="shared" si="0"/>
        <v>9.3240424353347715E-2</v>
      </c>
      <c r="T11" s="121">
        <f t="shared" si="0"/>
        <v>8.7755693509033145E-2</v>
      </c>
      <c r="U11" s="121">
        <f t="shared" si="0"/>
        <v>8.2270962664718561E-2</v>
      </c>
      <c r="V11" s="121">
        <f t="shared" si="0"/>
        <v>7.6786231820404005E-2</v>
      </c>
      <c r="W11" s="121">
        <f t="shared" si="0"/>
        <v>7.1301500976089435E-2</v>
      </c>
      <c r="X11" s="121">
        <f t="shared" si="0"/>
        <v>6.5816770131774852E-2</v>
      </c>
      <c r="Y11" s="121">
        <f t="shared" si="0"/>
        <v>6.0332039287460282E-2</v>
      </c>
      <c r="Z11" s="121">
        <f t="shared" si="1"/>
        <v>5.4847308443145719E-2</v>
      </c>
      <c r="AA11" s="121">
        <f t="shared" si="1"/>
        <v>4.9362577598831142E-2</v>
      </c>
      <c r="AB11" s="121">
        <f t="shared" si="1"/>
        <v>4.3877846754516572E-2</v>
      </c>
      <c r="AC11" s="121">
        <f t="shared" si="1"/>
        <v>3.8393115910202003E-2</v>
      </c>
      <c r="AD11" s="121">
        <f t="shared" si="1"/>
        <v>3.2908385065887426E-2</v>
      </c>
      <c r="AE11" s="121">
        <f t="shared" si="1"/>
        <v>2.7423654221572859E-2</v>
      </c>
      <c r="AF11" s="121">
        <f t="shared" si="1"/>
        <v>2.1938923377258286E-2</v>
      </c>
      <c r="AG11" s="121">
        <f t="shared" si="1"/>
        <v>1.6454192532943713E-2</v>
      </c>
      <c r="AH11" s="121">
        <f t="shared" si="1"/>
        <v>1.0969461688629143E-2</v>
      </c>
      <c r="AI11" s="121">
        <f t="shared" si="1"/>
        <v>5.4847308443145715E-3</v>
      </c>
      <c r="AJ11" s="121">
        <f t="shared" si="1"/>
        <v>0</v>
      </c>
    </row>
    <row r="12" spans="2:36">
      <c r="B12" s="117" t="s">
        <v>173</v>
      </c>
      <c r="C12" s="122"/>
      <c r="E12" s="117"/>
      <c r="F12" s="121"/>
      <c r="H12" s="117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</row>
    <row r="13" spans="2:36">
      <c r="B13" s="117" t="s">
        <v>173</v>
      </c>
      <c r="C13" s="122"/>
      <c r="E13" s="117"/>
      <c r="F13" s="121"/>
      <c r="H13" s="117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</row>
    <row r="14" spans="2:36">
      <c r="B14" s="117" t="s">
        <v>173</v>
      </c>
      <c r="C14" s="122"/>
      <c r="E14" s="117"/>
      <c r="F14" s="121"/>
      <c r="H14" s="117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</row>
    <row r="15" spans="2:36"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</row>
    <row r="16" spans="2:36">
      <c r="B16" s="113" t="s">
        <v>168</v>
      </c>
      <c r="E16" s="113" t="s">
        <v>267</v>
      </c>
      <c r="H16" s="113" t="s">
        <v>65</v>
      </c>
      <c r="I16" s="115">
        <v>2023</v>
      </c>
      <c r="J16" s="115">
        <v>2024</v>
      </c>
      <c r="K16" s="115">
        <v>2025</v>
      </c>
      <c r="L16" s="115">
        <v>2026</v>
      </c>
      <c r="M16" s="115">
        <v>2027</v>
      </c>
      <c r="N16" s="115">
        <v>2028</v>
      </c>
      <c r="O16" s="115">
        <v>2029</v>
      </c>
      <c r="P16" s="115">
        <v>2030</v>
      </c>
      <c r="Q16" s="115">
        <v>2031</v>
      </c>
      <c r="R16" s="115">
        <v>2032</v>
      </c>
      <c r="S16" s="115">
        <v>2033</v>
      </c>
      <c r="T16" s="115">
        <v>2034</v>
      </c>
      <c r="U16" s="115">
        <v>2035</v>
      </c>
      <c r="V16" s="115">
        <v>2036</v>
      </c>
      <c r="W16" s="115">
        <v>2037</v>
      </c>
      <c r="X16" s="115">
        <v>2038</v>
      </c>
      <c r="Y16" s="115">
        <v>2039</v>
      </c>
      <c r="Z16" s="115">
        <v>2040</v>
      </c>
      <c r="AA16" s="115">
        <v>2041</v>
      </c>
      <c r="AB16" s="115">
        <v>2042</v>
      </c>
      <c r="AC16" s="115">
        <v>2043</v>
      </c>
      <c r="AD16" s="115">
        <v>2044</v>
      </c>
      <c r="AE16" s="115">
        <v>2045</v>
      </c>
      <c r="AF16" s="115">
        <v>2046</v>
      </c>
      <c r="AG16" s="115">
        <v>2047</v>
      </c>
      <c r="AH16" s="115">
        <v>2048</v>
      </c>
      <c r="AI16" s="115">
        <v>2049</v>
      </c>
      <c r="AJ16" s="115">
        <v>2050</v>
      </c>
    </row>
    <row r="17" spans="2:36">
      <c r="B17" s="117" t="s">
        <v>8</v>
      </c>
      <c r="C17" s="124">
        <f>'3.Input data Bharat Petroleum'!E5</f>
        <v>198119.40000000002</v>
      </c>
      <c r="E17" s="117" t="s">
        <v>8</v>
      </c>
      <c r="F17" s="119">
        <v>0.5</v>
      </c>
      <c r="H17" s="117" t="s">
        <v>8</v>
      </c>
      <c r="I17" s="125">
        <f>'3.Input data Bharat Petroleum'!E23</f>
        <v>0.20392618070208768</v>
      </c>
      <c r="J17" s="121">
        <f t="shared" ref="J17:AJ17" si="3">$I17*($AJ$16-J$16)/27</f>
        <v>0.19637335919460294</v>
      </c>
      <c r="K17" s="121">
        <f t="shared" si="3"/>
        <v>0.18882053768711823</v>
      </c>
      <c r="L17" s="121">
        <f t="shared" si="3"/>
        <v>0.1812677161796335</v>
      </c>
      <c r="M17" s="121">
        <f t="shared" si="3"/>
        <v>0.17371489467214876</v>
      </c>
      <c r="N17" s="121">
        <f t="shared" si="3"/>
        <v>0.16616207316466405</v>
      </c>
      <c r="O17" s="121">
        <f t="shared" si="3"/>
        <v>0.15860925165717929</v>
      </c>
      <c r="P17" s="121">
        <f t="shared" si="3"/>
        <v>0.15105643014969455</v>
      </c>
      <c r="Q17" s="121">
        <f t="shared" si="3"/>
        <v>0.14350360864220985</v>
      </c>
      <c r="R17" s="121">
        <f t="shared" si="3"/>
        <v>0.13595078713472511</v>
      </c>
      <c r="S17" s="121">
        <f t="shared" si="3"/>
        <v>0.12839796562724037</v>
      </c>
      <c r="T17" s="121">
        <f t="shared" si="3"/>
        <v>0.12084514411975567</v>
      </c>
      <c r="U17" s="121">
        <f t="shared" si="3"/>
        <v>0.11329232261227094</v>
      </c>
      <c r="V17" s="121">
        <f t="shared" si="3"/>
        <v>0.10573950110478621</v>
      </c>
      <c r="W17" s="121">
        <f t="shared" si="3"/>
        <v>9.8186679597301471E-2</v>
      </c>
      <c r="X17" s="121">
        <f t="shared" si="3"/>
        <v>9.0633858089816749E-2</v>
      </c>
      <c r="Y17" s="121">
        <f t="shared" si="3"/>
        <v>8.3081036582332027E-2</v>
      </c>
      <c r="Z17" s="121">
        <f t="shared" si="3"/>
        <v>7.5528215074847277E-2</v>
      </c>
      <c r="AA17" s="121">
        <f t="shared" si="3"/>
        <v>6.7975393567362555E-2</v>
      </c>
      <c r="AB17" s="121">
        <f t="shared" si="3"/>
        <v>6.0422572059877833E-2</v>
      </c>
      <c r="AC17" s="121">
        <f t="shared" si="3"/>
        <v>5.2869750552393104E-2</v>
      </c>
      <c r="AD17" s="121">
        <f t="shared" si="3"/>
        <v>4.5316929044908374E-2</v>
      </c>
      <c r="AE17" s="121">
        <f t="shared" si="3"/>
        <v>3.7764107537423638E-2</v>
      </c>
      <c r="AF17" s="121">
        <f t="shared" si="3"/>
        <v>3.0211286029938916E-2</v>
      </c>
      <c r="AG17" s="121">
        <f t="shared" si="3"/>
        <v>2.2658464522454187E-2</v>
      </c>
      <c r="AH17" s="121">
        <f t="shared" si="3"/>
        <v>1.5105643014969458E-2</v>
      </c>
      <c r="AI17" s="121">
        <f t="shared" si="3"/>
        <v>7.5528215074847291E-3</v>
      </c>
      <c r="AJ17" s="121">
        <f t="shared" si="3"/>
        <v>0</v>
      </c>
    </row>
    <row r="18" spans="2:36">
      <c r="B18" s="117" t="s">
        <v>173</v>
      </c>
      <c r="C18" s="122"/>
      <c r="E18" s="35" t="s">
        <v>12</v>
      </c>
      <c r="F18" s="121">
        <f>F$17</f>
        <v>0.5</v>
      </c>
      <c r="H18" s="35" t="s">
        <v>12</v>
      </c>
      <c r="I18" s="123">
        <f t="shared" ref="I18:X23" si="4">I$17</f>
        <v>0.20392618070208768</v>
      </c>
      <c r="J18" s="121">
        <f t="shared" si="4"/>
        <v>0.19637335919460294</v>
      </c>
      <c r="K18" s="121">
        <f t="shared" si="4"/>
        <v>0.18882053768711823</v>
      </c>
      <c r="L18" s="121">
        <f t="shared" si="4"/>
        <v>0.1812677161796335</v>
      </c>
      <c r="M18" s="121">
        <f t="shared" si="4"/>
        <v>0.17371489467214876</v>
      </c>
      <c r="N18" s="121">
        <f t="shared" si="4"/>
        <v>0.16616207316466405</v>
      </c>
      <c r="O18" s="121">
        <f t="shared" si="4"/>
        <v>0.15860925165717929</v>
      </c>
      <c r="P18" s="121">
        <f t="shared" si="4"/>
        <v>0.15105643014969455</v>
      </c>
      <c r="Q18" s="121">
        <f t="shared" si="4"/>
        <v>0.14350360864220985</v>
      </c>
      <c r="R18" s="121">
        <f t="shared" si="4"/>
        <v>0.13595078713472511</v>
      </c>
      <c r="S18" s="121">
        <f t="shared" si="4"/>
        <v>0.12839796562724037</v>
      </c>
      <c r="T18" s="121">
        <f t="shared" si="4"/>
        <v>0.12084514411975567</v>
      </c>
      <c r="U18" s="121">
        <f t="shared" si="4"/>
        <v>0.11329232261227094</v>
      </c>
      <c r="V18" s="121">
        <f t="shared" si="4"/>
        <v>0.10573950110478621</v>
      </c>
      <c r="W18" s="121">
        <f t="shared" si="4"/>
        <v>9.8186679597301471E-2</v>
      </c>
      <c r="X18" s="121">
        <f t="shared" si="4"/>
        <v>9.0633858089816749E-2</v>
      </c>
      <c r="Y18" s="121">
        <f t="shared" ref="Y18:AJ23" si="5">Y$17</f>
        <v>8.3081036582332027E-2</v>
      </c>
      <c r="Z18" s="121">
        <f t="shared" si="5"/>
        <v>7.5528215074847277E-2</v>
      </c>
      <c r="AA18" s="121">
        <f t="shared" si="5"/>
        <v>6.7975393567362555E-2</v>
      </c>
      <c r="AB18" s="121">
        <f t="shared" si="5"/>
        <v>6.0422572059877833E-2</v>
      </c>
      <c r="AC18" s="121">
        <f t="shared" si="5"/>
        <v>5.2869750552393104E-2</v>
      </c>
      <c r="AD18" s="121">
        <f t="shared" si="5"/>
        <v>4.5316929044908374E-2</v>
      </c>
      <c r="AE18" s="121">
        <f t="shared" si="5"/>
        <v>3.7764107537423638E-2</v>
      </c>
      <c r="AF18" s="121">
        <f t="shared" si="5"/>
        <v>3.0211286029938916E-2</v>
      </c>
      <c r="AG18" s="121">
        <f t="shared" si="5"/>
        <v>2.2658464522454187E-2</v>
      </c>
      <c r="AH18" s="121">
        <f t="shared" si="5"/>
        <v>1.5105643014969458E-2</v>
      </c>
      <c r="AI18" s="121">
        <f t="shared" si="5"/>
        <v>7.5528215074847291E-3</v>
      </c>
      <c r="AJ18" s="121">
        <f t="shared" si="5"/>
        <v>0</v>
      </c>
    </row>
    <row r="19" spans="2:36">
      <c r="B19" s="117" t="s">
        <v>173</v>
      </c>
      <c r="C19" s="122"/>
      <c r="E19" s="35" t="s">
        <v>15</v>
      </c>
      <c r="F19" s="121">
        <f t="shared" ref="F19:F22" si="6">F$17</f>
        <v>0.5</v>
      </c>
      <c r="H19" s="35" t="s">
        <v>15</v>
      </c>
      <c r="I19" s="123">
        <f t="shared" si="4"/>
        <v>0.20392618070208768</v>
      </c>
      <c r="J19" s="121">
        <f t="shared" si="4"/>
        <v>0.19637335919460294</v>
      </c>
      <c r="K19" s="121">
        <f t="shared" si="4"/>
        <v>0.18882053768711823</v>
      </c>
      <c r="L19" s="121">
        <f t="shared" si="4"/>
        <v>0.1812677161796335</v>
      </c>
      <c r="M19" s="121">
        <f t="shared" si="4"/>
        <v>0.17371489467214876</v>
      </c>
      <c r="N19" s="121">
        <f t="shared" si="4"/>
        <v>0.16616207316466405</v>
      </c>
      <c r="O19" s="121">
        <f t="shared" si="4"/>
        <v>0.15860925165717929</v>
      </c>
      <c r="P19" s="121">
        <f t="shared" si="4"/>
        <v>0.15105643014969455</v>
      </c>
      <c r="Q19" s="121">
        <f t="shared" si="4"/>
        <v>0.14350360864220985</v>
      </c>
      <c r="R19" s="121">
        <f t="shared" si="4"/>
        <v>0.13595078713472511</v>
      </c>
      <c r="S19" s="121">
        <f t="shared" si="4"/>
        <v>0.12839796562724037</v>
      </c>
      <c r="T19" s="121">
        <f t="shared" si="4"/>
        <v>0.12084514411975567</v>
      </c>
      <c r="U19" s="121">
        <f t="shared" si="4"/>
        <v>0.11329232261227094</v>
      </c>
      <c r="V19" s="121">
        <f t="shared" si="4"/>
        <v>0.10573950110478621</v>
      </c>
      <c r="W19" s="121">
        <f t="shared" si="4"/>
        <v>9.8186679597301471E-2</v>
      </c>
      <c r="X19" s="121">
        <f t="shared" si="4"/>
        <v>9.0633858089816749E-2</v>
      </c>
      <c r="Y19" s="121">
        <f t="shared" si="5"/>
        <v>8.3081036582332027E-2</v>
      </c>
      <c r="Z19" s="121">
        <f t="shared" si="5"/>
        <v>7.5528215074847277E-2</v>
      </c>
      <c r="AA19" s="121">
        <f t="shared" si="5"/>
        <v>6.7975393567362555E-2</v>
      </c>
      <c r="AB19" s="121">
        <f t="shared" si="5"/>
        <v>6.0422572059877833E-2</v>
      </c>
      <c r="AC19" s="121">
        <f t="shared" si="5"/>
        <v>5.2869750552393104E-2</v>
      </c>
      <c r="AD19" s="121">
        <f t="shared" si="5"/>
        <v>4.5316929044908374E-2</v>
      </c>
      <c r="AE19" s="121">
        <f t="shared" si="5"/>
        <v>3.7764107537423638E-2</v>
      </c>
      <c r="AF19" s="121">
        <f t="shared" si="5"/>
        <v>3.0211286029938916E-2</v>
      </c>
      <c r="AG19" s="121">
        <f t="shared" si="5"/>
        <v>2.2658464522454187E-2</v>
      </c>
      <c r="AH19" s="121">
        <f t="shared" si="5"/>
        <v>1.5105643014969458E-2</v>
      </c>
      <c r="AI19" s="121">
        <f t="shared" si="5"/>
        <v>7.5528215074847291E-3</v>
      </c>
      <c r="AJ19" s="121">
        <f t="shared" si="5"/>
        <v>0</v>
      </c>
    </row>
    <row r="20" spans="2:36">
      <c r="B20" s="117" t="s">
        <v>173</v>
      </c>
      <c r="C20" s="122"/>
      <c r="E20" s="35" t="s">
        <v>19</v>
      </c>
      <c r="F20" s="121">
        <f t="shared" si="6"/>
        <v>0.5</v>
      </c>
      <c r="H20" s="35" t="s">
        <v>19</v>
      </c>
      <c r="I20" s="123">
        <f t="shared" si="4"/>
        <v>0.20392618070208768</v>
      </c>
      <c r="J20" s="121">
        <f t="shared" si="4"/>
        <v>0.19637335919460294</v>
      </c>
      <c r="K20" s="121">
        <f t="shared" si="4"/>
        <v>0.18882053768711823</v>
      </c>
      <c r="L20" s="121">
        <f t="shared" si="4"/>
        <v>0.1812677161796335</v>
      </c>
      <c r="M20" s="121">
        <f t="shared" si="4"/>
        <v>0.17371489467214876</v>
      </c>
      <c r="N20" s="121">
        <f t="shared" si="4"/>
        <v>0.16616207316466405</v>
      </c>
      <c r="O20" s="121">
        <f t="shared" si="4"/>
        <v>0.15860925165717929</v>
      </c>
      <c r="P20" s="121">
        <f t="shared" si="4"/>
        <v>0.15105643014969455</v>
      </c>
      <c r="Q20" s="121">
        <f t="shared" si="4"/>
        <v>0.14350360864220985</v>
      </c>
      <c r="R20" s="121">
        <f t="shared" si="4"/>
        <v>0.13595078713472511</v>
      </c>
      <c r="S20" s="121">
        <f t="shared" si="4"/>
        <v>0.12839796562724037</v>
      </c>
      <c r="T20" s="121">
        <f t="shared" si="4"/>
        <v>0.12084514411975567</v>
      </c>
      <c r="U20" s="121">
        <f t="shared" si="4"/>
        <v>0.11329232261227094</v>
      </c>
      <c r="V20" s="121">
        <f t="shared" si="4"/>
        <v>0.10573950110478621</v>
      </c>
      <c r="W20" s="121">
        <f t="shared" si="4"/>
        <v>9.8186679597301471E-2</v>
      </c>
      <c r="X20" s="121">
        <f t="shared" si="4"/>
        <v>9.0633858089816749E-2</v>
      </c>
      <c r="Y20" s="121">
        <f t="shared" si="5"/>
        <v>8.3081036582332027E-2</v>
      </c>
      <c r="Z20" s="121">
        <f t="shared" si="5"/>
        <v>7.5528215074847277E-2</v>
      </c>
      <c r="AA20" s="121">
        <f t="shared" si="5"/>
        <v>6.7975393567362555E-2</v>
      </c>
      <c r="AB20" s="121">
        <f t="shared" si="5"/>
        <v>6.0422572059877833E-2</v>
      </c>
      <c r="AC20" s="121">
        <f t="shared" si="5"/>
        <v>5.2869750552393104E-2</v>
      </c>
      <c r="AD20" s="121">
        <f t="shared" si="5"/>
        <v>4.5316929044908374E-2</v>
      </c>
      <c r="AE20" s="121">
        <f t="shared" si="5"/>
        <v>3.7764107537423638E-2</v>
      </c>
      <c r="AF20" s="121">
        <f t="shared" si="5"/>
        <v>3.0211286029938916E-2</v>
      </c>
      <c r="AG20" s="121">
        <f t="shared" si="5"/>
        <v>2.2658464522454187E-2</v>
      </c>
      <c r="AH20" s="121">
        <f t="shared" si="5"/>
        <v>1.5105643014969458E-2</v>
      </c>
      <c r="AI20" s="121">
        <f t="shared" si="5"/>
        <v>7.5528215074847291E-3</v>
      </c>
      <c r="AJ20" s="121">
        <f t="shared" si="5"/>
        <v>0</v>
      </c>
    </row>
    <row r="21" spans="2:36">
      <c r="B21" s="117" t="s">
        <v>173</v>
      </c>
      <c r="C21" s="122"/>
      <c r="E21" s="35" t="s">
        <v>22</v>
      </c>
      <c r="F21" s="121">
        <f t="shared" si="6"/>
        <v>0.5</v>
      </c>
      <c r="H21" s="35" t="s">
        <v>22</v>
      </c>
      <c r="I21" s="123">
        <f t="shared" si="4"/>
        <v>0.20392618070208768</v>
      </c>
      <c r="J21" s="121">
        <f t="shared" si="4"/>
        <v>0.19637335919460294</v>
      </c>
      <c r="K21" s="121">
        <f t="shared" si="4"/>
        <v>0.18882053768711823</v>
      </c>
      <c r="L21" s="121">
        <f t="shared" si="4"/>
        <v>0.1812677161796335</v>
      </c>
      <c r="M21" s="121">
        <f t="shared" si="4"/>
        <v>0.17371489467214876</v>
      </c>
      <c r="N21" s="121">
        <f t="shared" si="4"/>
        <v>0.16616207316466405</v>
      </c>
      <c r="O21" s="121">
        <f t="shared" si="4"/>
        <v>0.15860925165717929</v>
      </c>
      <c r="P21" s="121">
        <f t="shared" si="4"/>
        <v>0.15105643014969455</v>
      </c>
      <c r="Q21" s="121">
        <f t="shared" si="4"/>
        <v>0.14350360864220985</v>
      </c>
      <c r="R21" s="121">
        <f t="shared" si="4"/>
        <v>0.13595078713472511</v>
      </c>
      <c r="S21" s="121">
        <f t="shared" si="4"/>
        <v>0.12839796562724037</v>
      </c>
      <c r="T21" s="121">
        <f t="shared" si="4"/>
        <v>0.12084514411975567</v>
      </c>
      <c r="U21" s="121">
        <f t="shared" si="4"/>
        <v>0.11329232261227094</v>
      </c>
      <c r="V21" s="121">
        <f t="shared" si="4"/>
        <v>0.10573950110478621</v>
      </c>
      <c r="W21" s="121">
        <f t="shared" si="4"/>
        <v>9.8186679597301471E-2</v>
      </c>
      <c r="X21" s="121">
        <f t="shared" si="4"/>
        <v>9.0633858089816749E-2</v>
      </c>
      <c r="Y21" s="121">
        <f t="shared" si="5"/>
        <v>8.3081036582332027E-2</v>
      </c>
      <c r="Z21" s="121">
        <f t="shared" si="5"/>
        <v>7.5528215074847277E-2</v>
      </c>
      <c r="AA21" s="121">
        <f t="shared" si="5"/>
        <v>6.7975393567362555E-2</v>
      </c>
      <c r="AB21" s="121">
        <f t="shared" si="5"/>
        <v>6.0422572059877833E-2</v>
      </c>
      <c r="AC21" s="121">
        <f t="shared" si="5"/>
        <v>5.2869750552393104E-2</v>
      </c>
      <c r="AD21" s="121">
        <f t="shared" si="5"/>
        <v>4.5316929044908374E-2</v>
      </c>
      <c r="AE21" s="121">
        <f t="shared" si="5"/>
        <v>3.7764107537423638E-2</v>
      </c>
      <c r="AF21" s="121">
        <f t="shared" si="5"/>
        <v>3.0211286029938916E-2</v>
      </c>
      <c r="AG21" s="121">
        <f t="shared" si="5"/>
        <v>2.2658464522454187E-2</v>
      </c>
      <c r="AH21" s="121">
        <f t="shared" si="5"/>
        <v>1.5105643014969458E-2</v>
      </c>
      <c r="AI21" s="121">
        <f t="shared" si="5"/>
        <v>7.5528215074847291E-3</v>
      </c>
      <c r="AJ21" s="121">
        <f t="shared" si="5"/>
        <v>0</v>
      </c>
    </row>
    <row r="22" spans="2:36">
      <c r="B22" s="117" t="s">
        <v>173</v>
      </c>
      <c r="C22" s="122"/>
      <c r="E22" s="35" t="s">
        <v>24</v>
      </c>
      <c r="F22" s="121">
        <f t="shared" si="6"/>
        <v>0.5</v>
      </c>
      <c r="H22" s="35" t="s">
        <v>24</v>
      </c>
      <c r="I22" s="123">
        <f t="shared" si="4"/>
        <v>0.20392618070208768</v>
      </c>
      <c r="J22" s="121">
        <f t="shared" si="4"/>
        <v>0.19637335919460294</v>
      </c>
      <c r="K22" s="121">
        <f t="shared" si="4"/>
        <v>0.18882053768711823</v>
      </c>
      <c r="L22" s="121">
        <f t="shared" si="4"/>
        <v>0.1812677161796335</v>
      </c>
      <c r="M22" s="121">
        <f t="shared" si="4"/>
        <v>0.17371489467214876</v>
      </c>
      <c r="N22" s="121">
        <f t="shared" si="4"/>
        <v>0.16616207316466405</v>
      </c>
      <c r="O22" s="121">
        <f t="shared" si="4"/>
        <v>0.15860925165717929</v>
      </c>
      <c r="P22" s="121">
        <f t="shared" si="4"/>
        <v>0.15105643014969455</v>
      </c>
      <c r="Q22" s="121">
        <f t="shared" si="4"/>
        <v>0.14350360864220985</v>
      </c>
      <c r="R22" s="121">
        <f t="shared" si="4"/>
        <v>0.13595078713472511</v>
      </c>
      <c r="S22" s="121">
        <f t="shared" si="4"/>
        <v>0.12839796562724037</v>
      </c>
      <c r="T22" s="121">
        <f t="shared" si="4"/>
        <v>0.12084514411975567</v>
      </c>
      <c r="U22" s="121">
        <f t="shared" si="4"/>
        <v>0.11329232261227094</v>
      </c>
      <c r="V22" s="121">
        <f t="shared" si="4"/>
        <v>0.10573950110478621</v>
      </c>
      <c r="W22" s="121">
        <f t="shared" si="4"/>
        <v>9.8186679597301471E-2</v>
      </c>
      <c r="X22" s="121">
        <f t="shared" si="4"/>
        <v>9.0633858089816749E-2</v>
      </c>
      <c r="Y22" s="121">
        <f t="shared" si="5"/>
        <v>8.3081036582332027E-2</v>
      </c>
      <c r="Z22" s="121">
        <f t="shared" si="5"/>
        <v>7.5528215074847277E-2</v>
      </c>
      <c r="AA22" s="121">
        <f t="shared" si="5"/>
        <v>6.7975393567362555E-2</v>
      </c>
      <c r="AB22" s="121">
        <f t="shared" si="5"/>
        <v>6.0422572059877833E-2</v>
      </c>
      <c r="AC22" s="121">
        <f t="shared" si="5"/>
        <v>5.2869750552393104E-2</v>
      </c>
      <c r="AD22" s="121">
        <f t="shared" si="5"/>
        <v>4.5316929044908374E-2</v>
      </c>
      <c r="AE22" s="121">
        <f t="shared" si="5"/>
        <v>3.7764107537423638E-2</v>
      </c>
      <c r="AF22" s="121">
        <f t="shared" si="5"/>
        <v>3.0211286029938916E-2</v>
      </c>
      <c r="AG22" s="121">
        <f t="shared" si="5"/>
        <v>2.2658464522454187E-2</v>
      </c>
      <c r="AH22" s="121">
        <f t="shared" si="5"/>
        <v>1.5105643014969458E-2</v>
      </c>
      <c r="AI22" s="121">
        <f t="shared" si="5"/>
        <v>7.5528215074847291E-3</v>
      </c>
      <c r="AJ22" s="121">
        <f t="shared" si="5"/>
        <v>0</v>
      </c>
    </row>
    <row r="23" spans="2:36">
      <c r="B23" s="117" t="s">
        <v>173</v>
      </c>
      <c r="C23" s="122"/>
      <c r="E23" s="35" t="s">
        <v>25</v>
      </c>
      <c r="F23" s="121">
        <f>F$17</f>
        <v>0.5</v>
      </c>
      <c r="H23" s="35" t="s">
        <v>25</v>
      </c>
      <c r="I23" s="123">
        <f t="shared" si="4"/>
        <v>0.20392618070208768</v>
      </c>
      <c r="J23" s="121">
        <f t="shared" si="4"/>
        <v>0.19637335919460294</v>
      </c>
      <c r="K23" s="121">
        <f t="shared" si="4"/>
        <v>0.18882053768711823</v>
      </c>
      <c r="L23" s="121">
        <f t="shared" si="4"/>
        <v>0.1812677161796335</v>
      </c>
      <c r="M23" s="121">
        <f t="shared" si="4"/>
        <v>0.17371489467214876</v>
      </c>
      <c r="N23" s="121">
        <f t="shared" si="4"/>
        <v>0.16616207316466405</v>
      </c>
      <c r="O23" s="121">
        <f t="shared" si="4"/>
        <v>0.15860925165717929</v>
      </c>
      <c r="P23" s="121">
        <f t="shared" si="4"/>
        <v>0.15105643014969455</v>
      </c>
      <c r="Q23" s="121">
        <f t="shared" si="4"/>
        <v>0.14350360864220985</v>
      </c>
      <c r="R23" s="121">
        <f t="shared" si="4"/>
        <v>0.13595078713472511</v>
      </c>
      <c r="S23" s="121">
        <f t="shared" si="4"/>
        <v>0.12839796562724037</v>
      </c>
      <c r="T23" s="121">
        <f t="shared" si="4"/>
        <v>0.12084514411975567</v>
      </c>
      <c r="U23" s="121">
        <f t="shared" si="4"/>
        <v>0.11329232261227094</v>
      </c>
      <c r="V23" s="121">
        <f t="shared" si="4"/>
        <v>0.10573950110478621</v>
      </c>
      <c r="W23" s="121">
        <f t="shared" si="4"/>
        <v>9.8186679597301471E-2</v>
      </c>
      <c r="X23" s="121">
        <f t="shared" si="4"/>
        <v>9.0633858089816749E-2</v>
      </c>
      <c r="Y23" s="121">
        <f t="shared" si="5"/>
        <v>8.3081036582332027E-2</v>
      </c>
      <c r="Z23" s="121">
        <f t="shared" si="5"/>
        <v>7.5528215074847277E-2</v>
      </c>
      <c r="AA23" s="121">
        <f t="shared" si="5"/>
        <v>6.7975393567362555E-2</v>
      </c>
      <c r="AB23" s="121">
        <f t="shared" si="5"/>
        <v>6.0422572059877833E-2</v>
      </c>
      <c r="AC23" s="121">
        <f t="shared" si="5"/>
        <v>5.2869750552393104E-2</v>
      </c>
      <c r="AD23" s="121">
        <f t="shared" si="5"/>
        <v>4.5316929044908374E-2</v>
      </c>
      <c r="AE23" s="121">
        <f t="shared" si="5"/>
        <v>3.7764107537423638E-2</v>
      </c>
      <c r="AF23" s="121">
        <f t="shared" si="5"/>
        <v>3.0211286029938916E-2</v>
      </c>
      <c r="AG23" s="121">
        <f t="shared" si="5"/>
        <v>2.2658464522454187E-2</v>
      </c>
      <c r="AH23" s="121">
        <f t="shared" si="5"/>
        <v>1.5105643014969458E-2</v>
      </c>
      <c r="AI23" s="121">
        <f t="shared" si="5"/>
        <v>7.5528215074847291E-3</v>
      </c>
      <c r="AJ23" s="121">
        <f t="shared" si="5"/>
        <v>0</v>
      </c>
    </row>
    <row r="24" spans="2:36">
      <c r="B24" s="117" t="s">
        <v>173</v>
      </c>
      <c r="C24" s="122"/>
      <c r="E24" s="117"/>
      <c r="F24" s="121"/>
      <c r="H24" s="126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</row>
    <row r="25" spans="2:36">
      <c r="B25" s="117" t="s">
        <v>173</v>
      </c>
      <c r="C25" s="122"/>
      <c r="E25" s="117"/>
      <c r="F25" s="121"/>
      <c r="H25" s="117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</row>
    <row r="26" spans="2:36">
      <c r="B26" s="117" t="s">
        <v>173</v>
      </c>
      <c r="C26" s="122"/>
      <c r="E26" s="117"/>
      <c r="F26" s="121"/>
      <c r="H26" s="117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</row>
    <row r="28" spans="2:36">
      <c r="B28" s="113" t="s">
        <v>167</v>
      </c>
      <c r="E28" s="113" t="s">
        <v>268</v>
      </c>
      <c r="H28" s="113" t="s">
        <v>66</v>
      </c>
      <c r="I28" s="115">
        <v>2023</v>
      </c>
      <c r="J28" s="115">
        <v>2024</v>
      </c>
      <c r="K28" s="115">
        <v>2025</v>
      </c>
      <c r="L28" s="115">
        <v>2026</v>
      </c>
      <c r="M28" s="115">
        <v>2027</v>
      </c>
      <c r="N28" s="115">
        <v>2028</v>
      </c>
      <c r="O28" s="115">
        <v>2029</v>
      </c>
      <c r="P28" s="115">
        <v>2030</v>
      </c>
      <c r="Q28" s="115">
        <v>2031</v>
      </c>
      <c r="R28" s="115">
        <v>2032</v>
      </c>
      <c r="S28" s="115">
        <v>2033</v>
      </c>
      <c r="T28" s="115">
        <v>2034</v>
      </c>
      <c r="U28" s="115">
        <v>2035</v>
      </c>
      <c r="V28" s="115">
        <v>2036</v>
      </c>
      <c r="W28" s="115">
        <v>2037</v>
      </c>
      <c r="X28" s="115">
        <v>2038</v>
      </c>
      <c r="Y28" s="115">
        <v>2039</v>
      </c>
      <c r="Z28" s="115">
        <v>2040</v>
      </c>
      <c r="AA28" s="115">
        <v>2041</v>
      </c>
      <c r="AB28" s="115">
        <v>2042</v>
      </c>
      <c r="AC28" s="115">
        <v>2043</v>
      </c>
      <c r="AD28" s="115">
        <v>2044</v>
      </c>
      <c r="AE28" s="115">
        <v>2045</v>
      </c>
      <c r="AF28" s="115">
        <v>2046</v>
      </c>
      <c r="AG28" s="115">
        <v>2047</v>
      </c>
      <c r="AH28" s="115">
        <v>2048</v>
      </c>
      <c r="AI28" s="115">
        <v>2049</v>
      </c>
      <c r="AJ28" s="115">
        <v>2050</v>
      </c>
    </row>
    <row r="29" spans="2:36">
      <c r="B29" s="117" t="s">
        <v>8</v>
      </c>
      <c r="C29" s="124">
        <f>'3.Input data Bharat Petroleum'!E6</f>
        <v>134431.20000000001</v>
      </c>
      <c r="E29" s="117" t="s">
        <v>8</v>
      </c>
      <c r="F29" s="121">
        <v>0.5</v>
      </c>
      <c r="H29" s="117" t="s">
        <v>8</v>
      </c>
      <c r="I29" s="124">
        <f>'3.Input data Bharat Petroleum'!D22</f>
        <v>0.14808773279649343</v>
      </c>
      <c r="J29" s="121">
        <f t="shared" ref="J29:AJ29" si="7">$I29*($AJ$4-J$4)/27</f>
        <v>0.14260300195217887</v>
      </c>
      <c r="K29" s="121">
        <f t="shared" si="7"/>
        <v>0.13711827110786429</v>
      </c>
      <c r="L29" s="121">
        <f t="shared" si="7"/>
        <v>0.1316335402635497</v>
      </c>
      <c r="M29" s="121">
        <f t="shared" si="7"/>
        <v>0.12614880941923515</v>
      </c>
      <c r="N29" s="121">
        <f t="shared" si="7"/>
        <v>0.12066407857492056</v>
      </c>
      <c r="O29" s="121">
        <f t="shared" si="7"/>
        <v>0.11517934773060599</v>
      </c>
      <c r="P29" s="121">
        <f t="shared" si="7"/>
        <v>0.10969461688629144</v>
      </c>
      <c r="Q29" s="121">
        <f t="shared" si="7"/>
        <v>0.10420988604197685</v>
      </c>
      <c r="R29" s="121">
        <f t="shared" si="7"/>
        <v>9.8725155197662284E-2</v>
      </c>
      <c r="S29" s="121">
        <f t="shared" si="7"/>
        <v>9.3240424353347715E-2</v>
      </c>
      <c r="T29" s="121">
        <f t="shared" si="7"/>
        <v>8.7755693509033145E-2</v>
      </c>
      <c r="U29" s="121">
        <f t="shared" si="7"/>
        <v>8.2270962664718561E-2</v>
      </c>
      <c r="V29" s="121">
        <f t="shared" si="7"/>
        <v>7.6786231820404005E-2</v>
      </c>
      <c r="W29" s="121">
        <f t="shared" si="7"/>
        <v>7.1301500976089435E-2</v>
      </c>
      <c r="X29" s="121">
        <f t="shared" si="7"/>
        <v>6.5816770131774852E-2</v>
      </c>
      <c r="Y29" s="121">
        <f t="shared" si="7"/>
        <v>6.0332039287460282E-2</v>
      </c>
      <c r="Z29" s="121">
        <f t="shared" si="7"/>
        <v>5.4847308443145719E-2</v>
      </c>
      <c r="AA29" s="121">
        <f t="shared" si="7"/>
        <v>4.9362577598831142E-2</v>
      </c>
      <c r="AB29" s="121">
        <f t="shared" si="7"/>
        <v>4.3877846754516572E-2</v>
      </c>
      <c r="AC29" s="121">
        <f t="shared" si="7"/>
        <v>3.8393115910202003E-2</v>
      </c>
      <c r="AD29" s="121">
        <f t="shared" si="7"/>
        <v>3.2908385065887426E-2</v>
      </c>
      <c r="AE29" s="121">
        <f t="shared" si="7"/>
        <v>2.7423654221572859E-2</v>
      </c>
      <c r="AF29" s="121">
        <f t="shared" si="7"/>
        <v>2.1938923377258286E-2</v>
      </c>
      <c r="AG29" s="121">
        <f t="shared" si="7"/>
        <v>1.6454192532943713E-2</v>
      </c>
      <c r="AH29" s="121">
        <f t="shared" si="7"/>
        <v>1.0969461688629143E-2</v>
      </c>
      <c r="AI29" s="121">
        <f t="shared" si="7"/>
        <v>5.4847308443145715E-3</v>
      </c>
      <c r="AJ29" s="121">
        <f t="shared" si="7"/>
        <v>0</v>
      </c>
    </row>
    <row r="30" spans="2:36">
      <c r="B30" s="117" t="s">
        <v>173</v>
      </c>
      <c r="C30" s="122"/>
      <c r="E30" s="35" t="s">
        <v>12</v>
      </c>
      <c r="F30" s="121">
        <f>F$29</f>
        <v>0.5</v>
      </c>
      <c r="H30" s="35" t="s">
        <v>12</v>
      </c>
      <c r="I30" s="121">
        <f t="shared" ref="I30:X35" si="8">I$29</f>
        <v>0.14808773279649343</v>
      </c>
      <c r="J30" s="121">
        <f t="shared" si="8"/>
        <v>0.14260300195217887</v>
      </c>
      <c r="K30" s="121">
        <f t="shared" si="8"/>
        <v>0.13711827110786429</v>
      </c>
      <c r="L30" s="121">
        <f t="shared" si="8"/>
        <v>0.1316335402635497</v>
      </c>
      <c r="M30" s="121">
        <f t="shared" si="8"/>
        <v>0.12614880941923515</v>
      </c>
      <c r="N30" s="121">
        <f t="shared" si="8"/>
        <v>0.12066407857492056</v>
      </c>
      <c r="O30" s="121">
        <f t="shared" si="8"/>
        <v>0.11517934773060599</v>
      </c>
      <c r="P30" s="121">
        <f t="shared" si="8"/>
        <v>0.10969461688629144</v>
      </c>
      <c r="Q30" s="121">
        <f t="shared" si="8"/>
        <v>0.10420988604197685</v>
      </c>
      <c r="R30" s="121">
        <f t="shared" si="8"/>
        <v>9.8725155197662284E-2</v>
      </c>
      <c r="S30" s="121">
        <f t="shared" si="8"/>
        <v>9.3240424353347715E-2</v>
      </c>
      <c r="T30" s="121">
        <f t="shared" si="8"/>
        <v>8.7755693509033145E-2</v>
      </c>
      <c r="U30" s="121">
        <f t="shared" si="8"/>
        <v>8.2270962664718561E-2</v>
      </c>
      <c r="V30" s="121">
        <f t="shared" si="8"/>
        <v>7.6786231820404005E-2</v>
      </c>
      <c r="W30" s="121">
        <f t="shared" si="8"/>
        <v>7.1301500976089435E-2</v>
      </c>
      <c r="X30" s="121">
        <f t="shared" si="8"/>
        <v>6.5816770131774852E-2</v>
      </c>
      <c r="Y30" s="121">
        <f t="shared" ref="Y30:AJ35" si="9">Y$29</f>
        <v>6.0332039287460282E-2</v>
      </c>
      <c r="Z30" s="121">
        <f t="shared" si="9"/>
        <v>5.4847308443145719E-2</v>
      </c>
      <c r="AA30" s="121">
        <f t="shared" si="9"/>
        <v>4.9362577598831142E-2</v>
      </c>
      <c r="AB30" s="121">
        <f t="shared" si="9"/>
        <v>4.3877846754516572E-2</v>
      </c>
      <c r="AC30" s="121">
        <f t="shared" si="9"/>
        <v>3.8393115910202003E-2</v>
      </c>
      <c r="AD30" s="121">
        <f t="shared" si="9"/>
        <v>3.2908385065887426E-2</v>
      </c>
      <c r="AE30" s="121">
        <f t="shared" si="9"/>
        <v>2.7423654221572859E-2</v>
      </c>
      <c r="AF30" s="121">
        <f t="shared" si="9"/>
        <v>2.1938923377258286E-2</v>
      </c>
      <c r="AG30" s="121">
        <f t="shared" si="9"/>
        <v>1.6454192532943713E-2</v>
      </c>
      <c r="AH30" s="121">
        <f t="shared" si="9"/>
        <v>1.0969461688629143E-2</v>
      </c>
      <c r="AI30" s="121">
        <f t="shared" si="9"/>
        <v>5.4847308443145715E-3</v>
      </c>
      <c r="AJ30" s="121">
        <f t="shared" si="9"/>
        <v>0</v>
      </c>
    </row>
    <row r="31" spans="2:36">
      <c r="B31" s="117" t="s">
        <v>173</v>
      </c>
      <c r="C31" s="122"/>
      <c r="E31" s="35" t="s">
        <v>15</v>
      </c>
      <c r="F31" s="121">
        <f t="shared" ref="F31:F35" si="10">F$29</f>
        <v>0.5</v>
      </c>
      <c r="H31" s="35" t="s">
        <v>15</v>
      </c>
      <c r="I31" s="121">
        <f t="shared" si="8"/>
        <v>0.14808773279649343</v>
      </c>
      <c r="J31" s="121">
        <f t="shared" si="8"/>
        <v>0.14260300195217887</v>
      </c>
      <c r="K31" s="121">
        <f t="shared" si="8"/>
        <v>0.13711827110786429</v>
      </c>
      <c r="L31" s="121">
        <f t="shared" si="8"/>
        <v>0.1316335402635497</v>
      </c>
      <c r="M31" s="121">
        <f t="shared" si="8"/>
        <v>0.12614880941923515</v>
      </c>
      <c r="N31" s="121">
        <f t="shared" si="8"/>
        <v>0.12066407857492056</v>
      </c>
      <c r="O31" s="121">
        <f t="shared" si="8"/>
        <v>0.11517934773060599</v>
      </c>
      <c r="P31" s="121">
        <f t="shared" si="8"/>
        <v>0.10969461688629144</v>
      </c>
      <c r="Q31" s="121">
        <f t="shared" si="8"/>
        <v>0.10420988604197685</v>
      </c>
      <c r="R31" s="121">
        <f t="shared" si="8"/>
        <v>9.8725155197662284E-2</v>
      </c>
      <c r="S31" s="121">
        <f t="shared" si="8"/>
        <v>9.3240424353347715E-2</v>
      </c>
      <c r="T31" s="121">
        <f t="shared" si="8"/>
        <v>8.7755693509033145E-2</v>
      </c>
      <c r="U31" s="121">
        <f t="shared" si="8"/>
        <v>8.2270962664718561E-2</v>
      </c>
      <c r="V31" s="121">
        <f t="shared" si="8"/>
        <v>7.6786231820404005E-2</v>
      </c>
      <c r="W31" s="121">
        <f t="shared" si="8"/>
        <v>7.1301500976089435E-2</v>
      </c>
      <c r="X31" s="121">
        <f t="shared" si="8"/>
        <v>6.5816770131774852E-2</v>
      </c>
      <c r="Y31" s="121">
        <f t="shared" si="9"/>
        <v>6.0332039287460282E-2</v>
      </c>
      <c r="Z31" s="121">
        <f t="shared" si="9"/>
        <v>5.4847308443145719E-2</v>
      </c>
      <c r="AA31" s="121">
        <f t="shared" si="9"/>
        <v>4.9362577598831142E-2</v>
      </c>
      <c r="AB31" s="121">
        <f t="shared" si="9"/>
        <v>4.3877846754516572E-2</v>
      </c>
      <c r="AC31" s="121">
        <f t="shared" si="9"/>
        <v>3.8393115910202003E-2</v>
      </c>
      <c r="AD31" s="121">
        <f t="shared" si="9"/>
        <v>3.2908385065887426E-2</v>
      </c>
      <c r="AE31" s="121">
        <f t="shared" si="9"/>
        <v>2.7423654221572859E-2</v>
      </c>
      <c r="AF31" s="121">
        <f t="shared" si="9"/>
        <v>2.1938923377258286E-2</v>
      </c>
      <c r="AG31" s="121">
        <f t="shared" si="9"/>
        <v>1.6454192532943713E-2</v>
      </c>
      <c r="AH31" s="121">
        <f t="shared" si="9"/>
        <v>1.0969461688629143E-2</v>
      </c>
      <c r="AI31" s="121">
        <f t="shared" si="9"/>
        <v>5.4847308443145715E-3</v>
      </c>
      <c r="AJ31" s="121">
        <f t="shared" si="9"/>
        <v>0</v>
      </c>
    </row>
    <row r="32" spans="2:36">
      <c r="B32" s="117" t="s">
        <v>173</v>
      </c>
      <c r="C32" s="122"/>
      <c r="E32" s="35" t="s">
        <v>19</v>
      </c>
      <c r="F32" s="121">
        <f t="shared" si="10"/>
        <v>0.5</v>
      </c>
      <c r="H32" s="35" t="s">
        <v>19</v>
      </c>
      <c r="I32" s="121">
        <f t="shared" si="8"/>
        <v>0.14808773279649343</v>
      </c>
      <c r="J32" s="121">
        <f t="shared" si="8"/>
        <v>0.14260300195217887</v>
      </c>
      <c r="K32" s="121">
        <f t="shared" si="8"/>
        <v>0.13711827110786429</v>
      </c>
      <c r="L32" s="121">
        <f t="shared" si="8"/>
        <v>0.1316335402635497</v>
      </c>
      <c r="M32" s="121">
        <f t="shared" si="8"/>
        <v>0.12614880941923515</v>
      </c>
      <c r="N32" s="121">
        <f t="shared" si="8"/>
        <v>0.12066407857492056</v>
      </c>
      <c r="O32" s="121">
        <f t="shared" si="8"/>
        <v>0.11517934773060599</v>
      </c>
      <c r="P32" s="121">
        <f t="shared" si="8"/>
        <v>0.10969461688629144</v>
      </c>
      <c r="Q32" s="121">
        <f t="shared" si="8"/>
        <v>0.10420988604197685</v>
      </c>
      <c r="R32" s="121">
        <f t="shared" si="8"/>
        <v>9.8725155197662284E-2</v>
      </c>
      <c r="S32" s="121">
        <f t="shared" si="8"/>
        <v>9.3240424353347715E-2</v>
      </c>
      <c r="T32" s="121">
        <f t="shared" si="8"/>
        <v>8.7755693509033145E-2</v>
      </c>
      <c r="U32" s="121">
        <f t="shared" si="8"/>
        <v>8.2270962664718561E-2</v>
      </c>
      <c r="V32" s="121">
        <f t="shared" si="8"/>
        <v>7.6786231820404005E-2</v>
      </c>
      <c r="W32" s="121">
        <f t="shared" si="8"/>
        <v>7.1301500976089435E-2</v>
      </c>
      <c r="X32" s="121">
        <f t="shared" si="8"/>
        <v>6.5816770131774852E-2</v>
      </c>
      <c r="Y32" s="121">
        <f t="shared" si="9"/>
        <v>6.0332039287460282E-2</v>
      </c>
      <c r="Z32" s="121">
        <f t="shared" si="9"/>
        <v>5.4847308443145719E-2</v>
      </c>
      <c r="AA32" s="121">
        <f t="shared" si="9"/>
        <v>4.9362577598831142E-2</v>
      </c>
      <c r="AB32" s="121">
        <f t="shared" si="9"/>
        <v>4.3877846754516572E-2</v>
      </c>
      <c r="AC32" s="121">
        <f t="shared" si="9"/>
        <v>3.8393115910202003E-2</v>
      </c>
      <c r="AD32" s="121">
        <f t="shared" si="9"/>
        <v>3.2908385065887426E-2</v>
      </c>
      <c r="AE32" s="121">
        <f t="shared" si="9"/>
        <v>2.7423654221572859E-2</v>
      </c>
      <c r="AF32" s="121">
        <f t="shared" si="9"/>
        <v>2.1938923377258286E-2</v>
      </c>
      <c r="AG32" s="121">
        <f t="shared" si="9"/>
        <v>1.6454192532943713E-2</v>
      </c>
      <c r="AH32" s="121">
        <f t="shared" si="9"/>
        <v>1.0969461688629143E-2</v>
      </c>
      <c r="AI32" s="121">
        <f t="shared" si="9"/>
        <v>5.4847308443145715E-3</v>
      </c>
      <c r="AJ32" s="121">
        <f t="shared" si="9"/>
        <v>0</v>
      </c>
    </row>
    <row r="33" spans="1:36">
      <c r="B33" s="117" t="s">
        <v>173</v>
      </c>
      <c r="C33" s="122"/>
      <c r="E33" s="35" t="s">
        <v>22</v>
      </c>
      <c r="F33" s="121">
        <f t="shared" si="10"/>
        <v>0.5</v>
      </c>
      <c r="H33" s="35" t="s">
        <v>22</v>
      </c>
      <c r="I33" s="121">
        <f t="shared" si="8"/>
        <v>0.14808773279649343</v>
      </c>
      <c r="J33" s="121">
        <f t="shared" si="8"/>
        <v>0.14260300195217887</v>
      </c>
      <c r="K33" s="121">
        <f t="shared" si="8"/>
        <v>0.13711827110786429</v>
      </c>
      <c r="L33" s="121">
        <f t="shared" si="8"/>
        <v>0.1316335402635497</v>
      </c>
      <c r="M33" s="121">
        <f t="shared" si="8"/>
        <v>0.12614880941923515</v>
      </c>
      <c r="N33" s="121">
        <f t="shared" si="8"/>
        <v>0.12066407857492056</v>
      </c>
      <c r="O33" s="121">
        <f t="shared" si="8"/>
        <v>0.11517934773060599</v>
      </c>
      <c r="P33" s="121">
        <f t="shared" si="8"/>
        <v>0.10969461688629144</v>
      </c>
      <c r="Q33" s="121">
        <f t="shared" si="8"/>
        <v>0.10420988604197685</v>
      </c>
      <c r="R33" s="121">
        <f t="shared" si="8"/>
        <v>9.8725155197662284E-2</v>
      </c>
      <c r="S33" s="121">
        <f t="shared" si="8"/>
        <v>9.3240424353347715E-2</v>
      </c>
      <c r="T33" s="121">
        <f t="shared" si="8"/>
        <v>8.7755693509033145E-2</v>
      </c>
      <c r="U33" s="121">
        <f t="shared" si="8"/>
        <v>8.2270962664718561E-2</v>
      </c>
      <c r="V33" s="121">
        <f t="shared" si="8"/>
        <v>7.6786231820404005E-2</v>
      </c>
      <c r="W33" s="121">
        <f t="shared" si="8"/>
        <v>7.1301500976089435E-2</v>
      </c>
      <c r="X33" s="121">
        <f t="shared" si="8"/>
        <v>6.5816770131774852E-2</v>
      </c>
      <c r="Y33" s="121">
        <f t="shared" si="9"/>
        <v>6.0332039287460282E-2</v>
      </c>
      <c r="Z33" s="121">
        <f t="shared" si="9"/>
        <v>5.4847308443145719E-2</v>
      </c>
      <c r="AA33" s="121">
        <f t="shared" si="9"/>
        <v>4.9362577598831142E-2</v>
      </c>
      <c r="AB33" s="121">
        <f t="shared" si="9"/>
        <v>4.3877846754516572E-2</v>
      </c>
      <c r="AC33" s="121">
        <f t="shared" si="9"/>
        <v>3.8393115910202003E-2</v>
      </c>
      <c r="AD33" s="121">
        <f t="shared" si="9"/>
        <v>3.2908385065887426E-2</v>
      </c>
      <c r="AE33" s="121">
        <f t="shared" si="9"/>
        <v>2.7423654221572859E-2</v>
      </c>
      <c r="AF33" s="121">
        <f t="shared" si="9"/>
        <v>2.1938923377258286E-2</v>
      </c>
      <c r="AG33" s="121">
        <f t="shared" si="9"/>
        <v>1.6454192532943713E-2</v>
      </c>
      <c r="AH33" s="121">
        <f t="shared" si="9"/>
        <v>1.0969461688629143E-2</v>
      </c>
      <c r="AI33" s="121">
        <f t="shared" si="9"/>
        <v>5.4847308443145715E-3</v>
      </c>
      <c r="AJ33" s="121">
        <f t="shared" si="9"/>
        <v>0</v>
      </c>
    </row>
    <row r="34" spans="1:36">
      <c r="B34" s="117" t="s">
        <v>173</v>
      </c>
      <c r="C34" s="122"/>
      <c r="E34" s="35" t="s">
        <v>24</v>
      </c>
      <c r="F34" s="121">
        <f t="shared" si="10"/>
        <v>0.5</v>
      </c>
      <c r="H34" s="35" t="s">
        <v>24</v>
      </c>
      <c r="I34" s="121">
        <f t="shared" si="8"/>
        <v>0.14808773279649343</v>
      </c>
      <c r="J34" s="121">
        <f t="shared" si="8"/>
        <v>0.14260300195217887</v>
      </c>
      <c r="K34" s="121">
        <f t="shared" si="8"/>
        <v>0.13711827110786429</v>
      </c>
      <c r="L34" s="121">
        <f t="shared" si="8"/>
        <v>0.1316335402635497</v>
      </c>
      <c r="M34" s="121">
        <f t="shared" si="8"/>
        <v>0.12614880941923515</v>
      </c>
      <c r="N34" s="121">
        <f t="shared" si="8"/>
        <v>0.12066407857492056</v>
      </c>
      <c r="O34" s="121">
        <f t="shared" si="8"/>
        <v>0.11517934773060599</v>
      </c>
      <c r="P34" s="121">
        <f t="shared" si="8"/>
        <v>0.10969461688629144</v>
      </c>
      <c r="Q34" s="121">
        <f t="shared" si="8"/>
        <v>0.10420988604197685</v>
      </c>
      <c r="R34" s="121">
        <f t="shared" si="8"/>
        <v>9.8725155197662284E-2</v>
      </c>
      <c r="S34" s="121">
        <f t="shared" si="8"/>
        <v>9.3240424353347715E-2</v>
      </c>
      <c r="T34" s="121">
        <f t="shared" si="8"/>
        <v>8.7755693509033145E-2</v>
      </c>
      <c r="U34" s="121">
        <f t="shared" si="8"/>
        <v>8.2270962664718561E-2</v>
      </c>
      <c r="V34" s="121">
        <f t="shared" si="8"/>
        <v>7.6786231820404005E-2</v>
      </c>
      <c r="W34" s="121">
        <f t="shared" si="8"/>
        <v>7.1301500976089435E-2</v>
      </c>
      <c r="X34" s="121">
        <f t="shared" si="8"/>
        <v>6.5816770131774852E-2</v>
      </c>
      <c r="Y34" s="121">
        <f t="shared" si="9"/>
        <v>6.0332039287460282E-2</v>
      </c>
      <c r="Z34" s="121">
        <f t="shared" si="9"/>
        <v>5.4847308443145719E-2</v>
      </c>
      <c r="AA34" s="121">
        <f t="shared" si="9"/>
        <v>4.9362577598831142E-2</v>
      </c>
      <c r="AB34" s="121">
        <f t="shared" si="9"/>
        <v>4.3877846754516572E-2</v>
      </c>
      <c r="AC34" s="121">
        <f t="shared" si="9"/>
        <v>3.8393115910202003E-2</v>
      </c>
      <c r="AD34" s="121">
        <f t="shared" si="9"/>
        <v>3.2908385065887426E-2</v>
      </c>
      <c r="AE34" s="121">
        <f t="shared" si="9"/>
        <v>2.7423654221572859E-2</v>
      </c>
      <c r="AF34" s="121">
        <f t="shared" si="9"/>
        <v>2.1938923377258286E-2</v>
      </c>
      <c r="AG34" s="121">
        <f t="shared" si="9"/>
        <v>1.6454192532943713E-2</v>
      </c>
      <c r="AH34" s="121">
        <f t="shared" si="9"/>
        <v>1.0969461688629143E-2</v>
      </c>
      <c r="AI34" s="121">
        <f t="shared" si="9"/>
        <v>5.4847308443145715E-3</v>
      </c>
      <c r="AJ34" s="121">
        <f t="shared" si="9"/>
        <v>0</v>
      </c>
    </row>
    <row r="35" spans="1:36">
      <c r="B35" s="117" t="s">
        <v>173</v>
      </c>
      <c r="C35" s="122"/>
      <c r="E35" s="35" t="s">
        <v>25</v>
      </c>
      <c r="F35" s="121">
        <f t="shared" si="10"/>
        <v>0.5</v>
      </c>
      <c r="H35" s="35" t="s">
        <v>25</v>
      </c>
      <c r="I35" s="121">
        <f t="shared" si="8"/>
        <v>0.14808773279649343</v>
      </c>
      <c r="J35" s="121">
        <f t="shared" si="8"/>
        <v>0.14260300195217887</v>
      </c>
      <c r="K35" s="121">
        <f t="shared" si="8"/>
        <v>0.13711827110786429</v>
      </c>
      <c r="L35" s="121">
        <f t="shared" si="8"/>
        <v>0.1316335402635497</v>
      </c>
      <c r="M35" s="121">
        <f t="shared" si="8"/>
        <v>0.12614880941923515</v>
      </c>
      <c r="N35" s="121">
        <f t="shared" si="8"/>
        <v>0.12066407857492056</v>
      </c>
      <c r="O35" s="121">
        <f t="shared" si="8"/>
        <v>0.11517934773060599</v>
      </c>
      <c r="P35" s="121">
        <f t="shared" si="8"/>
        <v>0.10969461688629144</v>
      </c>
      <c r="Q35" s="121">
        <f t="shared" si="8"/>
        <v>0.10420988604197685</v>
      </c>
      <c r="R35" s="121">
        <f t="shared" si="8"/>
        <v>9.8725155197662284E-2</v>
      </c>
      <c r="S35" s="121">
        <f t="shared" si="8"/>
        <v>9.3240424353347715E-2</v>
      </c>
      <c r="T35" s="121">
        <f t="shared" si="8"/>
        <v>8.7755693509033145E-2</v>
      </c>
      <c r="U35" s="121">
        <f t="shared" si="8"/>
        <v>8.2270962664718561E-2</v>
      </c>
      <c r="V35" s="121">
        <f t="shared" si="8"/>
        <v>7.6786231820404005E-2</v>
      </c>
      <c r="W35" s="121">
        <f t="shared" si="8"/>
        <v>7.1301500976089435E-2</v>
      </c>
      <c r="X35" s="121">
        <f t="shared" si="8"/>
        <v>6.5816770131774852E-2</v>
      </c>
      <c r="Y35" s="121">
        <f t="shared" si="9"/>
        <v>6.0332039287460282E-2</v>
      </c>
      <c r="Z35" s="121">
        <f t="shared" si="9"/>
        <v>5.4847308443145719E-2</v>
      </c>
      <c r="AA35" s="121">
        <f t="shared" si="9"/>
        <v>4.9362577598831142E-2</v>
      </c>
      <c r="AB35" s="121">
        <f t="shared" si="9"/>
        <v>4.3877846754516572E-2</v>
      </c>
      <c r="AC35" s="121">
        <f t="shared" si="9"/>
        <v>3.8393115910202003E-2</v>
      </c>
      <c r="AD35" s="121">
        <f t="shared" si="9"/>
        <v>3.2908385065887426E-2</v>
      </c>
      <c r="AE35" s="121">
        <f t="shared" si="9"/>
        <v>2.7423654221572859E-2</v>
      </c>
      <c r="AF35" s="121">
        <f t="shared" si="9"/>
        <v>2.1938923377258286E-2</v>
      </c>
      <c r="AG35" s="121">
        <f t="shared" si="9"/>
        <v>1.6454192532943713E-2</v>
      </c>
      <c r="AH35" s="121">
        <f t="shared" si="9"/>
        <v>1.0969461688629143E-2</v>
      </c>
      <c r="AI35" s="121">
        <f t="shared" si="9"/>
        <v>5.4847308443145715E-3</v>
      </c>
      <c r="AJ35" s="121">
        <f t="shared" si="9"/>
        <v>0</v>
      </c>
    </row>
    <row r="36" spans="1:36" customFormat="1">
      <c r="A36" s="115"/>
      <c r="B36" s="117" t="s">
        <v>173</v>
      </c>
      <c r="C36" s="122"/>
      <c r="D36" s="115"/>
      <c r="E36" s="35"/>
      <c r="F36" s="121"/>
      <c r="G36" s="115"/>
      <c r="H36" s="117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</row>
    <row r="37" spans="1:36" customFormat="1">
      <c r="A37" s="115"/>
      <c r="B37" s="117" t="s">
        <v>173</v>
      </c>
      <c r="C37" s="122"/>
      <c r="D37" s="115"/>
      <c r="E37" s="117"/>
      <c r="F37" s="121"/>
      <c r="G37" s="115"/>
      <c r="H37" s="117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</row>
    <row r="38" spans="1:36">
      <c r="B38" s="117" t="s">
        <v>173</v>
      </c>
      <c r="C38" s="122"/>
      <c r="E38" s="117"/>
      <c r="F38" s="121"/>
      <c r="H38" s="117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</row>
    <row r="39" spans="1:36">
      <c r="F39" s="127"/>
    </row>
    <row r="40" spans="1:36">
      <c r="B40" s="113" t="s">
        <v>40</v>
      </c>
      <c r="E40" s="113" t="s">
        <v>266</v>
      </c>
      <c r="H40" s="113" t="s">
        <v>67</v>
      </c>
      <c r="I40" s="115">
        <v>2023</v>
      </c>
      <c r="J40" s="115">
        <v>2024</v>
      </c>
      <c r="K40" s="115">
        <v>2025</v>
      </c>
      <c r="L40" s="115">
        <v>2026</v>
      </c>
      <c r="M40" s="115">
        <v>2027</v>
      </c>
      <c r="N40" s="115">
        <v>2028</v>
      </c>
      <c r="O40" s="115">
        <v>2029</v>
      </c>
      <c r="P40" s="115">
        <v>2030</v>
      </c>
      <c r="Q40" s="115">
        <v>2031</v>
      </c>
      <c r="R40" s="115">
        <v>2032</v>
      </c>
      <c r="S40" s="115">
        <v>2033</v>
      </c>
      <c r="T40" s="115">
        <v>2034</v>
      </c>
      <c r="U40" s="115">
        <v>2035</v>
      </c>
      <c r="V40" s="115">
        <v>2036</v>
      </c>
      <c r="W40" s="115">
        <v>2037</v>
      </c>
      <c r="X40" s="115">
        <v>2038</v>
      </c>
      <c r="Y40" s="115">
        <v>2039</v>
      </c>
      <c r="Z40" s="115">
        <v>2040</v>
      </c>
      <c r="AA40" s="115">
        <v>2041</v>
      </c>
      <c r="AB40" s="115">
        <v>2042</v>
      </c>
      <c r="AC40" s="115">
        <v>2043</v>
      </c>
      <c r="AD40" s="115">
        <v>2044</v>
      </c>
      <c r="AE40" s="115">
        <v>2045</v>
      </c>
      <c r="AF40" s="115">
        <v>2046</v>
      </c>
      <c r="AG40" s="115">
        <v>2047</v>
      </c>
      <c r="AH40" s="115">
        <v>2048</v>
      </c>
      <c r="AI40" s="115">
        <v>2049</v>
      </c>
      <c r="AJ40" s="115">
        <v>2050</v>
      </c>
    </row>
    <row r="41" spans="1:36">
      <c r="B41" s="117" t="s">
        <v>8</v>
      </c>
      <c r="C41" s="124">
        <f>'3.Input data Bharat Petroleum'!E7</f>
        <v>62340.3</v>
      </c>
      <c r="E41" s="117"/>
      <c r="F41" s="121"/>
      <c r="H41" s="117" t="s">
        <v>8</v>
      </c>
      <c r="I41" s="124">
        <f>'3.Input data Bharat Petroleum'!E23</f>
        <v>0.20392618070208768</v>
      </c>
      <c r="J41" s="121">
        <f t="shared" ref="J41:AJ41" si="11">$I41*($AJ$4-J$4)/27</f>
        <v>0.19637335919460294</v>
      </c>
      <c r="K41" s="121">
        <f t="shared" si="11"/>
        <v>0.18882053768711823</v>
      </c>
      <c r="L41" s="121">
        <f t="shared" si="11"/>
        <v>0.1812677161796335</v>
      </c>
      <c r="M41" s="121">
        <f t="shared" si="11"/>
        <v>0.17371489467214876</v>
      </c>
      <c r="N41" s="121">
        <f t="shared" si="11"/>
        <v>0.16616207316466405</v>
      </c>
      <c r="O41" s="121">
        <f t="shared" si="11"/>
        <v>0.15860925165717929</v>
      </c>
      <c r="P41" s="121">
        <f t="shared" si="11"/>
        <v>0.15105643014969455</v>
      </c>
      <c r="Q41" s="121">
        <f t="shared" si="11"/>
        <v>0.14350360864220985</v>
      </c>
      <c r="R41" s="121">
        <f t="shared" si="11"/>
        <v>0.13595078713472511</v>
      </c>
      <c r="S41" s="121">
        <f t="shared" si="11"/>
        <v>0.12839796562724037</v>
      </c>
      <c r="T41" s="121">
        <f t="shared" si="11"/>
        <v>0.12084514411975567</v>
      </c>
      <c r="U41" s="121">
        <f t="shared" si="11"/>
        <v>0.11329232261227094</v>
      </c>
      <c r="V41" s="121">
        <f t="shared" si="11"/>
        <v>0.10573950110478621</v>
      </c>
      <c r="W41" s="121">
        <f t="shared" si="11"/>
        <v>9.8186679597301471E-2</v>
      </c>
      <c r="X41" s="121">
        <f t="shared" si="11"/>
        <v>9.0633858089816749E-2</v>
      </c>
      <c r="Y41" s="121">
        <f t="shared" si="11"/>
        <v>8.3081036582332027E-2</v>
      </c>
      <c r="Z41" s="121">
        <f t="shared" si="11"/>
        <v>7.5528215074847277E-2</v>
      </c>
      <c r="AA41" s="121">
        <f t="shared" si="11"/>
        <v>6.7975393567362555E-2</v>
      </c>
      <c r="AB41" s="121">
        <f t="shared" si="11"/>
        <v>6.0422572059877833E-2</v>
      </c>
      <c r="AC41" s="121">
        <f t="shared" si="11"/>
        <v>5.2869750552393104E-2</v>
      </c>
      <c r="AD41" s="121">
        <f t="shared" si="11"/>
        <v>4.5316929044908374E-2</v>
      </c>
      <c r="AE41" s="121">
        <f t="shared" si="11"/>
        <v>3.7764107537423638E-2</v>
      </c>
      <c r="AF41" s="121">
        <f t="shared" si="11"/>
        <v>3.0211286029938916E-2</v>
      </c>
      <c r="AG41" s="121">
        <f t="shared" si="11"/>
        <v>2.2658464522454187E-2</v>
      </c>
      <c r="AH41" s="121">
        <f t="shared" si="11"/>
        <v>1.5105643014969458E-2</v>
      </c>
      <c r="AI41" s="121">
        <f t="shared" si="11"/>
        <v>7.5528215074847291E-3</v>
      </c>
      <c r="AJ41" s="121">
        <f t="shared" si="11"/>
        <v>0</v>
      </c>
    </row>
    <row r="42" spans="1:36">
      <c r="B42" s="117" t="s">
        <v>173</v>
      </c>
      <c r="C42" s="122"/>
      <c r="E42" s="117"/>
      <c r="F42" s="121"/>
      <c r="H42" s="35" t="s">
        <v>12</v>
      </c>
      <c r="I42" s="121">
        <f t="shared" ref="I42:X47" si="12">I$41</f>
        <v>0.20392618070208768</v>
      </c>
      <c r="J42" s="121">
        <f t="shared" si="12"/>
        <v>0.19637335919460294</v>
      </c>
      <c r="K42" s="121">
        <f t="shared" si="12"/>
        <v>0.18882053768711823</v>
      </c>
      <c r="L42" s="121">
        <f t="shared" si="12"/>
        <v>0.1812677161796335</v>
      </c>
      <c r="M42" s="121">
        <f t="shared" si="12"/>
        <v>0.17371489467214876</v>
      </c>
      <c r="N42" s="121">
        <f t="shared" si="12"/>
        <v>0.16616207316466405</v>
      </c>
      <c r="O42" s="121">
        <f t="shared" si="12"/>
        <v>0.15860925165717929</v>
      </c>
      <c r="P42" s="121">
        <f t="shared" si="12"/>
        <v>0.15105643014969455</v>
      </c>
      <c r="Q42" s="121">
        <f t="shared" si="12"/>
        <v>0.14350360864220985</v>
      </c>
      <c r="R42" s="121">
        <f t="shared" si="12"/>
        <v>0.13595078713472511</v>
      </c>
      <c r="S42" s="121">
        <f t="shared" si="12"/>
        <v>0.12839796562724037</v>
      </c>
      <c r="T42" s="121">
        <f t="shared" si="12"/>
        <v>0.12084514411975567</v>
      </c>
      <c r="U42" s="121">
        <f t="shared" si="12"/>
        <v>0.11329232261227094</v>
      </c>
      <c r="V42" s="121">
        <f t="shared" si="12"/>
        <v>0.10573950110478621</v>
      </c>
      <c r="W42" s="121">
        <f t="shared" si="12"/>
        <v>9.8186679597301471E-2</v>
      </c>
      <c r="X42" s="121">
        <f t="shared" si="12"/>
        <v>9.0633858089816749E-2</v>
      </c>
      <c r="Y42" s="121">
        <f t="shared" ref="Y42:AJ47" si="13">Y$41</f>
        <v>8.3081036582332027E-2</v>
      </c>
      <c r="Z42" s="121">
        <f t="shared" si="13"/>
        <v>7.5528215074847277E-2</v>
      </c>
      <c r="AA42" s="121">
        <f t="shared" si="13"/>
        <v>6.7975393567362555E-2</v>
      </c>
      <c r="AB42" s="121">
        <f t="shared" si="13"/>
        <v>6.0422572059877833E-2</v>
      </c>
      <c r="AC42" s="121">
        <f t="shared" si="13"/>
        <v>5.2869750552393104E-2</v>
      </c>
      <c r="AD42" s="121">
        <f t="shared" si="13"/>
        <v>4.5316929044908374E-2</v>
      </c>
      <c r="AE42" s="121">
        <f t="shared" si="13"/>
        <v>3.7764107537423638E-2</v>
      </c>
      <c r="AF42" s="121">
        <f t="shared" si="13"/>
        <v>3.0211286029938916E-2</v>
      </c>
      <c r="AG42" s="121">
        <f t="shared" si="13"/>
        <v>2.2658464522454187E-2</v>
      </c>
      <c r="AH42" s="121">
        <f t="shared" si="13"/>
        <v>1.5105643014969458E-2</v>
      </c>
      <c r="AI42" s="121">
        <f t="shared" si="13"/>
        <v>7.5528215074847291E-3</v>
      </c>
      <c r="AJ42" s="121">
        <f t="shared" si="13"/>
        <v>0</v>
      </c>
    </row>
    <row r="43" spans="1:36">
      <c r="B43" s="117" t="s">
        <v>173</v>
      </c>
      <c r="C43" s="122"/>
      <c r="E43" s="117"/>
      <c r="F43" s="121"/>
      <c r="H43" s="35" t="s">
        <v>15</v>
      </c>
      <c r="I43" s="121">
        <f t="shared" si="12"/>
        <v>0.20392618070208768</v>
      </c>
      <c r="J43" s="121">
        <f t="shared" si="12"/>
        <v>0.19637335919460294</v>
      </c>
      <c r="K43" s="121">
        <f t="shared" si="12"/>
        <v>0.18882053768711823</v>
      </c>
      <c r="L43" s="121">
        <f t="shared" si="12"/>
        <v>0.1812677161796335</v>
      </c>
      <c r="M43" s="121">
        <f t="shared" si="12"/>
        <v>0.17371489467214876</v>
      </c>
      <c r="N43" s="121">
        <f t="shared" si="12"/>
        <v>0.16616207316466405</v>
      </c>
      <c r="O43" s="121">
        <f t="shared" si="12"/>
        <v>0.15860925165717929</v>
      </c>
      <c r="P43" s="121">
        <f t="shared" si="12"/>
        <v>0.15105643014969455</v>
      </c>
      <c r="Q43" s="121">
        <f t="shared" si="12"/>
        <v>0.14350360864220985</v>
      </c>
      <c r="R43" s="121">
        <f t="shared" si="12"/>
        <v>0.13595078713472511</v>
      </c>
      <c r="S43" s="121">
        <f t="shared" si="12"/>
        <v>0.12839796562724037</v>
      </c>
      <c r="T43" s="121">
        <f t="shared" si="12"/>
        <v>0.12084514411975567</v>
      </c>
      <c r="U43" s="121">
        <f t="shared" si="12"/>
        <v>0.11329232261227094</v>
      </c>
      <c r="V43" s="121">
        <f t="shared" si="12"/>
        <v>0.10573950110478621</v>
      </c>
      <c r="W43" s="121">
        <f t="shared" si="12"/>
        <v>9.8186679597301471E-2</v>
      </c>
      <c r="X43" s="121">
        <f t="shared" si="12"/>
        <v>9.0633858089816749E-2</v>
      </c>
      <c r="Y43" s="121">
        <f t="shared" si="13"/>
        <v>8.3081036582332027E-2</v>
      </c>
      <c r="Z43" s="121">
        <f t="shared" si="13"/>
        <v>7.5528215074847277E-2</v>
      </c>
      <c r="AA43" s="121">
        <f t="shared" si="13"/>
        <v>6.7975393567362555E-2</v>
      </c>
      <c r="AB43" s="121">
        <f t="shared" si="13"/>
        <v>6.0422572059877833E-2</v>
      </c>
      <c r="AC43" s="121">
        <f t="shared" si="13"/>
        <v>5.2869750552393104E-2</v>
      </c>
      <c r="AD43" s="121">
        <f t="shared" si="13"/>
        <v>4.5316929044908374E-2</v>
      </c>
      <c r="AE43" s="121">
        <f t="shared" si="13"/>
        <v>3.7764107537423638E-2</v>
      </c>
      <c r="AF43" s="121">
        <f t="shared" si="13"/>
        <v>3.0211286029938916E-2</v>
      </c>
      <c r="AG43" s="121">
        <f t="shared" si="13"/>
        <v>2.2658464522454187E-2</v>
      </c>
      <c r="AH43" s="121">
        <f t="shared" si="13"/>
        <v>1.5105643014969458E-2</v>
      </c>
      <c r="AI43" s="121">
        <f t="shared" si="13"/>
        <v>7.5528215074847291E-3</v>
      </c>
      <c r="AJ43" s="121">
        <f t="shared" si="13"/>
        <v>0</v>
      </c>
    </row>
    <row r="44" spans="1:36">
      <c r="B44" s="117" t="s">
        <v>173</v>
      </c>
      <c r="C44" s="122"/>
      <c r="E44" s="117"/>
      <c r="F44" s="121"/>
      <c r="H44" s="35" t="s">
        <v>19</v>
      </c>
      <c r="I44" s="121">
        <f t="shared" si="12"/>
        <v>0.20392618070208768</v>
      </c>
      <c r="J44" s="121">
        <f t="shared" si="12"/>
        <v>0.19637335919460294</v>
      </c>
      <c r="K44" s="121">
        <f t="shared" si="12"/>
        <v>0.18882053768711823</v>
      </c>
      <c r="L44" s="121">
        <f t="shared" si="12"/>
        <v>0.1812677161796335</v>
      </c>
      <c r="M44" s="121">
        <f t="shared" si="12"/>
        <v>0.17371489467214876</v>
      </c>
      <c r="N44" s="121">
        <f t="shared" si="12"/>
        <v>0.16616207316466405</v>
      </c>
      <c r="O44" s="121">
        <f t="shared" si="12"/>
        <v>0.15860925165717929</v>
      </c>
      <c r="P44" s="121">
        <f t="shared" si="12"/>
        <v>0.15105643014969455</v>
      </c>
      <c r="Q44" s="121">
        <f t="shared" si="12"/>
        <v>0.14350360864220985</v>
      </c>
      <c r="R44" s="121">
        <f t="shared" si="12"/>
        <v>0.13595078713472511</v>
      </c>
      <c r="S44" s="121">
        <f t="shared" si="12"/>
        <v>0.12839796562724037</v>
      </c>
      <c r="T44" s="121">
        <f t="shared" si="12"/>
        <v>0.12084514411975567</v>
      </c>
      <c r="U44" s="121">
        <f t="shared" si="12"/>
        <v>0.11329232261227094</v>
      </c>
      <c r="V44" s="121">
        <f t="shared" si="12"/>
        <v>0.10573950110478621</v>
      </c>
      <c r="W44" s="121">
        <f t="shared" si="12"/>
        <v>9.8186679597301471E-2</v>
      </c>
      <c r="X44" s="121">
        <f t="shared" si="12"/>
        <v>9.0633858089816749E-2</v>
      </c>
      <c r="Y44" s="121">
        <f t="shared" si="13"/>
        <v>8.3081036582332027E-2</v>
      </c>
      <c r="Z44" s="121">
        <f t="shared" si="13"/>
        <v>7.5528215074847277E-2</v>
      </c>
      <c r="AA44" s="121">
        <f t="shared" si="13"/>
        <v>6.7975393567362555E-2</v>
      </c>
      <c r="AB44" s="121">
        <f t="shared" si="13"/>
        <v>6.0422572059877833E-2</v>
      </c>
      <c r="AC44" s="121">
        <f t="shared" si="13"/>
        <v>5.2869750552393104E-2</v>
      </c>
      <c r="AD44" s="121">
        <f t="shared" si="13"/>
        <v>4.5316929044908374E-2</v>
      </c>
      <c r="AE44" s="121">
        <f t="shared" si="13"/>
        <v>3.7764107537423638E-2</v>
      </c>
      <c r="AF44" s="121">
        <f t="shared" si="13"/>
        <v>3.0211286029938916E-2</v>
      </c>
      <c r="AG44" s="121">
        <f t="shared" si="13"/>
        <v>2.2658464522454187E-2</v>
      </c>
      <c r="AH44" s="121">
        <f t="shared" si="13"/>
        <v>1.5105643014969458E-2</v>
      </c>
      <c r="AI44" s="121">
        <f t="shared" si="13"/>
        <v>7.5528215074847291E-3</v>
      </c>
      <c r="AJ44" s="121">
        <f t="shared" si="13"/>
        <v>0</v>
      </c>
    </row>
    <row r="45" spans="1:36">
      <c r="B45" s="117" t="s">
        <v>173</v>
      </c>
      <c r="C45" s="122"/>
      <c r="E45" s="117"/>
      <c r="F45" s="121"/>
      <c r="H45" s="35" t="s">
        <v>22</v>
      </c>
      <c r="I45" s="121">
        <f t="shared" si="12"/>
        <v>0.20392618070208768</v>
      </c>
      <c r="J45" s="121">
        <f t="shared" si="12"/>
        <v>0.19637335919460294</v>
      </c>
      <c r="K45" s="121">
        <f t="shared" si="12"/>
        <v>0.18882053768711823</v>
      </c>
      <c r="L45" s="121">
        <f t="shared" si="12"/>
        <v>0.1812677161796335</v>
      </c>
      <c r="M45" s="121">
        <f t="shared" si="12"/>
        <v>0.17371489467214876</v>
      </c>
      <c r="N45" s="121">
        <f t="shared" si="12"/>
        <v>0.16616207316466405</v>
      </c>
      <c r="O45" s="121">
        <f t="shared" si="12"/>
        <v>0.15860925165717929</v>
      </c>
      <c r="P45" s="121">
        <f t="shared" si="12"/>
        <v>0.15105643014969455</v>
      </c>
      <c r="Q45" s="121">
        <f t="shared" si="12"/>
        <v>0.14350360864220985</v>
      </c>
      <c r="R45" s="121">
        <f t="shared" si="12"/>
        <v>0.13595078713472511</v>
      </c>
      <c r="S45" s="121">
        <f t="shared" si="12"/>
        <v>0.12839796562724037</v>
      </c>
      <c r="T45" s="121">
        <f t="shared" si="12"/>
        <v>0.12084514411975567</v>
      </c>
      <c r="U45" s="121">
        <f t="shared" si="12"/>
        <v>0.11329232261227094</v>
      </c>
      <c r="V45" s="121">
        <f t="shared" si="12"/>
        <v>0.10573950110478621</v>
      </c>
      <c r="W45" s="121">
        <f t="shared" si="12"/>
        <v>9.8186679597301471E-2</v>
      </c>
      <c r="X45" s="121">
        <f t="shared" si="12"/>
        <v>9.0633858089816749E-2</v>
      </c>
      <c r="Y45" s="121">
        <f t="shared" si="13"/>
        <v>8.3081036582332027E-2</v>
      </c>
      <c r="Z45" s="121">
        <f t="shared" si="13"/>
        <v>7.5528215074847277E-2</v>
      </c>
      <c r="AA45" s="121">
        <f t="shared" si="13"/>
        <v>6.7975393567362555E-2</v>
      </c>
      <c r="AB45" s="121">
        <f t="shared" si="13"/>
        <v>6.0422572059877833E-2</v>
      </c>
      <c r="AC45" s="121">
        <f t="shared" si="13"/>
        <v>5.2869750552393104E-2</v>
      </c>
      <c r="AD45" s="121">
        <f t="shared" si="13"/>
        <v>4.5316929044908374E-2</v>
      </c>
      <c r="AE45" s="121">
        <f t="shared" si="13"/>
        <v>3.7764107537423638E-2</v>
      </c>
      <c r="AF45" s="121">
        <f t="shared" si="13"/>
        <v>3.0211286029938916E-2</v>
      </c>
      <c r="AG45" s="121">
        <f t="shared" si="13"/>
        <v>2.2658464522454187E-2</v>
      </c>
      <c r="AH45" s="121">
        <f t="shared" si="13"/>
        <v>1.5105643014969458E-2</v>
      </c>
      <c r="AI45" s="121">
        <f t="shared" si="13"/>
        <v>7.5528215074847291E-3</v>
      </c>
      <c r="AJ45" s="121">
        <f t="shared" si="13"/>
        <v>0</v>
      </c>
    </row>
    <row r="46" spans="1:36">
      <c r="B46" s="117" t="s">
        <v>173</v>
      </c>
      <c r="C46" s="122"/>
      <c r="E46" s="117"/>
      <c r="F46" s="121"/>
      <c r="H46" s="35" t="s">
        <v>24</v>
      </c>
      <c r="I46" s="121">
        <f t="shared" si="12"/>
        <v>0.20392618070208768</v>
      </c>
      <c r="J46" s="121">
        <f t="shared" si="12"/>
        <v>0.19637335919460294</v>
      </c>
      <c r="K46" s="121">
        <f t="shared" si="12"/>
        <v>0.18882053768711823</v>
      </c>
      <c r="L46" s="121">
        <f t="shared" si="12"/>
        <v>0.1812677161796335</v>
      </c>
      <c r="M46" s="121">
        <f t="shared" si="12"/>
        <v>0.17371489467214876</v>
      </c>
      <c r="N46" s="121">
        <f t="shared" si="12"/>
        <v>0.16616207316466405</v>
      </c>
      <c r="O46" s="121">
        <f t="shared" si="12"/>
        <v>0.15860925165717929</v>
      </c>
      <c r="P46" s="121">
        <f t="shared" si="12"/>
        <v>0.15105643014969455</v>
      </c>
      <c r="Q46" s="121">
        <f t="shared" si="12"/>
        <v>0.14350360864220985</v>
      </c>
      <c r="R46" s="121">
        <f t="shared" si="12"/>
        <v>0.13595078713472511</v>
      </c>
      <c r="S46" s="121">
        <f t="shared" si="12"/>
        <v>0.12839796562724037</v>
      </c>
      <c r="T46" s="121">
        <f t="shared" si="12"/>
        <v>0.12084514411975567</v>
      </c>
      <c r="U46" s="121">
        <f t="shared" si="12"/>
        <v>0.11329232261227094</v>
      </c>
      <c r="V46" s="121">
        <f t="shared" si="12"/>
        <v>0.10573950110478621</v>
      </c>
      <c r="W46" s="121">
        <f t="shared" si="12"/>
        <v>9.8186679597301471E-2</v>
      </c>
      <c r="X46" s="121">
        <f t="shared" si="12"/>
        <v>9.0633858089816749E-2</v>
      </c>
      <c r="Y46" s="121">
        <f t="shared" si="13"/>
        <v>8.3081036582332027E-2</v>
      </c>
      <c r="Z46" s="121">
        <f t="shared" si="13"/>
        <v>7.5528215074847277E-2</v>
      </c>
      <c r="AA46" s="121">
        <f t="shared" si="13"/>
        <v>6.7975393567362555E-2</v>
      </c>
      <c r="AB46" s="121">
        <f t="shared" si="13"/>
        <v>6.0422572059877833E-2</v>
      </c>
      <c r="AC46" s="121">
        <f t="shared" si="13"/>
        <v>5.2869750552393104E-2</v>
      </c>
      <c r="AD46" s="121">
        <f t="shared" si="13"/>
        <v>4.5316929044908374E-2</v>
      </c>
      <c r="AE46" s="121">
        <f t="shared" si="13"/>
        <v>3.7764107537423638E-2</v>
      </c>
      <c r="AF46" s="121">
        <f t="shared" si="13"/>
        <v>3.0211286029938916E-2</v>
      </c>
      <c r="AG46" s="121">
        <f t="shared" si="13"/>
        <v>2.2658464522454187E-2</v>
      </c>
      <c r="AH46" s="121">
        <f t="shared" si="13"/>
        <v>1.5105643014969458E-2</v>
      </c>
      <c r="AI46" s="121">
        <f t="shared" si="13"/>
        <v>7.5528215074847291E-3</v>
      </c>
      <c r="AJ46" s="121">
        <f t="shared" si="13"/>
        <v>0</v>
      </c>
    </row>
    <row r="47" spans="1:36">
      <c r="B47" s="117" t="s">
        <v>173</v>
      </c>
      <c r="C47" s="122"/>
      <c r="E47" s="117"/>
      <c r="F47" s="121"/>
      <c r="H47" s="35" t="s">
        <v>25</v>
      </c>
      <c r="I47" s="121">
        <f t="shared" si="12"/>
        <v>0.20392618070208768</v>
      </c>
      <c r="J47" s="121">
        <f t="shared" si="12"/>
        <v>0.19637335919460294</v>
      </c>
      <c r="K47" s="121">
        <f t="shared" si="12"/>
        <v>0.18882053768711823</v>
      </c>
      <c r="L47" s="121">
        <f t="shared" si="12"/>
        <v>0.1812677161796335</v>
      </c>
      <c r="M47" s="121">
        <f t="shared" si="12"/>
        <v>0.17371489467214876</v>
      </c>
      <c r="N47" s="121">
        <f t="shared" si="12"/>
        <v>0.16616207316466405</v>
      </c>
      <c r="O47" s="121">
        <f t="shared" si="12"/>
        <v>0.15860925165717929</v>
      </c>
      <c r="P47" s="121">
        <f t="shared" si="12"/>
        <v>0.15105643014969455</v>
      </c>
      <c r="Q47" s="121">
        <f t="shared" si="12"/>
        <v>0.14350360864220985</v>
      </c>
      <c r="R47" s="121">
        <f t="shared" si="12"/>
        <v>0.13595078713472511</v>
      </c>
      <c r="S47" s="121">
        <f t="shared" si="12"/>
        <v>0.12839796562724037</v>
      </c>
      <c r="T47" s="121">
        <f t="shared" si="12"/>
        <v>0.12084514411975567</v>
      </c>
      <c r="U47" s="121">
        <f t="shared" si="12"/>
        <v>0.11329232261227094</v>
      </c>
      <c r="V47" s="121">
        <f t="shared" si="12"/>
        <v>0.10573950110478621</v>
      </c>
      <c r="W47" s="121">
        <f t="shared" si="12"/>
        <v>9.8186679597301471E-2</v>
      </c>
      <c r="X47" s="121">
        <f t="shared" si="12"/>
        <v>9.0633858089816749E-2</v>
      </c>
      <c r="Y47" s="121">
        <f t="shared" si="13"/>
        <v>8.3081036582332027E-2</v>
      </c>
      <c r="Z47" s="121">
        <f t="shared" si="13"/>
        <v>7.5528215074847277E-2</v>
      </c>
      <c r="AA47" s="121">
        <f t="shared" si="13"/>
        <v>6.7975393567362555E-2</v>
      </c>
      <c r="AB47" s="121">
        <f t="shared" si="13"/>
        <v>6.0422572059877833E-2</v>
      </c>
      <c r="AC47" s="121">
        <f t="shared" si="13"/>
        <v>5.2869750552393104E-2</v>
      </c>
      <c r="AD47" s="121">
        <f t="shared" si="13"/>
        <v>4.5316929044908374E-2</v>
      </c>
      <c r="AE47" s="121">
        <f t="shared" si="13"/>
        <v>3.7764107537423638E-2</v>
      </c>
      <c r="AF47" s="121">
        <f t="shared" si="13"/>
        <v>3.0211286029938916E-2</v>
      </c>
      <c r="AG47" s="121">
        <f t="shared" si="13"/>
        <v>2.2658464522454187E-2</v>
      </c>
      <c r="AH47" s="121">
        <f t="shared" si="13"/>
        <v>1.5105643014969458E-2</v>
      </c>
      <c r="AI47" s="121">
        <f t="shared" si="13"/>
        <v>7.5528215074847291E-3</v>
      </c>
      <c r="AJ47" s="121">
        <f t="shared" si="13"/>
        <v>0</v>
      </c>
    </row>
    <row r="48" spans="1:36">
      <c r="B48" s="117" t="s">
        <v>173</v>
      </c>
      <c r="C48" s="122"/>
      <c r="E48" s="117"/>
      <c r="F48" s="121"/>
      <c r="H48" s="117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</row>
    <row r="49" spans="2:36">
      <c r="B49" s="117" t="s">
        <v>173</v>
      </c>
      <c r="C49" s="122"/>
      <c r="E49" s="117"/>
      <c r="F49" s="121"/>
      <c r="H49" s="117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</row>
    <row r="50" spans="2:36">
      <c r="B50" s="117" t="s">
        <v>173</v>
      </c>
      <c r="C50" s="122"/>
      <c r="E50" s="117"/>
      <c r="F50" s="121"/>
      <c r="H50" s="117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</row>
    <row r="51" spans="2:36"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</row>
    <row r="52" spans="2:36">
      <c r="B52" s="113" t="s">
        <v>41</v>
      </c>
      <c r="E52" s="113" t="s">
        <v>65</v>
      </c>
      <c r="H52" s="113" t="s">
        <v>68</v>
      </c>
      <c r="I52" s="115">
        <v>2023</v>
      </c>
      <c r="J52" s="115">
        <v>2024</v>
      </c>
      <c r="K52" s="115">
        <v>2025</v>
      </c>
      <c r="L52" s="115">
        <v>2026</v>
      </c>
      <c r="M52" s="115">
        <v>2027</v>
      </c>
      <c r="N52" s="115">
        <v>2028</v>
      </c>
      <c r="O52" s="115">
        <v>2029</v>
      </c>
      <c r="P52" s="115">
        <v>2030</v>
      </c>
      <c r="Q52" s="115">
        <v>2031</v>
      </c>
      <c r="R52" s="115">
        <v>2032</v>
      </c>
      <c r="S52" s="115">
        <v>2033</v>
      </c>
      <c r="T52" s="115">
        <v>2034</v>
      </c>
      <c r="U52" s="115">
        <v>2035</v>
      </c>
      <c r="V52" s="115">
        <v>2036</v>
      </c>
      <c r="W52" s="115">
        <v>2037</v>
      </c>
      <c r="X52" s="115">
        <v>2038</v>
      </c>
      <c r="Y52" s="115">
        <v>2039</v>
      </c>
      <c r="Z52" s="115">
        <v>2040</v>
      </c>
      <c r="AA52" s="115">
        <v>2041</v>
      </c>
      <c r="AB52" s="115">
        <v>2042</v>
      </c>
      <c r="AC52" s="115">
        <v>2043</v>
      </c>
      <c r="AD52" s="115">
        <v>2044</v>
      </c>
      <c r="AE52" s="115">
        <v>2045</v>
      </c>
      <c r="AF52" s="115">
        <v>2046</v>
      </c>
      <c r="AG52" s="115">
        <v>2047</v>
      </c>
      <c r="AH52" s="115">
        <v>2048</v>
      </c>
      <c r="AI52" s="115">
        <v>2049</v>
      </c>
      <c r="AJ52" s="115">
        <v>2050</v>
      </c>
    </row>
    <row r="53" spans="2:36">
      <c r="B53" s="117" t="s">
        <v>8</v>
      </c>
      <c r="C53" s="80">
        <f>'3.Input data Bharat Petroleum'!E8</f>
        <v>34129</v>
      </c>
      <c r="E53" s="117"/>
      <c r="F53" s="121"/>
      <c r="H53" s="117" t="s">
        <v>8</v>
      </c>
      <c r="I53" s="121">
        <f>I137</f>
        <v>10.684819934898</v>
      </c>
      <c r="J53" s="121">
        <f t="shared" ref="J53:AJ53" si="14">J137</f>
        <v>10.522418050588</v>
      </c>
      <c r="K53" s="121">
        <f t="shared" si="14"/>
        <v>10.360016166277999</v>
      </c>
      <c r="L53" s="121">
        <f t="shared" si="14"/>
        <v>10.197614281968001</v>
      </c>
      <c r="M53" s="121">
        <f t="shared" si="14"/>
        <v>10.048064596531201</v>
      </c>
      <c r="N53" s="121">
        <f t="shared" si="14"/>
        <v>9.8985149110944022</v>
      </c>
      <c r="O53" s="121">
        <f t="shared" si="14"/>
        <v>9.7489652256576029</v>
      </c>
      <c r="P53" s="121">
        <f t="shared" si="14"/>
        <v>9.5994155402208037</v>
      </c>
      <c r="Q53" s="121">
        <f t="shared" si="14"/>
        <v>9.4498658547840009</v>
      </c>
      <c r="R53" s="121">
        <f t="shared" si="14"/>
        <v>9.3289080907968014</v>
      </c>
      <c r="S53" s="121">
        <f t="shared" si="14"/>
        <v>9.2079503268096019</v>
      </c>
      <c r="T53" s="121">
        <f t="shared" si="14"/>
        <v>9.0869925628224024</v>
      </c>
      <c r="U53" s="121">
        <f t="shared" si="14"/>
        <v>8.9660347988352029</v>
      </c>
      <c r="V53" s="121">
        <f t="shared" si="14"/>
        <v>8.8450770348480017</v>
      </c>
      <c r="W53" s="121">
        <f t="shared" si="14"/>
        <v>8.7615659120004015</v>
      </c>
      <c r="X53" s="121">
        <f t="shared" si="14"/>
        <v>8.6780547891528013</v>
      </c>
      <c r="Y53" s="121">
        <f t="shared" si="14"/>
        <v>8.5945436663052011</v>
      </c>
      <c r="Z53" s="121">
        <f t="shared" si="14"/>
        <v>8.5110325434576009</v>
      </c>
      <c r="AA53" s="121">
        <f t="shared" si="14"/>
        <v>8.4275214206099971</v>
      </c>
      <c r="AB53" s="121">
        <f t="shared" si="14"/>
        <v>8.3774795319675981</v>
      </c>
      <c r="AC53" s="121">
        <f t="shared" si="14"/>
        <v>8.3274376433251991</v>
      </c>
      <c r="AD53" s="121">
        <f t="shared" si="14"/>
        <v>8.2773957546828001</v>
      </c>
      <c r="AE53" s="121">
        <f t="shared" si="14"/>
        <v>8.2273538660404011</v>
      </c>
      <c r="AF53" s="121">
        <f t="shared" si="14"/>
        <v>8.1773119773979985</v>
      </c>
      <c r="AG53" s="121">
        <f t="shared" si="14"/>
        <v>8.156843246297198</v>
      </c>
      <c r="AH53" s="121">
        <f t="shared" si="14"/>
        <v>8.1363745151963975</v>
      </c>
      <c r="AI53" s="121">
        <f t="shared" si="14"/>
        <v>8.115905784095597</v>
      </c>
      <c r="AJ53" s="121">
        <f t="shared" si="14"/>
        <v>8.0954370529947965</v>
      </c>
    </row>
    <row r="54" spans="2:36">
      <c r="B54" s="117" t="s">
        <v>173</v>
      </c>
      <c r="C54" s="122"/>
      <c r="E54" s="117"/>
      <c r="F54" s="121"/>
      <c r="H54" s="35" t="s">
        <v>12</v>
      </c>
      <c r="I54" s="121">
        <f t="shared" ref="I54:AJ59" si="15">I138</f>
        <v>25.0414200753724</v>
      </c>
      <c r="J54" s="121">
        <f t="shared" si="15"/>
        <v>32.057318261299599</v>
      </c>
      <c r="K54" s="121">
        <f t="shared" si="15"/>
        <v>39.073216447226798</v>
      </c>
      <c r="L54" s="121">
        <f t="shared" si="15"/>
        <v>46.089114633153997</v>
      </c>
      <c r="M54" s="121">
        <f t="shared" si="15"/>
        <v>48.072200152634402</v>
      </c>
      <c r="N54" s="121">
        <f t="shared" si="15"/>
        <v>50.055285672114806</v>
      </c>
      <c r="O54" s="121">
        <f t="shared" si="15"/>
        <v>52.038371191595211</v>
      </c>
      <c r="P54" s="121">
        <f t="shared" si="15"/>
        <v>54.021456711075615</v>
      </c>
      <c r="Q54" s="121">
        <f t="shared" si="15"/>
        <v>56.004542230556012</v>
      </c>
      <c r="R54" s="121">
        <f t="shared" si="15"/>
        <v>58.561105124668011</v>
      </c>
      <c r="S54" s="121">
        <f t="shared" si="15"/>
        <v>61.117668018780009</v>
      </c>
      <c r="T54" s="121">
        <f t="shared" si="15"/>
        <v>63.674230912892007</v>
      </c>
      <c r="U54" s="121">
        <f t="shared" si="15"/>
        <v>66.230793807004005</v>
      </c>
      <c r="V54" s="121">
        <f t="shared" si="15"/>
        <v>68.787356701116011</v>
      </c>
      <c r="W54" s="121">
        <f t="shared" si="15"/>
        <v>71.680261317830414</v>
      </c>
      <c r="X54" s="121">
        <f t="shared" si="15"/>
        <v>74.573165934544818</v>
      </c>
      <c r="Y54" s="121">
        <f t="shared" si="15"/>
        <v>77.466070551259222</v>
      </c>
      <c r="Z54" s="121">
        <f t="shared" si="15"/>
        <v>80.358975167973625</v>
      </c>
      <c r="AA54" s="121">
        <f t="shared" si="15"/>
        <v>83.251879784688001</v>
      </c>
      <c r="AB54" s="121">
        <f t="shared" si="15"/>
        <v>86.7434979985468</v>
      </c>
      <c r="AC54" s="121">
        <f t="shared" si="15"/>
        <v>90.2351162124056</v>
      </c>
      <c r="AD54" s="121">
        <f t="shared" si="15"/>
        <v>93.7267344262644</v>
      </c>
      <c r="AE54" s="121">
        <f t="shared" si="15"/>
        <v>97.2183526401232</v>
      </c>
      <c r="AF54" s="121">
        <f t="shared" si="15"/>
        <v>100.709970853982</v>
      </c>
      <c r="AG54" s="121">
        <f t="shared" si="15"/>
        <v>104.9548035272808</v>
      </c>
      <c r="AH54" s="121">
        <f t="shared" si="15"/>
        <v>109.1996362005796</v>
      </c>
      <c r="AI54" s="121">
        <f t="shared" si="15"/>
        <v>113.44446887387841</v>
      </c>
      <c r="AJ54" s="121">
        <f t="shared" si="15"/>
        <v>117.68930154717721</v>
      </c>
    </row>
    <row r="55" spans="2:36">
      <c r="B55" s="117" t="s">
        <v>173</v>
      </c>
      <c r="C55" s="122"/>
      <c r="E55" s="117"/>
      <c r="F55" s="121"/>
      <c r="H55" s="35" t="s">
        <v>15</v>
      </c>
      <c r="I55" s="121">
        <f t="shared" si="15"/>
        <v>10.684819934898</v>
      </c>
      <c r="J55" s="121">
        <f t="shared" si="15"/>
        <v>10.522418050588</v>
      </c>
      <c r="K55" s="121">
        <f t="shared" si="15"/>
        <v>10.360016166277999</v>
      </c>
      <c r="L55" s="121">
        <f t="shared" si="15"/>
        <v>10.197614281968001</v>
      </c>
      <c r="M55" s="121">
        <f t="shared" si="15"/>
        <v>10.048064596531201</v>
      </c>
      <c r="N55" s="121">
        <f t="shared" si="15"/>
        <v>9.8985149110944022</v>
      </c>
      <c r="O55" s="121">
        <f t="shared" si="15"/>
        <v>9.7489652256576029</v>
      </c>
      <c r="P55" s="121">
        <f t="shared" si="15"/>
        <v>9.5994155402208037</v>
      </c>
      <c r="Q55" s="121">
        <f t="shared" si="15"/>
        <v>9.4498658547840009</v>
      </c>
      <c r="R55" s="121">
        <f t="shared" si="15"/>
        <v>9.3289080907968014</v>
      </c>
      <c r="S55" s="121">
        <f t="shared" si="15"/>
        <v>9.2079503268096019</v>
      </c>
      <c r="T55" s="121">
        <f t="shared" si="15"/>
        <v>9.0869925628224024</v>
      </c>
      <c r="U55" s="121">
        <f t="shared" si="15"/>
        <v>8.9660347988352029</v>
      </c>
      <c r="V55" s="121">
        <f t="shared" si="15"/>
        <v>8.8450770348480017</v>
      </c>
      <c r="W55" s="121">
        <f t="shared" si="15"/>
        <v>8.7615659120004015</v>
      </c>
      <c r="X55" s="121">
        <f t="shared" si="15"/>
        <v>8.6780547891528013</v>
      </c>
      <c r="Y55" s="121">
        <f t="shared" si="15"/>
        <v>8.5945436663052011</v>
      </c>
      <c r="Z55" s="121">
        <f t="shared" si="15"/>
        <v>8.5110325434576009</v>
      </c>
      <c r="AA55" s="121">
        <f t="shared" si="15"/>
        <v>8.4275214206099971</v>
      </c>
      <c r="AB55" s="121">
        <f t="shared" si="15"/>
        <v>8.3774795319675981</v>
      </c>
      <c r="AC55" s="121">
        <f t="shared" si="15"/>
        <v>8.3274376433251991</v>
      </c>
      <c r="AD55" s="121">
        <f t="shared" si="15"/>
        <v>8.2773957546828001</v>
      </c>
      <c r="AE55" s="121">
        <f t="shared" si="15"/>
        <v>8.2273538660404011</v>
      </c>
      <c r="AF55" s="121">
        <f t="shared" si="15"/>
        <v>8.1773119773979985</v>
      </c>
      <c r="AG55" s="121">
        <f t="shared" si="15"/>
        <v>8.156843246297198</v>
      </c>
      <c r="AH55" s="121">
        <f t="shared" si="15"/>
        <v>8.1363745151963975</v>
      </c>
      <c r="AI55" s="121">
        <f t="shared" si="15"/>
        <v>8.115905784095597</v>
      </c>
      <c r="AJ55" s="121">
        <f t="shared" si="15"/>
        <v>8.0954370529947965</v>
      </c>
    </row>
    <row r="56" spans="2:36">
      <c r="B56" s="117" t="s">
        <v>173</v>
      </c>
      <c r="C56" s="122"/>
      <c r="E56" s="117"/>
      <c r="F56" s="121"/>
      <c r="H56" s="35" t="s">
        <v>19</v>
      </c>
      <c r="I56" s="121">
        <f t="shared" si="15"/>
        <v>10.683416029531601</v>
      </c>
      <c r="J56" s="121">
        <f t="shared" si="15"/>
        <v>10.520312192538402</v>
      </c>
      <c r="K56" s="121">
        <f t="shared" si="15"/>
        <v>10.357208355545202</v>
      </c>
      <c r="L56" s="121">
        <f t="shared" si="15"/>
        <v>10.194104518552001</v>
      </c>
      <c r="M56" s="121">
        <f t="shared" si="15"/>
        <v>10.044331579195601</v>
      </c>
      <c r="N56" s="121">
        <f t="shared" si="15"/>
        <v>9.894558639839202</v>
      </c>
      <c r="O56" s="121">
        <f t="shared" si="15"/>
        <v>9.7447857004828027</v>
      </c>
      <c r="P56" s="121">
        <f t="shared" si="15"/>
        <v>9.5950127611264033</v>
      </c>
      <c r="Q56" s="121">
        <f t="shared" si="15"/>
        <v>9.4452398217700004</v>
      </c>
      <c r="R56" s="121">
        <f t="shared" si="15"/>
        <v>32.6149095809008</v>
      </c>
      <c r="S56" s="121">
        <f t="shared" si="15"/>
        <v>55.784579340031598</v>
      </c>
      <c r="T56" s="121">
        <f t="shared" si="15"/>
        <v>78.954249099162396</v>
      </c>
      <c r="U56" s="121">
        <f t="shared" si="15"/>
        <v>102.12391885829319</v>
      </c>
      <c r="V56" s="121">
        <f t="shared" si="15"/>
        <v>125.29358861742401</v>
      </c>
      <c r="W56" s="121">
        <f t="shared" si="15"/>
        <v>137.87139825438243</v>
      </c>
      <c r="X56" s="121">
        <f t="shared" si="15"/>
        <v>150.44920789134085</v>
      </c>
      <c r="Y56" s="121">
        <f t="shared" si="15"/>
        <v>163.02701752829927</v>
      </c>
      <c r="Z56" s="121">
        <f t="shared" si="15"/>
        <v>175.60482716525769</v>
      </c>
      <c r="AA56" s="121">
        <f t="shared" si="15"/>
        <v>188.18263680221611</v>
      </c>
      <c r="AB56" s="121">
        <f t="shared" si="15"/>
        <v>202.39666240802129</v>
      </c>
      <c r="AC56" s="121">
        <f t="shared" si="15"/>
        <v>216.61068801382646</v>
      </c>
      <c r="AD56" s="121">
        <f t="shared" si="15"/>
        <v>230.82471361963164</v>
      </c>
      <c r="AE56" s="121">
        <f t="shared" si="15"/>
        <v>245.03873922543681</v>
      </c>
      <c r="AF56" s="121">
        <f t="shared" si="15"/>
        <v>259.25276483124202</v>
      </c>
      <c r="AG56" s="121">
        <f t="shared" si="15"/>
        <v>274.66921805831521</v>
      </c>
      <c r="AH56" s="121">
        <f t="shared" si="15"/>
        <v>290.0856712853884</v>
      </c>
      <c r="AI56" s="121">
        <f t="shared" si="15"/>
        <v>305.50212451246159</v>
      </c>
      <c r="AJ56" s="121">
        <f t="shared" si="15"/>
        <v>320.91857773953478</v>
      </c>
    </row>
    <row r="57" spans="2:36">
      <c r="B57" s="117" t="s">
        <v>173</v>
      </c>
      <c r="C57" s="122"/>
      <c r="E57" s="117"/>
      <c r="F57" s="121"/>
      <c r="H57" s="35" t="s">
        <v>22</v>
      </c>
      <c r="I57" s="121">
        <f t="shared" si="15"/>
        <v>10.683416029531601</v>
      </c>
      <c r="J57" s="121">
        <f t="shared" si="15"/>
        <v>10.520312192538402</v>
      </c>
      <c r="K57" s="121">
        <f t="shared" si="15"/>
        <v>10.357208355545202</v>
      </c>
      <c r="L57" s="121">
        <f t="shared" si="15"/>
        <v>10.194104518552001</v>
      </c>
      <c r="M57" s="121">
        <f t="shared" si="15"/>
        <v>10.044331579195601</v>
      </c>
      <c r="N57" s="121">
        <f t="shared" si="15"/>
        <v>9.894558639839202</v>
      </c>
      <c r="O57" s="121">
        <f t="shared" si="15"/>
        <v>9.7447857004828027</v>
      </c>
      <c r="P57" s="121">
        <f t="shared" si="15"/>
        <v>9.5950127611264033</v>
      </c>
      <c r="Q57" s="121">
        <f t="shared" si="15"/>
        <v>9.4452398217700004</v>
      </c>
      <c r="R57" s="121">
        <f t="shared" si="15"/>
        <v>27.039689652890402</v>
      </c>
      <c r="S57" s="121">
        <f t="shared" si="15"/>
        <v>44.634139484010802</v>
      </c>
      <c r="T57" s="121">
        <f t="shared" si="15"/>
        <v>62.228589315131202</v>
      </c>
      <c r="U57" s="121">
        <f t="shared" si="15"/>
        <v>79.823039146251602</v>
      </c>
      <c r="V57" s="121">
        <f t="shared" si="15"/>
        <v>97.417488977372017</v>
      </c>
      <c r="W57" s="121">
        <f t="shared" si="15"/>
        <v>101.47175893300961</v>
      </c>
      <c r="X57" s="121">
        <f t="shared" si="15"/>
        <v>105.5260288886472</v>
      </c>
      <c r="Y57" s="121">
        <f t="shared" si="15"/>
        <v>109.5802988442848</v>
      </c>
      <c r="Z57" s="121">
        <f t="shared" si="15"/>
        <v>113.63456879992239</v>
      </c>
      <c r="AA57" s="121">
        <f t="shared" si="15"/>
        <v>117.68883875556</v>
      </c>
      <c r="AB57" s="121">
        <f t="shared" si="15"/>
        <v>121.4130372400912</v>
      </c>
      <c r="AC57" s="121">
        <f t="shared" si="15"/>
        <v>125.1372357246224</v>
      </c>
      <c r="AD57" s="121">
        <f t="shared" si="15"/>
        <v>128.8614342091536</v>
      </c>
      <c r="AE57" s="121">
        <f t="shared" si="15"/>
        <v>132.5856326936848</v>
      </c>
      <c r="AF57" s="121">
        <f t="shared" si="15"/>
        <v>136.309831178216</v>
      </c>
      <c r="AG57" s="121">
        <f t="shared" si="15"/>
        <v>139.9807007772028</v>
      </c>
      <c r="AH57" s="121">
        <f t="shared" si="15"/>
        <v>143.6515703761896</v>
      </c>
      <c r="AI57" s="121">
        <f t="shared" si="15"/>
        <v>147.32243997517639</v>
      </c>
      <c r="AJ57" s="121">
        <f t="shared" si="15"/>
        <v>150.99330957416319</v>
      </c>
    </row>
    <row r="58" spans="2:36">
      <c r="B58" s="117" t="s">
        <v>173</v>
      </c>
      <c r="C58" s="122"/>
      <c r="E58" s="117"/>
      <c r="F58" s="121"/>
      <c r="H58" s="35" t="s">
        <v>24</v>
      </c>
      <c r="I58" s="121">
        <f t="shared" si="15"/>
        <v>19.173481846293999</v>
      </c>
      <c r="J58" s="121">
        <f t="shared" si="15"/>
        <v>23.255410917681999</v>
      </c>
      <c r="K58" s="121">
        <f t="shared" si="15"/>
        <v>27.337339989069999</v>
      </c>
      <c r="L58" s="121">
        <f t="shared" si="15"/>
        <v>31.419269060457999</v>
      </c>
      <c r="M58" s="121">
        <f t="shared" si="15"/>
        <v>34.9382503797844</v>
      </c>
      <c r="N58" s="121">
        <f t="shared" si="15"/>
        <v>38.4572316991108</v>
      </c>
      <c r="O58" s="121">
        <f t="shared" si="15"/>
        <v>41.9762130184372</v>
      </c>
      <c r="P58" s="121">
        <f t="shared" si="15"/>
        <v>45.4951943377636</v>
      </c>
      <c r="Q58" s="121">
        <f t="shared" si="15"/>
        <v>49.014175657089993</v>
      </c>
      <c r="R58" s="121">
        <f t="shared" si="15"/>
        <v>49.260799456695992</v>
      </c>
      <c r="S58" s="121">
        <f t="shared" si="15"/>
        <v>49.50742325630199</v>
      </c>
      <c r="T58" s="121">
        <f t="shared" si="15"/>
        <v>49.754047055907989</v>
      </c>
      <c r="U58" s="121">
        <f t="shared" si="15"/>
        <v>50.000670855513988</v>
      </c>
      <c r="V58" s="121">
        <f t="shared" si="15"/>
        <v>50.247294655119987</v>
      </c>
      <c r="W58" s="121">
        <f t="shared" si="15"/>
        <v>50.783110597825988</v>
      </c>
      <c r="X58" s="121">
        <f t="shared" si="15"/>
        <v>51.31892654053199</v>
      </c>
      <c r="Y58" s="121">
        <f t="shared" si="15"/>
        <v>51.854742483237992</v>
      </c>
      <c r="Z58" s="121">
        <f t="shared" si="15"/>
        <v>52.390558425943993</v>
      </c>
      <c r="AA58" s="121">
        <f t="shared" si="15"/>
        <v>52.926374368650002</v>
      </c>
      <c r="AB58" s="121">
        <f t="shared" si="15"/>
        <v>53.642654937641602</v>
      </c>
      <c r="AC58" s="121">
        <f t="shared" si="15"/>
        <v>54.358935506633202</v>
      </c>
      <c r="AD58" s="121">
        <f t="shared" si="15"/>
        <v>55.075216075624802</v>
      </c>
      <c r="AE58" s="121">
        <f t="shared" si="15"/>
        <v>55.791496644616402</v>
      </c>
      <c r="AF58" s="121">
        <f t="shared" si="15"/>
        <v>56.507777213607987</v>
      </c>
      <c r="AG58" s="121">
        <f t="shared" si="15"/>
        <v>57.263574656870389</v>
      </c>
      <c r="AH58" s="121">
        <f t="shared" si="15"/>
        <v>58.019372100132792</v>
      </c>
      <c r="AI58" s="121">
        <f t="shared" si="15"/>
        <v>58.775169543395194</v>
      </c>
      <c r="AJ58" s="121">
        <f t="shared" si="15"/>
        <v>59.530966986657596</v>
      </c>
    </row>
    <row r="59" spans="2:36">
      <c r="B59" s="117" t="s">
        <v>173</v>
      </c>
      <c r="C59" s="122"/>
      <c r="E59" s="117"/>
      <c r="F59" s="121"/>
      <c r="H59" s="35" t="s">
        <v>25</v>
      </c>
      <c r="I59" s="121">
        <f t="shared" si="15"/>
        <v>65.469516307497202</v>
      </c>
      <c r="J59" s="121">
        <f t="shared" si="15"/>
        <v>92.699462609486801</v>
      </c>
      <c r="K59" s="121">
        <f t="shared" si="15"/>
        <v>119.9294089114764</v>
      </c>
      <c r="L59" s="121">
        <f t="shared" si="15"/>
        <v>147.159355213466</v>
      </c>
      <c r="M59" s="121">
        <f t="shared" si="15"/>
        <v>156.13345781564999</v>
      </c>
      <c r="N59" s="121">
        <f t="shared" si="15"/>
        <v>165.10756041783398</v>
      </c>
      <c r="O59" s="121">
        <f t="shared" si="15"/>
        <v>174.08166302001797</v>
      </c>
      <c r="P59" s="121">
        <f t="shared" si="15"/>
        <v>183.05576562220196</v>
      </c>
      <c r="Q59" s="121">
        <f t="shared" si="15"/>
        <v>192.02986822438601</v>
      </c>
      <c r="R59" s="121">
        <f t="shared" si="15"/>
        <v>205.74762901307679</v>
      </c>
      <c r="S59" s="121">
        <f t="shared" si="15"/>
        <v>219.46538980176757</v>
      </c>
      <c r="T59" s="121">
        <f t="shared" si="15"/>
        <v>233.18315059045835</v>
      </c>
      <c r="U59" s="121">
        <f t="shared" si="15"/>
        <v>246.90091137914914</v>
      </c>
      <c r="V59" s="121">
        <f t="shared" si="15"/>
        <v>260.61867216783997</v>
      </c>
      <c r="W59" s="121">
        <f t="shared" si="15"/>
        <v>276.92654087641876</v>
      </c>
      <c r="X59" s="121">
        <f t="shared" si="15"/>
        <v>293.23440958499754</v>
      </c>
      <c r="Y59" s="121">
        <f t="shared" si="15"/>
        <v>309.54227829357632</v>
      </c>
      <c r="Z59" s="121">
        <f t="shared" si="15"/>
        <v>325.8501470021551</v>
      </c>
      <c r="AA59" s="121">
        <f t="shared" si="15"/>
        <v>342.15801571073399</v>
      </c>
      <c r="AB59" s="121">
        <f t="shared" si="15"/>
        <v>362.56755237622519</v>
      </c>
      <c r="AC59" s="121">
        <f t="shared" si="15"/>
        <v>382.9770890417164</v>
      </c>
      <c r="AD59" s="121">
        <f t="shared" si="15"/>
        <v>403.3866257072076</v>
      </c>
      <c r="AE59" s="121">
        <f t="shared" si="15"/>
        <v>423.7961623726988</v>
      </c>
      <c r="AF59" s="121">
        <f t="shared" si="15"/>
        <v>444.20569903818989</v>
      </c>
      <c r="AG59" s="121">
        <f t="shared" si="15"/>
        <v>469.32704171267989</v>
      </c>
      <c r="AH59" s="121">
        <f t="shared" si="15"/>
        <v>494.44838438716988</v>
      </c>
      <c r="AI59" s="121">
        <f t="shared" si="15"/>
        <v>519.56972706165993</v>
      </c>
      <c r="AJ59" s="121">
        <f t="shared" si="15"/>
        <v>544.69106973614998</v>
      </c>
    </row>
    <row r="60" spans="2:36">
      <c r="B60" s="117" t="s">
        <v>173</v>
      </c>
      <c r="C60" s="122"/>
      <c r="E60" s="117"/>
      <c r="F60" s="121"/>
      <c r="H60" s="117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</row>
    <row r="61" spans="2:36">
      <c r="B61" s="117" t="s">
        <v>173</v>
      </c>
      <c r="C61" s="122"/>
      <c r="E61" s="117"/>
      <c r="F61" s="121"/>
      <c r="H61" s="117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</row>
    <row r="62" spans="2:36">
      <c r="B62" s="117" t="s">
        <v>173</v>
      </c>
      <c r="C62" s="122"/>
      <c r="E62" s="117"/>
      <c r="F62" s="121"/>
      <c r="H62" s="117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</row>
    <row r="64" spans="2:36">
      <c r="B64" s="113" t="s">
        <v>269</v>
      </c>
      <c r="E64" s="113" t="s">
        <v>66</v>
      </c>
      <c r="H64" s="113" t="s">
        <v>69</v>
      </c>
      <c r="I64" s="115">
        <v>2023</v>
      </c>
      <c r="J64" s="115">
        <v>2024</v>
      </c>
      <c r="K64" s="115">
        <v>2025</v>
      </c>
      <c r="L64" s="115">
        <v>2026</v>
      </c>
      <c r="M64" s="115">
        <v>2027</v>
      </c>
      <c r="N64" s="115">
        <v>2028</v>
      </c>
      <c r="O64" s="115">
        <v>2029</v>
      </c>
      <c r="P64" s="115">
        <v>2030</v>
      </c>
      <c r="Q64" s="115">
        <v>2031</v>
      </c>
      <c r="R64" s="115">
        <v>2032</v>
      </c>
      <c r="S64" s="115">
        <v>2033</v>
      </c>
      <c r="T64" s="115">
        <v>2034</v>
      </c>
      <c r="U64" s="115">
        <v>2035</v>
      </c>
      <c r="V64" s="115">
        <v>2036</v>
      </c>
      <c r="W64" s="115">
        <v>2037</v>
      </c>
      <c r="X64" s="115">
        <v>2038</v>
      </c>
      <c r="Y64" s="115">
        <v>2039</v>
      </c>
      <c r="Z64" s="115">
        <v>2040</v>
      </c>
      <c r="AA64" s="115">
        <v>2041</v>
      </c>
      <c r="AB64" s="115">
        <v>2042</v>
      </c>
      <c r="AC64" s="115">
        <v>2043</v>
      </c>
      <c r="AD64" s="115">
        <v>2044</v>
      </c>
      <c r="AE64" s="115">
        <v>2045</v>
      </c>
      <c r="AF64" s="115">
        <v>2046</v>
      </c>
      <c r="AG64" s="115">
        <v>2047</v>
      </c>
      <c r="AH64" s="115">
        <v>2048</v>
      </c>
      <c r="AI64" s="115">
        <v>2049</v>
      </c>
      <c r="AJ64" s="115">
        <v>2050</v>
      </c>
    </row>
    <row r="65" spans="2:36">
      <c r="B65" s="117" t="s">
        <v>173</v>
      </c>
      <c r="C65" s="122"/>
      <c r="E65" s="117"/>
      <c r="F65" s="121"/>
      <c r="H65" s="117" t="s">
        <v>8</v>
      </c>
      <c r="I65" s="121">
        <f>I137</f>
        <v>10.684819934898</v>
      </c>
      <c r="J65" s="121">
        <f t="shared" ref="J65:AJ65" si="16">J137</f>
        <v>10.522418050588</v>
      </c>
      <c r="K65" s="121">
        <f t="shared" si="16"/>
        <v>10.360016166277999</v>
      </c>
      <c r="L65" s="121">
        <f t="shared" si="16"/>
        <v>10.197614281968001</v>
      </c>
      <c r="M65" s="121">
        <f t="shared" si="16"/>
        <v>10.048064596531201</v>
      </c>
      <c r="N65" s="121">
        <f t="shared" si="16"/>
        <v>9.8985149110944022</v>
      </c>
      <c r="O65" s="121">
        <f t="shared" si="16"/>
        <v>9.7489652256576029</v>
      </c>
      <c r="P65" s="121">
        <f t="shared" si="16"/>
        <v>9.5994155402208037</v>
      </c>
      <c r="Q65" s="121">
        <f t="shared" si="16"/>
        <v>9.4498658547840009</v>
      </c>
      <c r="R65" s="121">
        <f t="shared" si="16"/>
        <v>9.3289080907968014</v>
      </c>
      <c r="S65" s="121">
        <f t="shared" si="16"/>
        <v>9.2079503268096019</v>
      </c>
      <c r="T65" s="121">
        <f t="shared" si="16"/>
        <v>9.0869925628224024</v>
      </c>
      <c r="U65" s="121">
        <f t="shared" si="16"/>
        <v>8.9660347988352029</v>
      </c>
      <c r="V65" s="121">
        <f t="shared" si="16"/>
        <v>8.8450770348480017</v>
      </c>
      <c r="W65" s="121">
        <f t="shared" si="16"/>
        <v>8.7615659120004015</v>
      </c>
      <c r="X65" s="121">
        <f t="shared" si="16"/>
        <v>8.6780547891528013</v>
      </c>
      <c r="Y65" s="121">
        <f t="shared" si="16"/>
        <v>8.5945436663052011</v>
      </c>
      <c r="Z65" s="121">
        <f t="shared" si="16"/>
        <v>8.5110325434576009</v>
      </c>
      <c r="AA65" s="121">
        <f t="shared" si="16"/>
        <v>8.4275214206099971</v>
      </c>
      <c r="AB65" s="121">
        <f t="shared" si="16"/>
        <v>8.3774795319675981</v>
      </c>
      <c r="AC65" s="121">
        <f t="shared" si="16"/>
        <v>8.3274376433251991</v>
      </c>
      <c r="AD65" s="121">
        <f t="shared" si="16"/>
        <v>8.2773957546828001</v>
      </c>
      <c r="AE65" s="121">
        <f t="shared" si="16"/>
        <v>8.2273538660404011</v>
      </c>
      <c r="AF65" s="121">
        <f t="shared" si="16"/>
        <v>8.1773119773979985</v>
      </c>
      <c r="AG65" s="121">
        <f t="shared" si="16"/>
        <v>8.156843246297198</v>
      </c>
      <c r="AH65" s="121">
        <f t="shared" si="16"/>
        <v>8.1363745151963975</v>
      </c>
      <c r="AI65" s="121">
        <f t="shared" si="16"/>
        <v>8.115905784095597</v>
      </c>
      <c r="AJ65" s="121">
        <f t="shared" si="16"/>
        <v>8.0954370529947965</v>
      </c>
    </row>
    <row r="66" spans="2:36">
      <c r="B66" s="117" t="s">
        <v>173</v>
      </c>
      <c r="C66" s="122"/>
      <c r="E66" s="117"/>
      <c r="F66" s="121"/>
      <c r="H66" s="35" t="s">
        <v>12</v>
      </c>
      <c r="I66" s="121">
        <f t="shared" ref="I66:AJ71" si="17">I138</f>
        <v>25.0414200753724</v>
      </c>
      <c r="J66" s="121">
        <f t="shared" si="17"/>
        <v>32.057318261299599</v>
      </c>
      <c r="K66" s="121">
        <f t="shared" si="17"/>
        <v>39.073216447226798</v>
      </c>
      <c r="L66" s="121">
        <f t="shared" si="17"/>
        <v>46.089114633153997</v>
      </c>
      <c r="M66" s="121">
        <f t="shared" si="17"/>
        <v>48.072200152634402</v>
      </c>
      <c r="N66" s="121">
        <f t="shared" si="17"/>
        <v>50.055285672114806</v>
      </c>
      <c r="O66" s="121">
        <f t="shared" si="17"/>
        <v>52.038371191595211</v>
      </c>
      <c r="P66" s="121">
        <f t="shared" si="17"/>
        <v>54.021456711075615</v>
      </c>
      <c r="Q66" s="121">
        <f t="shared" si="17"/>
        <v>56.004542230556012</v>
      </c>
      <c r="R66" s="121">
        <f t="shared" si="17"/>
        <v>58.561105124668011</v>
      </c>
      <c r="S66" s="121">
        <f t="shared" si="17"/>
        <v>61.117668018780009</v>
      </c>
      <c r="T66" s="121">
        <f t="shared" si="17"/>
        <v>63.674230912892007</v>
      </c>
      <c r="U66" s="121">
        <f t="shared" si="17"/>
        <v>66.230793807004005</v>
      </c>
      <c r="V66" s="121">
        <f t="shared" si="17"/>
        <v>68.787356701116011</v>
      </c>
      <c r="W66" s="121">
        <f t="shared" si="17"/>
        <v>71.680261317830414</v>
      </c>
      <c r="X66" s="121">
        <f t="shared" si="17"/>
        <v>74.573165934544818</v>
      </c>
      <c r="Y66" s="121">
        <f t="shared" si="17"/>
        <v>77.466070551259222</v>
      </c>
      <c r="Z66" s="121">
        <f t="shared" si="17"/>
        <v>80.358975167973625</v>
      </c>
      <c r="AA66" s="121">
        <f t="shared" si="17"/>
        <v>83.251879784688001</v>
      </c>
      <c r="AB66" s="121">
        <f t="shared" si="17"/>
        <v>86.7434979985468</v>
      </c>
      <c r="AC66" s="121">
        <f t="shared" si="17"/>
        <v>90.2351162124056</v>
      </c>
      <c r="AD66" s="121">
        <f t="shared" si="17"/>
        <v>93.7267344262644</v>
      </c>
      <c r="AE66" s="121">
        <f t="shared" si="17"/>
        <v>97.2183526401232</v>
      </c>
      <c r="AF66" s="121">
        <f t="shared" si="17"/>
        <v>100.709970853982</v>
      </c>
      <c r="AG66" s="121">
        <f t="shared" si="17"/>
        <v>104.9548035272808</v>
      </c>
      <c r="AH66" s="121">
        <f t="shared" si="17"/>
        <v>109.1996362005796</v>
      </c>
      <c r="AI66" s="121">
        <f t="shared" si="17"/>
        <v>113.44446887387841</v>
      </c>
      <c r="AJ66" s="121">
        <f t="shared" si="17"/>
        <v>117.68930154717721</v>
      </c>
    </row>
    <row r="67" spans="2:36">
      <c r="B67" s="117" t="s">
        <v>173</v>
      </c>
      <c r="C67" s="122"/>
      <c r="E67" s="117"/>
      <c r="F67" s="121"/>
      <c r="H67" s="35" t="s">
        <v>15</v>
      </c>
      <c r="I67" s="121">
        <f t="shared" si="17"/>
        <v>10.684819934898</v>
      </c>
      <c r="J67" s="121">
        <f t="shared" si="17"/>
        <v>10.522418050588</v>
      </c>
      <c r="K67" s="121">
        <f t="shared" si="17"/>
        <v>10.360016166277999</v>
      </c>
      <c r="L67" s="121">
        <f t="shared" si="17"/>
        <v>10.197614281968001</v>
      </c>
      <c r="M67" s="121">
        <f t="shared" si="17"/>
        <v>10.048064596531201</v>
      </c>
      <c r="N67" s="121">
        <f t="shared" si="17"/>
        <v>9.8985149110944022</v>
      </c>
      <c r="O67" s="121">
        <f t="shared" si="17"/>
        <v>9.7489652256576029</v>
      </c>
      <c r="P67" s="121">
        <f t="shared" si="17"/>
        <v>9.5994155402208037</v>
      </c>
      <c r="Q67" s="121">
        <f t="shared" si="17"/>
        <v>9.4498658547840009</v>
      </c>
      <c r="R67" s="121">
        <f t="shared" si="17"/>
        <v>9.3289080907968014</v>
      </c>
      <c r="S67" s="121">
        <f t="shared" si="17"/>
        <v>9.2079503268096019</v>
      </c>
      <c r="T67" s="121">
        <f t="shared" si="17"/>
        <v>9.0869925628224024</v>
      </c>
      <c r="U67" s="121">
        <f t="shared" si="17"/>
        <v>8.9660347988352029</v>
      </c>
      <c r="V67" s="121">
        <f t="shared" si="17"/>
        <v>8.8450770348480017</v>
      </c>
      <c r="W67" s="121">
        <f t="shared" si="17"/>
        <v>8.7615659120004015</v>
      </c>
      <c r="X67" s="121">
        <f t="shared" si="17"/>
        <v>8.6780547891528013</v>
      </c>
      <c r="Y67" s="121">
        <f t="shared" si="17"/>
        <v>8.5945436663052011</v>
      </c>
      <c r="Z67" s="121">
        <f t="shared" si="17"/>
        <v>8.5110325434576009</v>
      </c>
      <c r="AA67" s="121">
        <f t="shared" si="17"/>
        <v>8.4275214206099971</v>
      </c>
      <c r="AB67" s="121">
        <f t="shared" si="17"/>
        <v>8.3774795319675981</v>
      </c>
      <c r="AC67" s="121">
        <f t="shared" si="17"/>
        <v>8.3274376433251991</v>
      </c>
      <c r="AD67" s="121">
        <f t="shared" si="17"/>
        <v>8.2773957546828001</v>
      </c>
      <c r="AE67" s="121">
        <f t="shared" si="17"/>
        <v>8.2273538660404011</v>
      </c>
      <c r="AF67" s="121">
        <f t="shared" si="17"/>
        <v>8.1773119773979985</v>
      </c>
      <c r="AG67" s="121">
        <f t="shared" si="17"/>
        <v>8.156843246297198</v>
      </c>
      <c r="AH67" s="121">
        <f t="shared" si="17"/>
        <v>8.1363745151963975</v>
      </c>
      <c r="AI67" s="121">
        <f t="shared" si="17"/>
        <v>8.115905784095597</v>
      </c>
      <c r="AJ67" s="121">
        <f t="shared" si="17"/>
        <v>8.0954370529947965</v>
      </c>
    </row>
    <row r="68" spans="2:36">
      <c r="B68" s="117" t="s">
        <v>173</v>
      </c>
      <c r="C68" s="122"/>
      <c r="E68" s="117"/>
      <c r="F68" s="121"/>
      <c r="H68" s="35" t="s">
        <v>19</v>
      </c>
      <c r="I68" s="121">
        <f t="shared" si="17"/>
        <v>10.683416029531601</v>
      </c>
      <c r="J68" s="121">
        <f t="shared" si="17"/>
        <v>10.520312192538402</v>
      </c>
      <c r="K68" s="121">
        <f t="shared" si="17"/>
        <v>10.357208355545202</v>
      </c>
      <c r="L68" s="121">
        <f t="shared" si="17"/>
        <v>10.194104518552001</v>
      </c>
      <c r="M68" s="121">
        <f t="shared" si="17"/>
        <v>10.044331579195601</v>
      </c>
      <c r="N68" s="121">
        <f t="shared" si="17"/>
        <v>9.894558639839202</v>
      </c>
      <c r="O68" s="121">
        <f t="shared" si="17"/>
        <v>9.7447857004828027</v>
      </c>
      <c r="P68" s="121">
        <f t="shared" si="17"/>
        <v>9.5950127611264033</v>
      </c>
      <c r="Q68" s="121">
        <f t="shared" si="17"/>
        <v>9.4452398217700004</v>
      </c>
      <c r="R68" s="121">
        <f t="shared" si="17"/>
        <v>32.6149095809008</v>
      </c>
      <c r="S68" s="121">
        <f t="shared" si="17"/>
        <v>55.784579340031598</v>
      </c>
      <c r="T68" s="121">
        <f t="shared" si="17"/>
        <v>78.954249099162396</v>
      </c>
      <c r="U68" s="121">
        <f t="shared" si="17"/>
        <v>102.12391885829319</v>
      </c>
      <c r="V68" s="121">
        <f t="shared" si="17"/>
        <v>125.29358861742401</v>
      </c>
      <c r="W68" s="121">
        <f t="shared" si="17"/>
        <v>137.87139825438243</v>
      </c>
      <c r="X68" s="121">
        <f t="shared" si="17"/>
        <v>150.44920789134085</v>
      </c>
      <c r="Y68" s="121">
        <f t="shared" si="17"/>
        <v>163.02701752829927</v>
      </c>
      <c r="Z68" s="121">
        <f t="shared" si="17"/>
        <v>175.60482716525769</v>
      </c>
      <c r="AA68" s="121">
        <f t="shared" si="17"/>
        <v>188.18263680221611</v>
      </c>
      <c r="AB68" s="121">
        <f t="shared" si="17"/>
        <v>202.39666240802129</v>
      </c>
      <c r="AC68" s="121">
        <f t="shared" si="17"/>
        <v>216.61068801382646</v>
      </c>
      <c r="AD68" s="121">
        <f t="shared" si="17"/>
        <v>230.82471361963164</v>
      </c>
      <c r="AE68" s="121">
        <f t="shared" si="17"/>
        <v>245.03873922543681</v>
      </c>
      <c r="AF68" s="121">
        <f t="shared" si="17"/>
        <v>259.25276483124202</v>
      </c>
      <c r="AG68" s="121">
        <f t="shared" si="17"/>
        <v>274.66921805831521</v>
      </c>
      <c r="AH68" s="121">
        <f t="shared" si="17"/>
        <v>290.0856712853884</v>
      </c>
      <c r="AI68" s="121">
        <f t="shared" si="17"/>
        <v>305.50212451246159</v>
      </c>
      <c r="AJ68" s="121">
        <f t="shared" si="17"/>
        <v>320.91857773953478</v>
      </c>
    </row>
    <row r="69" spans="2:36">
      <c r="B69" s="117" t="s">
        <v>173</v>
      </c>
      <c r="C69" s="122"/>
      <c r="E69" s="117"/>
      <c r="F69" s="121"/>
      <c r="H69" s="35" t="s">
        <v>22</v>
      </c>
      <c r="I69" s="121">
        <f t="shared" si="17"/>
        <v>10.683416029531601</v>
      </c>
      <c r="J69" s="121">
        <f t="shared" si="17"/>
        <v>10.520312192538402</v>
      </c>
      <c r="K69" s="121">
        <f t="shared" si="17"/>
        <v>10.357208355545202</v>
      </c>
      <c r="L69" s="121">
        <f t="shared" si="17"/>
        <v>10.194104518552001</v>
      </c>
      <c r="M69" s="121">
        <f t="shared" si="17"/>
        <v>10.044331579195601</v>
      </c>
      <c r="N69" s="121">
        <f t="shared" si="17"/>
        <v>9.894558639839202</v>
      </c>
      <c r="O69" s="121">
        <f t="shared" si="17"/>
        <v>9.7447857004828027</v>
      </c>
      <c r="P69" s="121">
        <f t="shared" si="17"/>
        <v>9.5950127611264033</v>
      </c>
      <c r="Q69" s="121">
        <f t="shared" si="17"/>
        <v>9.4452398217700004</v>
      </c>
      <c r="R69" s="121">
        <f t="shared" si="17"/>
        <v>27.039689652890402</v>
      </c>
      <c r="S69" s="121">
        <f t="shared" si="17"/>
        <v>44.634139484010802</v>
      </c>
      <c r="T69" s="121">
        <f t="shared" si="17"/>
        <v>62.228589315131202</v>
      </c>
      <c r="U69" s="121">
        <f t="shared" si="17"/>
        <v>79.823039146251602</v>
      </c>
      <c r="V69" s="121">
        <f t="shared" si="17"/>
        <v>97.417488977372017</v>
      </c>
      <c r="W69" s="121">
        <f t="shared" si="17"/>
        <v>101.47175893300961</v>
      </c>
      <c r="X69" s="121">
        <f t="shared" si="17"/>
        <v>105.5260288886472</v>
      </c>
      <c r="Y69" s="121">
        <f t="shared" si="17"/>
        <v>109.5802988442848</v>
      </c>
      <c r="Z69" s="121">
        <f t="shared" si="17"/>
        <v>113.63456879992239</v>
      </c>
      <c r="AA69" s="121">
        <f t="shared" si="17"/>
        <v>117.68883875556</v>
      </c>
      <c r="AB69" s="121">
        <f t="shared" si="17"/>
        <v>121.4130372400912</v>
      </c>
      <c r="AC69" s="121">
        <f t="shared" si="17"/>
        <v>125.1372357246224</v>
      </c>
      <c r="AD69" s="121">
        <f t="shared" si="17"/>
        <v>128.8614342091536</v>
      </c>
      <c r="AE69" s="121">
        <f t="shared" si="17"/>
        <v>132.5856326936848</v>
      </c>
      <c r="AF69" s="121">
        <f t="shared" si="17"/>
        <v>136.309831178216</v>
      </c>
      <c r="AG69" s="121">
        <f t="shared" si="17"/>
        <v>139.9807007772028</v>
      </c>
      <c r="AH69" s="121">
        <f t="shared" si="17"/>
        <v>143.6515703761896</v>
      </c>
      <c r="AI69" s="121">
        <f t="shared" si="17"/>
        <v>147.32243997517639</v>
      </c>
      <c r="AJ69" s="121">
        <f t="shared" si="17"/>
        <v>150.99330957416319</v>
      </c>
    </row>
    <row r="70" spans="2:36">
      <c r="B70" s="117" t="s">
        <v>173</v>
      </c>
      <c r="C70" s="122"/>
      <c r="E70" s="117"/>
      <c r="F70" s="121"/>
      <c r="H70" s="35" t="s">
        <v>24</v>
      </c>
      <c r="I70" s="121">
        <f t="shared" si="17"/>
        <v>19.173481846293999</v>
      </c>
      <c r="J70" s="121">
        <f t="shared" si="17"/>
        <v>23.255410917681999</v>
      </c>
      <c r="K70" s="121">
        <f t="shared" si="17"/>
        <v>27.337339989069999</v>
      </c>
      <c r="L70" s="121">
        <f t="shared" si="17"/>
        <v>31.419269060457999</v>
      </c>
      <c r="M70" s="121">
        <f t="shared" si="17"/>
        <v>34.9382503797844</v>
      </c>
      <c r="N70" s="121">
        <f t="shared" si="17"/>
        <v>38.4572316991108</v>
      </c>
      <c r="O70" s="121">
        <f t="shared" si="17"/>
        <v>41.9762130184372</v>
      </c>
      <c r="P70" s="121">
        <f t="shared" si="17"/>
        <v>45.4951943377636</v>
      </c>
      <c r="Q70" s="121">
        <f t="shared" si="17"/>
        <v>49.014175657089993</v>
      </c>
      <c r="R70" s="121">
        <f t="shared" si="17"/>
        <v>49.260799456695992</v>
      </c>
      <c r="S70" s="121">
        <f t="shared" si="17"/>
        <v>49.50742325630199</v>
      </c>
      <c r="T70" s="121">
        <f t="shared" si="17"/>
        <v>49.754047055907989</v>
      </c>
      <c r="U70" s="121">
        <f t="shared" si="17"/>
        <v>50.000670855513988</v>
      </c>
      <c r="V70" s="121">
        <f t="shared" si="17"/>
        <v>50.247294655119987</v>
      </c>
      <c r="W70" s="121">
        <f t="shared" si="17"/>
        <v>50.783110597825988</v>
      </c>
      <c r="X70" s="121">
        <f t="shared" si="17"/>
        <v>51.31892654053199</v>
      </c>
      <c r="Y70" s="121">
        <f t="shared" si="17"/>
        <v>51.854742483237992</v>
      </c>
      <c r="Z70" s="121">
        <f t="shared" si="17"/>
        <v>52.390558425943993</v>
      </c>
      <c r="AA70" s="121">
        <f t="shared" si="17"/>
        <v>52.926374368650002</v>
      </c>
      <c r="AB70" s="121">
        <f t="shared" si="17"/>
        <v>53.642654937641602</v>
      </c>
      <c r="AC70" s="121">
        <f t="shared" si="17"/>
        <v>54.358935506633202</v>
      </c>
      <c r="AD70" s="121">
        <f t="shared" si="17"/>
        <v>55.075216075624802</v>
      </c>
      <c r="AE70" s="121">
        <f t="shared" si="17"/>
        <v>55.791496644616402</v>
      </c>
      <c r="AF70" s="121">
        <f t="shared" si="17"/>
        <v>56.507777213607987</v>
      </c>
      <c r="AG70" s="121">
        <f t="shared" si="17"/>
        <v>57.263574656870389</v>
      </c>
      <c r="AH70" s="121">
        <f t="shared" si="17"/>
        <v>58.019372100132792</v>
      </c>
      <c r="AI70" s="121">
        <f t="shared" si="17"/>
        <v>58.775169543395194</v>
      </c>
      <c r="AJ70" s="121">
        <f t="shared" si="17"/>
        <v>59.530966986657596</v>
      </c>
    </row>
    <row r="71" spans="2:36">
      <c r="B71" s="117" t="s">
        <v>173</v>
      </c>
      <c r="C71" s="122"/>
      <c r="E71" s="117"/>
      <c r="F71" s="121"/>
      <c r="H71" s="35" t="s">
        <v>25</v>
      </c>
      <c r="I71" s="121">
        <f t="shared" si="17"/>
        <v>65.469516307497202</v>
      </c>
      <c r="J71" s="121">
        <f t="shared" si="17"/>
        <v>92.699462609486801</v>
      </c>
      <c r="K71" s="121">
        <f t="shared" si="17"/>
        <v>119.9294089114764</v>
      </c>
      <c r="L71" s="121">
        <f t="shared" si="17"/>
        <v>147.159355213466</v>
      </c>
      <c r="M71" s="121">
        <f t="shared" si="17"/>
        <v>156.13345781564999</v>
      </c>
      <c r="N71" s="121">
        <f t="shared" si="17"/>
        <v>165.10756041783398</v>
      </c>
      <c r="O71" s="121">
        <f t="shared" si="17"/>
        <v>174.08166302001797</v>
      </c>
      <c r="P71" s="121">
        <f t="shared" si="17"/>
        <v>183.05576562220196</v>
      </c>
      <c r="Q71" s="121">
        <f t="shared" si="17"/>
        <v>192.02986822438601</v>
      </c>
      <c r="R71" s="121">
        <f t="shared" si="17"/>
        <v>205.74762901307679</v>
      </c>
      <c r="S71" s="121">
        <f t="shared" si="17"/>
        <v>219.46538980176757</v>
      </c>
      <c r="T71" s="121">
        <f t="shared" si="17"/>
        <v>233.18315059045835</v>
      </c>
      <c r="U71" s="121">
        <f t="shared" si="17"/>
        <v>246.90091137914914</v>
      </c>
      <c r="V71" s="121">
        <f t="shared" si="17"/>
        <v>260.61867216783997</v>
      </c>
      <c r="W71" s="121">
        <f t="shared" si="17"/>
        <v>276.92654087641876</v>
      </c>
      <c r="X71" s="121">
        <f t="shared" si="17"/>
        <v>293.23440958499754</v>
      </c>
      <c r="Y71" s="121">
        <f t="shared" si="17"/>
        <v>309.54227829357632</v>
      </c>
      <c r="Z71" s="121">
        <f t="shared" si="17"/>
        <v>325.8501470021551</v>
      </c>
      <c r="AA71" s="121">
        <f t="shared" si="17"/>
        <v>342.15801571073399</v>
      </c>
      <c r="AB71" s="121">
        <f t="shared" si="17"/>
        <v>362.56755237622519</v>
      </c>
      <c r="AC71" s="121">
        <f t="shared" si="17"/>
        <v>382.9770890417164</v>
      </c>
      <c r="AD71" s="121">
        <f t="shared" si="17"/>
        <v>403.3866257072076</v>
      </c>
      <c r="AE71" s="121">
        <f t="shared" si="17"/>
        <v>423.7961623726988</v>
      </c>
      <c r="AF71" s="121">
        <f t="shared" si="17"/>
        <v>444.20569903818989</v>
      </c>
      <c r="AG71" s="121">
        <f t="shared" si="17"/>
        <v>469.32704171267989</v>
      </c>
      <c r="AH71" s="121">
        <f t="shared" si="17"/>
        <v>494.44838438716988</v>
      </c>
      <c r="AI71" s="121">
        <f t="shared" si="17"/>
        <v>519.56972706165993</v>
      </c>
      <c r="AJ71" s="121">
        <f t="shared" si="17"/>
        <v>544.69106973614998</v>
      </c>
    </row>
    <row r="72" spans="2:36">
      <c r="B72" s="117" t="s">
        <v>173</v>
      </c>
      <c r="C72" s="122"/>
      <c r="E72" s="117"/>
      <c r="F72" s="121"/>
      <c r="H72" s="117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</row>
    <row r="73" spans="2:36">
      <c r="B73" s="117" t="s">
        <v>173</v>
      </c>
      <c r="C73" s="122"/>
      <c r="E73" s="117"/>
      <c r="F73" s="121"/>
      <c r="H73" s="117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</row>
    <row r="74" spans="2:36">
      <c r="B74" s="117" t="s">
        <v>173</v>
      </c>
      <c r="C74" s="122"/>
      <c r="E74" s="117"/>
      <c r="F74" s="121"/>
      <c r="H74" s="117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</row>
    <row r="76" spans="2:36">
      <c r="B76" s="113" t="s">
        <v>270</v>
      </c>
      <c r="E76" s="113" t="s">
        <v>67</v>
      </c>
      <c r="H76" s="113" t="s">
        <v>70</v>
      </c>
      <c r="I76" s="115">
        <v>2023</v>
      </c>
      <c r="J76" s="115">
        <v>2024</v>
      </c>
      <c r="K76" s="115">
        <v>2025</v>
      </c>
      <c r="L76" s="115">
        <v>2026</v>
      </c>
      <c r="M76" s="115">
        <v>2027</v>
      </c>
      <c r="N76" s="115">
        <v>2028</v>
      </c>
      <c r="O76" s="115">
        <v>2029</v>
      </c>
      <c r="P76" s="115">
        <v>2030</v>
      </c>
      <c r="Q76" s="115">
        <v>2031</v>
      </c>
      <c r="R76" s="115">
        <v>2032</v>
      </c>
      <c r="S76" s="115">
        <v>2033</v>
      </c>
      <c r="T76" s="115">
        <v>2034</v>
      </c>
      <c r="U76" s="115">
        <v>2035</v>
      </c>
      <c r="V76" s="115">
        <v>2036</v>
      </c>
      <c r="W76" s="115">
        <v>2037</v>
      </c>
      <c r="X76" s="115">
        <v>2038</v>
      </c>
      <c r="Y76" s="115">
        <v>2039</v>
      </c>
      <c r="Z76" s="115">
        <v>2040</v>
      </c>
      <c r="AA76" s="115">
        <v>2041</v>
      </c>
      <c r="AB76" s="115">
        <v>2042</v>
      </c>
      <c r="AC76" s="115">
        <v>2043</v>
      </c>
      <c r="AD76" s="115">
        <v>2044</v>
      </c>
      <c r="AE76" s="115">
        <v>2045</v>
      </c>
      <c r="AF76" s="115">
        <v>2046</v>
      </c>
      <c r="AG76" s="115">
        <v>2047</v>
      </c>
      <c r="AH76" s="115">
        <v>2048</v>
      </c>
      <c r="AI76" s="115">
        <v>2049</v>
      </c>
      <c r="AJ76" s="115">
        <v>2050</v>
      </c>
    </row>
    <row r="77" spans="2:36">
      <c r="B77" s="117" t="s">
        <v>173</v>
      </c>
      <c r="C77" s="122"/>
      <c r="E77" s="117"/>
      <c r="F77" s="121"/>
      <c r="H77" s="117" t="s">
        <v>8</v>
      </c>
      <c r="I77" s="121">
        <f>I101</f>
        <v>1.2274021734379998</v>
      </c>
      <c r="J77" s="121">
        <f t="shared" ref="J77:AJ83" si="18">J101</f>
        <v>1.2872419559159998</v>
      </c>
      <c r="K77" s="121">
        <f t="shared" si="18"/>
        <v>1.3470817383939997</v>
      </c>
      <c r="L77" s="121">
        <f t="shared" si="18"/>
        <v>1.4069215208720001</v>
      </c>
      <c r="M77" s="121">
        <f t="shared" si="18"/>
        <v>1.4762026156796</v>
      </c>
      <c r="N77" s="121">
        <f t="shared" si="18"/>
        <v>1.5454837104871999</v>
      </c>
      <c r="O77" s="121">
        <f t="shared" si="18"/>
        <v>1.6147648052947998</v>
      </c>
      <c r="P77" s="121">
        <f t="shared" si="18"/>
        <v>1.6840459001023997</v>
      </c>
      <c r="Q77" s="121">
        <f t="shared" si="18"/>
        <v>1.7533269949100001</v>
      </c>
      <c r="R77" s="121">
        <f t="shared" si="18"/>
        <v>1.8328976871844</v>
      </c>
      <c r="S77" s="121">
        <f t="shared" si="18"/>
        <v>1.9124683794588</v>
      </c>
      <c r="T77" s="121">
        <f t="shared" si="18"/>
        <v>1.9920390717331999</v>
      </c>
      <c r="U77" s="121">
        <f t="shared" si="18"/>
        <v>2.0716097640075999</v>
      </c>
      <c r="V77" s="121">
        <f t="shared" si="18"/>
        <v>2.1511804562819998</v>
      </c>
      <c r="W77" s="121">
        <f t="shared" si="18"/>
        <v>2.2421281479167998</v>
      </c>
      <c r="X77" s="121">
        <f t="shared" si="18"/>
        <v>2.3330758395515998</v>
      </c>
      <c r="Y77" s="121">
        <f t="shared" si="18"/>
        <v>2.4240235311863998</v>
      </c>
      <c r="Z77" s="121">
        <f t="shared" si="18"/>
        <v>2.5149712228211998</v>
      </c>
      <c r="AA77" s="121">
        <f t="shared" si="18"/>
        <v>2.6059189144560002</v>
      </c>
      <c r="AB77" s="121">
        <f t="shared" si="18"/>
        <v>2.7092753544872004</v>
      </c>
      <c r="AC77" s="121">
        <f t="shared" si="18"/>
        <v>2.8126317945184005</v>
      </c>
      <c r="AD77" s="121">
        <f t="shared" si="18"/>
        <v>2.9159882345496007</v>
      </c>
      <c r="AE77" s="121">
        <f t="shared" si="18"/>
        <v>3.0193446745808008</v>
      </c>
      <c r="AF77" s="121">
        <f t="shared" si="18"/>
        <v>3.1227011146120001</v>
      </c>
      <c r="AG77" s="121">
        <f t="shared" si="18"/>
        <v>3.2396168904228002</v>
      </c>
      <c r="AH77" s="121">
        <f t="shared" si="18"/>
        <v>3.3565326662336004</v>
      </c>
      <c r="AI77" s="121">
        <f t="shared" si="18"/>
        <v>3.4734484420444005</v>
      </c>
      <c r="AJ77" s="121">
        <f t="shared" si="18"/>
        <v>3.5903642178552007</v>
      </c>
    </row>
    <row r="78" spans="2:36">
      <c r="B78" s="117" t="s">
        <v>173</v>
      </c>
      <c r="C78" s="122"/>
      <c r="E78" s="117"/>
      <c r="F78" s="121"/>
      <c r="H78" s="35" t="s">
        <v>12</v>
      </c>
      <c r="I78" s="121">
        <f t="shared" ref="I78:X83" si="19">I102</f>
        <v>13.458131390376399</v>
      </c>
      <c r="J78" s="121">
        <f t="shared" si="19"/>
        <v>19.633335781323598</v>
      </c>
      <c r="K78" s="121">
        <f t="shared" si="19"/>
        <v>25.808540172270799</v>
      </c>
      <c r="L78" s="121">
        <f t="shared" si="19"/>
        <v>31.983744563218</v>
      </c>
      <c r="M78" s="121">
        <f t="shared" si="19"/>
        <v>33.368109551101597</v>
      </c>
      <c r="N78" s="121">
        <f t="shared" si="19"/>
        <v>34.752474538985197</v>
      </c>
      <c r="O78" s="121">
        <f t="shared" si="19"/>
        <v>36.136839526868798</v>
      </c>
      <c r="P78" s="121">
        <f t="shared" si="19"/>
        <v>37.521204514752398</v>
      </c>
      <c r="Q78" s="121">
        <f t="shared" si="19"/>
        <v>38.905569502635991</v>
      </c>
      <c r="R78" s="121">
        <f t="shared" si="19"/>
        <v>41.067194329817596</v>
      </c>
      <c r="S78" s="121">
        <f t="shared" si="19"/>
        <v>43.228819156999201</v>
      </c>
      <c r="T78" s="121">
        <f t="shared" si="19"/>
        <v>45.390443984180806</v>
      </c>
      <c r="U78" s="121">
        <f t="shared" si="19"/>
        <v>47.55206881136241</v>
      </c>
      <c r="V78" s="121">
        <f t="shared" si="19"/>
        <v>49.713693638544001</v>
      </c>
      <c r="W78" s="121">
        <f t="shared" si="19"/>
        <v>52.840679425011601</v>
      </c>
      <c r="X78" s="121">
        <f t="shared" si="19"/>
        <v>55.967665211479201</v>
      </c>
      <c r="Y78" s="121">
        <f t="shared" si="18"/>
        <v>59.0946509979468</v>
      </c>
      <c r="Z78" s="121">
        <f t="shared" si="18"/>
        <v>62.2216367844144</v>
      </c>
      <c r="AA78" s="121">
        <f t="shared" si="18"/>
        <v>65.348622570882</v>
      </c>
      <c r="AB78" s="121">
        <f t="shared" si="18"/>
        <v>69.779332531809203</v>
      </c>
      <c r="AC78" s="121">
        <f t="shared" si="18"/>
        <v>74.210042492736406</v>
      </c>
      <c r="AD78" s="121">
        <f t="shared" si="18"/>
        <v>78.640752453663609</v>
      </c>
      <c r="AE78" s="121">
        <f t="shared" si="18"/>
        <v>83.071462414590812</v>
      </c>
      <c r="AF78" s="121">
        <f t="shared" si="18"/>
        <v>87.502172375517986</v>
      </c>
      <c r="AG78" s="121">
        <f t="shared" si="18"/>
        <v>93.495521084597186</v>
      </c>
      <c r="AH78" s="121">
        <f t="shared" si="18"/>
        <v>99.488869793676386</v>
      </c>
      <c r="AI78" s="121">
        <f t="shared" si="18"/>
        <v>105.48221850275559</v>
      </c>
      <c r="AJ78" s="121">
        <f t="shared" si="18"/>
        <v>111.47556721183479</v>
      </c>
    </row>
    <row r="79" spans="2:36">
      <c r="B79" s="117" t="s">
        <v>173</v>
      </c>
      <c r="C79" s="122"/>
      <c r="E79" s="117"/>
      <c r="F79" s="121"/>
      <c r="H79" s="35" t="s">
        <v>15</v>
      </c>
      <c r="I79" s="121">
        <f t="shared" si="19"/>
        <v>1.2274021734379998</v>
      </c>
      <c r="J79" s="121">
        <f t="shared" si="18"/>
        <v>1.2872419559159998</v>
      </c>
      <c r="K79" s="121">
        <f t="shared" si="18"/>
        <v>1.3470817383939997</v>
      </c>
      <c r="L79" s="121">
        <f t="shared" si="18"/>
        <v>1.4069215208720001</v>
      </c>
      <c r="M79" s="121">
        <f t="shared" si="18"/>
        <v>1.4762026156796</v>
      </c>
      <c r="N79" s="121">
        <f t="shared" si="18"/>
        <v>1.5454837104871999</v>
      </c>
      <c r="O79" s="121">
        <f t="shared" si="18"/>
        <v>1.6147648052947998</v>
      </c>
      <c r="P79" s="121">
        <f t="shared" si="18"/>
        <v>1.6840459001023997</v>
      </c>
      <c r="Q79" s="121">
        <f t="shared" si="18"/>
        <v>1.7533269949100001</v>
      </c>
      <c r="R79" s="121">
        <f t="shared" si="18"/>
        <v>1.8328976871844</v>
      </c>
      <c r="S79" s="121">
        <f t="shared" si="18"/>
        <v>1.9124683794588</v>
      </c>
      <c r="T79" s="121">
        <f t="shared" si="18"/>
        <v>1.9920390717331999</v>
      </c>
      <c r="U79" s="121">
        <f t="shared" si="18"/>
        <v>2.0716097640075999</v>
      </c>
      <c r="V79" s="121">
        <f t="shared" si="18"/>
        <v>2.1511804562819998</v>
      </c>
      <c r="W79" s="121">
        <f t="shared" si="18"/>
        <v>2.2421281479167998</v>
      </c>
      <c r="X79" s="121">
        <f t="shared" si="18"/>
        <v>2.3330758395515998</v>
      </c>
      <c r="Y79" s="121">
        <f t="shared" si="18"/>
        <v>2.4240235311863998</v>
      </c>
      <c r="Z79" s="121">
        <f t="shared" si="18"/>
        <v>2.5149712228211998</v>
      </c>
      <c r="AA79" s="121">
        <f t="shared" si="18"/>
        <v>2.6059189144560002</v>
      </c>
      <c r="AB79" s="121">
        <f t="shared" si="18"/>
        <v>2.7092753544872004</v>
      </c>
      <c r="AC79" s="121">
        <f t="shared" si="18"/>
        <v>2.8126317945184005</v>
      </c>
      <c r="AD79" s="121">
        <f t="shared" si="18"/>
        <v>2.9159882345496007</v>
      </c>
      <c r="AE79" s="121">
        <f t="shared" si="18"/>
        <v>3.0193446745808008</v>
      </c>
      <c r="AF79" s="121">
        <f t="shared" si="18"/>
        <v>3.1227011146120001</v>
      </c>
      <c r="AG79" s="121">
        <f t="shared" si="18"/>
        <v>3.2396168904228002</v>
      </c>
      <c r="AH79" s="121">
        <f t="shared" si="18"/>
        <v>3.3565326662336004</v>
      </c>
      <c r="AI79" s="121">
        <f t="shared" si="18"/>
        <v>3.4734484420444005</v>
      </c>
      <c r="AJ79" s="121">
        <f t="shared" si="18"/>
        <v>3.5903642178552007</v>
      </c>
    </row>
    <row r="80" spans="2:36">
      <c r="B80" s="117" t="s">
        <v>173</v>
      </c>
      <c r="C80" s="122"/>
      <c r="E80" s="117"/>
      <c r="F80" s="121"/>
      <c r="H80" s="35" t="s">
        <v>19</v>
      </c>
      <c r="I80" s="121">
        <f t="shared" si="19"/>
        <v>1.2273726189348</v>
      </c>
      <c r="J80" s="121">
        <f t="shared" si="18"/>
        <v>1.2871976241612</v>
      </c>
      <c r="K80" s="121">
        <f t="shared" si="18"/>
        <v>1.3470226293876</v>
      </c>
      <c r="L80" s="121">
        <f t="shared" si="18"/>
        <v>1.406847634614</v>
      </c>
      <c r="M80" s="121">
        <f t="shared" si="18"/>
        <v>1.4761205986099999</v>
      </c>
      <c r="N80" s="121">
        <f t="shared" si="18"/>
        <v>1.5453935626059998</v>
      </c>
      <c r="O80" s="121">
        <f t="shared" si="18"/>
        <v>1.6146665266019997</v>
      </c>
      <c r="P80" s="121">
        <f t="shared" si="18"/>
        <v>1.6839394905979996</v>
      </c>
      <c r="Q80" s="121">
        <f t="shared" si="18"/>
        <v>1.753212454594</v>
      </c>
      <c r="R80" s="121">
        <f t="shared" si="18"/>
        <v>16.179528256277997</v>
      </c>
      <c r="S80" s="121">
        <f t="shared" si="18"/>
        <v>30.605844057961995</v>
      </c>
      <c r="T80" s="121">
        <f t="shared" si="18"/>
        <v>45.032159859645994</v>
      </c>
      <c r="U80" s="121">
        <f t="shared" si="18"/>
        <v>59.458475661329992</v>
      </c>
      <c r="V80" s="121">
        <f t="shared" si="18"/>
        <v>73.884791463013997</v>
      </c>
      <c r="W80" s="121">
        <f t="shared" si="18"/>
        <v>83.243135617449994</v>
      </c>
      <c r="X80" s="121">
        <f t="shared" si="18"/>
        <v>92.601479771885991</v>
      </c>
      <c r="Y80" s="121">
        <f t="shared" si="18"/>
        <v>101.95982392632199</v>
      </c>
      <c r="Z80" s="121">
        <f t="shared" si="18"/>
        <v>111.31816808075799</v>
      </c>
      <c r="AA80" s="121">
        <f t="shared" si="18"/>
        <v>120.676512235194</v>
      </c>
      <c r="AB80" s="121">
        <f t="shared" si="18"/>
        <v>133.572178825994</v>
      </c>
      <c r="AC80" s="121">
        <f t="shared" si="18"/>
        <v>146.46784541679401</v>
      </c>
      <c r="AD80" s="121">
        <f t="shared" si="18"/>
        <v>159.36351200759401</v>
      </c>
      <c r="AE80" s="121">
        <f t="shared" si="18"/>
        <v>172.25917859839402</v>
      </c>
      <c r="AF80" s="121">
        <f t="shared" si="18"/>
        <v>185.15484518919399</v>
      </c>
      <c r="AG80" s="121">
        <f t="shared" si="18"/>
        <v>200.136609963474</v>
      </c>
      <c r="AH80" s="121">
        <f t="shared" si="18"/>
        <v>215.11837473775401</v>
      </c>
      <c r="AI80" s="121">
        <f t="shared" si="18"/>
        <v>230.10013951203402</v>
      </c>
      <c r="AJ80" s="121">
        <f t="shared" si="18"/>
        <v>245.08190428631403</v>
      </c>
    </row>
    <row r="81" spans="2:36">
      <c r="B81" s="117" t="s">
        <v>173</v>
      </c>
      <c r="C81" s="122"/>
      <c r="E81" s="117"/>
      <c r="F81" s="121"/>
      <c r="H81" s="35" t="s">
        <v>22</v>
      </c>
      <c r="I81" s="121">
        <f t="shared" si="19"/>
        <v>1.2273726189348</v>
      </c>
      <c r="J81" s="121">
        <f t="shared" si="18"/>
        <v>1.2871976241612</v>
      </c>
      <c r="K81" s="121">
        <f t="shared" si="18"/>
        <v>1.3470226293876</v>
      </c>
      <c r="L81" s="121">
        <f t="shared" si="18"/>
        <v>1.406847634614</v>
      </c>
      <c r="M81" s="121">
        <f t="shared" si="18"/>
        <v>1.4761205986099999</v>
      </c>
      <c r="N81" s="121">
        <f t="shared" si="18"/>
        <v>1.5453935626059998</v>
      </c>
      <c r="O81" s="121">
        <f t="shared" si="18"/>
        <v>1.6146665266019997</v>
      </c>
      <c r="P81" s="121">
        <f t="shared" si="18"/>
        <v>1.6839394905979996</v>
      </c>
      <c r="Q81" s="121">
        <f t="shared" si="18"/>
        <v>1.753212454594</v>
      </c>
      <c r="R81" s="121">
        <f t="shared" si="18"/>
        <v>17.616792503824399</v>
      </c>
      <c r="S81" s="121">
        <f t="shared" si="18"/>
        <v>33.480372553054799</v>
      </c>
      <c r="T81" s="121">
        <f t="shared" si="18"/>
        <v>49.343952602285199</v>
      </c>
      <c r="U81" s="121">
        <f t="shared" si="18"/>
        <v>65.207532651515592</v>
      </c>
      <c r="V81" s="121">
        <f t="shared" si="18"/>
        <v>81.071112700745999</v>
      </c>
      <c r="W81" s="121">
        <f t="shared" si="18"/>
        <v>86.933679432099993</v>
      </c>
      <c r="X81" s="121">
        <f t="shared" si="18"/>
        <v>92.796246163453986</v>
      </c>
      <c r="Y81" s="121">
        <f t="shared" si="18"/>
        <v>98.65881289480798</v>
      </c>
      <c r="Z81" s="121">
        <f t="shared" si="18"/>
        <v>104.52137962616197</v>
      </c>
      <c r="AA81" s="121">
        <f t="shared" si="18"/>
        <v>110.383946357516</v>
      </c>
      <c r="AB81" s="121">
        <f t="shared" si="18"/>
        <v>117.24192417638679</v>
      </c>
      <c r="AC81" s="121">
        <f t="shared" si="18"/>
        <v>124.09990199525758</v>
      </c>
      <c r="AD81" s="121">
        <f t="shared" si="18"/>
        <v>130.95787981412838</v>
      </c>
      <c r="AE81" s="121">
        <f t="shared" si="18"/>
        <v>137.81585763299918</v>
      </c>
      <c r="AF81" s="121">
        <f t="shared" si="18"/>
        <v>144.67383545186999</v>
      </c>
      <c r="AG81" s="121">
        <f t="shared" si="18"/>
        <v>151.8096594976648</v>
      </c>
      <c r="AH81" s="121">
        <f t="shared" si="18"/>
        <v>158.9454835434596</v>
      </c>
      <c r="AI81" s="121">
        <f t="shared" si="18"/>
        <v>166.08130758925441</v>
      </c>
      <c r="AJ81" s="121">
        <f t="shared" si="18"/>
        <v>173.21713163504921</v>
      </c>
    </row>
    <row r="82" spans="2:36">
      <c r="B82" s="117" t="s">
        <v>173</v>
      </c>
      <c r="C82" s="122"/>
      <c r="E82" s="117"/>
      <c r="F82" s="121"/>
      <c r="H82" s="35" t="s">
        <v>24</v>
      </c>
      <c r="I82" s="121">
        <f t="shared" si="19"/>
        <v>6.5387898932644006</v>
      </c>
      <c r="J82" s="121">
        <f t="shared" si="18"/>
        <v>9.2543235356556011</v>
      </c>
      <c r="K82" s="121">
        <f t="shared" si="18"/>
        <v>11.969857178046801</v>
      </c>
      <c r="L82" s="121">
        <f t="shared" si="18"/>
        <v>14.685390820438</v>
      </c>
      <c r="M82" s="121">
        <f t="shared" si="18"/>
        <v>17.400866528027198</v>
      </c>
      <c r="N82" s="121">
        <f t="shared" si="18"/>
        <v>20.116342235616397</v>
      </c>
      <c r="O82" s="121">
        <f t="shared" si="18"/>
        <v>22.831817943205596</v>
      </c>
      <c r="P82" s="121">
        <f t="shared" si="18"/>
        <v>25.547293650794796</v>
      </c>
      <c r="Q82" s="121">
        <f t="shared" si="18"/>
        <v>28.262769358383991</v>
      </c>
      <c r="R82" s="121">
        <f t="shared" si="18"/>
        <v>28.776114485022791</v>
      </c>
      <c r="S82" s="121">
        <f t="shared" si="18"/>
        <v>29.289459611661592</v>
      </c>
      <c r="T82" s="121">
        <f t="shared" si="18"/>
        <v>29.802804738300392</v>
      </c>
      <c r="U82" s="121">
        <f t="shared" si="18"/>
        <v>30.316149864939192</v>
      </c>
      <c r="V82" s="121">
        <f t="shared" si="18"/>
        <v>30.829494991577999</v>
      </c>
      <c r="W82" s="121">
        <f t="shared" si="18"/>
        <v>31.388516204125999</v>
      </c>
      <c r="X82" s="121">
        <f t="shared" si="18"/>
        <v>31.947537416673999</v>
      </c>
      <c r="Y82" s="121">
        <f t="shared" si="18"/>
        <v>32.506558629221999</v>
      </c>
      <c r="Z82" s="121">
        <f t="shared" si="18"/>
        <v>33.065579841769996</v>
      </c>
      <c r="AA82" s="121">
        <f t="shared" si="18"/>
        <v>33.624601054317992</v>
      </c>
      <c r="AB82" s="121">
        <f t="shared" si="18"/>
        <v>34.232998470232793</v>
      </c>
      <c r="AC82" s="121">
        <f t="shared" si="18"/>
        <v>34.841395886147595</v>
      </c>
      <c r="AD82" s="121">
        <f t="shared" si="18"/>
        <v>35.449793302062396</v>
      </c>
      <c r="AE82" s="121">
        <f t="shared" si="18"/>
        <v>36.058190717977197</v>
      </c>
      <c r="AF82" s="121">
        <f t="shared" si="18"/>
        <v>36.666588133891999</v>
      </c>
      <c r="AG82" s="121">
        <f t="shared" si="18"/>
        <v>37.328936985231202</v>
      </c>
      <c r="AH82" s="121">
        <f t="shared" si="18"/>
        <v>37.991285836570405</v>
      </c>
      <c r="AI82" s="121">
        <f t="shared" si="18"/>
        <v>38.653634687909609</v>
      </c>
      <c r="AJ82" s="121">
        <f t="shared" si="18"/>
        <v>39.315983539248812</v>
      </c>
    </row>
    <row r="83" spans="2:36">
      <c r="B83" s="117" t="s">
        <v>173</v>
      </c>
      <c r="C83" s="122"/>
      <c r="E83" s="117"/>
      <c r="F83" s="121"/>
      <c r="H83" s="35" t="s">
        <v>25</v>
      </c>
      <c r="I83" s="121">
        <f t="shared" si="19"/>
        <v>25.389440745104398</v>
      </c>
      <c r="J83" s="121">
        <f t="shared" si="18"/>
        <v>37.530299813415596</v>
      </c>
      <c r="K83" s="121">
        <f t="shared" si="18"/>
        <v>49.671158881726797</v>
      </c>
      <c r="L83" s="121">
        <f t="shared" si="18"/>
        <v>61.812017950037998</v>
      </c>
      <c r="M83" s="121">
        <f t="shared" si="18"/>
        <v>67.143963640499592</v>
      </c>
      <c r="N83" s="121">
        <f t="shared" si="18"/>
        <v>72.475909330961187</v>
      </c>
      <c r="O83" s="121">
        <f t="shared" si="18"/>
        <v>77.807855021422782</v>
      </c>
      <c r="P83" s="121">
        <f t="shared" si="18"/>
        <v>83.139800711884376</v>
      </c>
      <c r="Q83" s="121">
        <f t="shared" si="18"/>
        <v>88.471746402346</v>
      </c>
      <c r="R83" s="121">
        <f t="shared" si="18"/>
        <v>98.112007994063603</v>
      </c>
      <c r="S83" s="121">
        <f t="shared" si="18"/>
        <v>107.75226958578121</v>
      </c>
      <c r="T83" s="121">
        <f t="shared" si="18"/>
        <v>117.39253117749881</v>
      </c>
      <c r="U83" s="121">
        <f t="shared" si="18"/>
        <v>127.03279276921641</v>
      </c>
      <c r="V83" s="121">
        <f t="shared" si="18"/>
        <v>136.673054360934</v>
      </c>
      <c r="W83" s="121">
        <f t="shared" si="18"/>
        <v>152.3950284390416</v>
      </c>
      <c r="X83" s="121">
        <f t="shared" si="18"/>
        <v>168.11700251714919</v>
      </c>
      <c r="Y83" s="121">
        <f t="shared" si="18"/>
        <v>183.83897659525678</v>
      </c>
      <c r="Z83" s="121">
        <f t="shared" si="18"/>
        <v>199.56095067336437</v>
      </c>
      <c r="AA83" s="121">
        <f t="shared" si="18"/>
        <v>215.282924751472</v>
      </c>
      <c r="AB83" s="121">
        <f t="shared" si="18"/>
        <v>238.91711118915001</v>
      </c>
      <c r="AC83" s="121">
        <f t="shared" si="18"/>
        <v>262.55129762682799</v>
      </c>
      <c r="AD83" s="121">
        <f t="shared" si="18"/>
        <v>286.185484064506</v>
      </c>
      <c r="AE83" s="121">
        <f t="shared" si="18"/>
        <v>309.81967050218401</v>
      </c>
      <c r="AF83" s="121">
        <f t="shared" si="18"/>
        <v>333.45385693986202</v>
      </c>
      <c r="AG83" s="121">
        <f t="shared" si="18"/>
        <v>366.77473710987164</v>
      </c>
      <c r="AH83" s="121">
        <f t="shared" si="18"/>
        <v>400.09561727988125</v>
      </c>
      <c r="AI83" s="121">
        <f t="shared" si="18"/>
        <v>433.41649744989087</v>
      </c>
      <c r="AJ83" s="121">
        <f t="shared" si="18"/>
        <v>466.73737761990049</v>
      </c>
    </row>
    <row r="84" spans="2:36">
      <c r="B84" s="117" t="s">
        <v>173</v>
      </c>
      <c r="C84" s="122"/>
      <c r="E84" s="117"/>
      <c r="F84" s="121"/>
      <c r="H84" s="117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</row>
    <row r="85" spans="2:36">
      <c r="B85" s="117" t="s">
        <v>173</v>
      </c>
      <c r="C85" s="122"/>
      <c r="E85" s="117"/>
      <c r="F85" s="121"/>
      <c r="H85" s="117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</row>
    <row r="86" spans="2:36">
      <c r="B86" s="117" t="s">
        <v>173</v>
      </c>
      <c r="C86" s="122"/>
      <c r="E86" s="117"/>
      <c r="F86" s="121"/>
      <c r="H86" s="117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</row>
    <row r="87" spans="2:36">
      <c r="F87" s="127"/>
    </row>
    <row r="88" spans="2:36">
      <c r="B88" s="113" t="s">
        <v>271</v>
      </c>
      <c r="E88" s="113" t="s">
        <v>68</v>
      </c>
      <c r="H88" s="113" t="s">
        <v>71</v>
      </c>
      <c r="I88" s="115">
        <v>2023</v>
      </c>
      <c r="J88" s="115">
        <v>2024</v>
      </c>
      <c r="K88" s="115">
        <v>2025</v>
      </c>
      <c r="L88" s="115">
        <v>2026</v>
      </c>
      <c r="M88" s="115">
        <v>2027</v>
      </c>
      <c r="N88" s="115">
        <v>2028</v>
      </c>
      <c r="O88" s="115">
        <v>2029</v>
      </c>
      <c r="P88" s="115">
        <v>2030</v>
      </c>
      <c r="Q88" s="115">
        <v>2031</v>
      </c>
      <c r="R88" s="115">
        <v>2032</v>
      </c>
      <c r="S88" s="115">
        <v>2033</v>
      </c>
      <c r="T88" s="115">
        <v>2034</v>
      </c>
      <c r="U88" s="115">
        <v>2035</v>
      </c>
      <c r="V88" s="115">
        <v>2036</v>
      </c>
      <c r="W88" s="115">
        <v>2037</v>
      </c>
      <c r="X88" s="115">
        <v>2038</v>
      </c>
      <c r="Y88" s="115">
        <v>2039</v>
      </c>
      <c r="Z88" s="115">
        <v>2040</v>
      </c>
      <c r="AA88" s="115">
        <v>2041</v>
      </c>
      <c r="AB88" s="115">
        <v>2042</v>
      </c>
      <c r="AC88" s="115">
        <v>2043</v>
      </c>
      <c r="AD88" s="115">
        <v>2044</v>
      </c>
      <c r="AE88" s="115">
        <v>2045</v>
      </c>
      <c r="AF88" s="115">
        <v>2046</v>
      </c>
      <c r="AG88" s="115">
        <v>2047</v>
      </c>
      <c r="AH88" s="115">
        <v>2048</v>
      </c>
      <c r="AI88" s="115">
        <v>2049</v>
      </c>
      <c r="AJ88" s="115">
        <v>2050</v>
      </c>
    </row>
    <row r="89" spans="2:36">
      <c r="B89" s="117" t="s">
        <v>173</v>
      </c>
      <c r="C89" s="122"/>
      <c r="E89" s="117"/>
      <c r="F89" s="121"/>
      <c r="H89" s="117" t="s">
        <v>8</v>
      </c>
      <c r="I89" s="121">
        <f>I101</f>
        <v>1.2274021734379998</v>
      </c>
      <c r="J89" s="121">
        <f t="shared" ref="J89:AJ89" si="20">J101</f>
        <v>1.2872419559159998</v>
      </c>
      <c r="K89" s="121">
        <f t="shared" si="20"/>
        <v>1.3470817383939997</v>
      </c>
      <c r="L89" s="121">
        <f t="shared" si="20"/>
        <v>1.4069215208720001</v>
      </c>
      <c r="M89" s="121">
        <f t="shared" si="20"/>
        <v>1.4762026156796</v>
      </c>
      <c r="N89" s="121">
        <f t="shared" si="20"/>
        <v>1.5454837104871999</v>
      </c>
      <c r="O89" s="121">
        <f t="shared" si="20"/>
        <v>1.6147648052947998</v>
      </c>
      <c r="P89" s="121">
        <f t="shared" si="20"/>
        <v>1.6840459001023997</v>
      </c>
      <c r="Q89" s="121">
        <f t="shared" si="20"/>
        <v>1.7533269949100001</v>
      </c>
      <c r="R89" s="121">
        <f t="shared" si="20"/>
        <v>1.8328976871844</v>
      </c>
      <c r="S89" s="121">
        <f t="shared" si="20"/>
        <v>1.9124683794588</v>
      </c>
      <c r="T89" s="121">
        <f t="shared" si="20"/>
        <v>1.9920390717331999</v>
      </c>
      <c r="U89" s="121">
        <f t="shared" si="20"/>
        <v>2.0716097640075999</v>
      </c>
      <c r="V89" s="121">
        <f t="shared" si="20"/>
        <v>2.1511804562819998</v>
      </c>
      <c r="W89" s="121">
        <f t="shared" si="20"/>
        <v>2.2421281479167998</v>
      </c>
      <c r="X89" s="121">
        <f t="shared" si="20"/>
        <v>2.3330758395515998</v>
      </c>
      <c r="Y89" s="121">
        <f t="shared" si="20"/>
        <v>2.4240235311863998</v>
      </c>
      <c r="Z89" s="121">
        <f t="shared" si="20"/>
        <v>2.5149712228211998</v>
      </c>
      <c r="AA89" s="121">
        <f t="shared" si="20"/>
        <v>2.6059189144560002</v>
      </c>
      <c r="AB89" s="121">
        <f t="shared" si="20"/>
        <v>2.7092753544872004</v>
      </c>
      <c r="AC89" s="121">
        <f t="shared" si="20"/>
        <v>2.8126317945184005</v>
      </c>
      <c r="AD89" s="121">
        <f t="shared" si="20"/>
        <v>2.9159882345496007</v>
      </c>
      <c r="AE89" s="121">
        <f t="shared" si="20"/>
        <v>3.0193446745808008</v>
      </c>
      <c r="AF89" s="121">
        <f t="shared" si="20"/>
        <v>3.1227011146120001</v>
      </c>
      <c r="AG89" s="121">
        <f t="shared" si="20"/>
        <v>3.2396168904228002</v>
      </c>
      <c r="AH89" s="121">
        <f t="shared" si="20"/>
        <v>3.3565326662336004</v>
      </c>
      <c r="AI89" s="121">
        <f t="shared" si="20"/>
        <v>3.4734484420444005</v>
      </c>
      <c r="AJ89" s="121">
        <f t="shared" si="20"/>
        <v>3.5903642178552007</v>
      </c>
    </row>
    <row r="90" spans="2:36">
      <c r="B90" s="117" t="s">
        <v>173</v>
      </c>
      <c r="C90" s="122"/>
      <c r="E90" s="117"/>
      <c r="F90" s="121"/>
      <c r="H90" s="35" t="s">
        <v>12</v>
      </c>
      <c r="I90" s="121">
        <f t="shared" ref="I90:AJ94" si="21">I102</f>
        <v>13.458131390376399</v>
      </c>
      <c r="J90" s="121">
        <f t="shared" si="21"/>
        <v>19.633335781323598</v>
      </c>
      <c r="K90" s="121">
        <f t="shared" si="21"/>
        <v>25.808540172270799</v>
      </c>
      <c r="L90" s="121">
        <f t="shared" si="21"/>
        <v>31.983744563218</v>
      </c>
      <c r="M90" s="121">
        <f t="shared" si="21"/>
        <v>33.368109551101597</v>
      </c>
      <c r="N90" s="121">
        <f t="shared" si="21"/>
        <v>34.752474538985197</v>
      </c>
      <c r="O90" s="121">
        <f t="shared" si="21"/>
        <v>36.136839526868798</v>
      </c>
      <c r="P90" s="121">
        <f t="shared" si="21"/>
        <v>37.521204514752398</v>
      </c>
      <c r="Q90" s="121">
        <f t="shared" si="21"/>
        <v>38.905569502635991</v>
      </c>
      <c r="R90" s="121">
        <f t="shared" si="21"/>
        <v>41.067194329817596</v>
      </c>
      <c r="S90" s="121">
        <f t="shared" si="21"/>
        <v>43.228819156999201</v>
      </c>
      <c r="T90" s="121">
        <f t="shared" si="21"/>
        <v>45.390443984180806</v>
      </c>
      <c r="U90" s="121">
        <f t="shared" si="21"/>
        <v>47.55206881136241</v>
      </c>
      <c r="V90" s="121">
        <f t="shared" si="21"/>
        <v>49.713693638544001</v>
      </c>
      <c r="W90" s="121">
        <f t="shared" si="21"/>
        <v>52.840679425011601</v>
      </c>
      <c r="X90" s="121">
        <f t="shared" si="21"/>
        <v>55.967665211479201</v>
      </c>
      <c r="Y90" s="121">
        <f t="shared" si="21"/>
        <v>59.0946509979468</v>
      </c>
      <c r="Z90" s="121">
        <f t="shared" si="21"/>
        <v>62.2216367844144</v>
      </c>
      <c r="AA90" s="121">
        <f t="shared" si="21"/>
        <v>65.348622570882</v>
      </c>
      <c r="AB90" s="121">
        <f t="shared" si="21"/>
        <v>69.779332531809203</v>
      </c>
      <c r="AC90" s="121">
        <f t="shared" si="21"/>
        <v>74.210042492736406</v>
      </c>
      <c r="AD90" s="121">
        <f t="shared" si="21"/>
        <v>78.640752453663609</v>
      </c>
      <c r="AE90" s="121">
        <f t="shared" si="21"/>
        <v>83.071462414590812</v>
      </c>
      <c r="AF90" s="121">
        <f t="shared" si="21"/>
        <v>87.502172375517986</v>
      </c>
      <c r="AG90" s="121">
        <f t="shared" si="21"/>
        <v>93.495521084597186</v>
      </c>
      <c r="AH90" s="121">
        <f t="shared" si="21"/>
        <v>99.488869793676386</v>
      </c>
      <c r="AI90" s="121">
        <f t="shared" si="21"/>
        <v>105.48221850275559</v>
      </c>
      <c r="AJ90" s="121">
        <f t="shared" si="21"/>
        <v>111.47556721183479</v>
      </c>
    </row>
    <row r="91" spans="2:36">
      <c r="B91" s="117" t="s">
        <v>173</v>
      </c>
      <c r="C91" s="122"/>
      <c r="E91" s="117"/>
      <c r="F91" s="121"/>
      <c r="H91" s="35" t="s">
        <v>15</v>
      </c>
      <c r="I91" s="121">
        <f t="shared" si="21"/>
        <v>1.2274021734379998</v>
      </c>
      <c r="J91" s="121">
        <f t="shared" si="21"/>
        <v>1.2872419559159998</v>
      </c>
      <c r="K91" s="121">
        <f t="shared" si="21"/>
        <v>1.3470817383939997</v>
      </c>
      <c r="L91" s="121">
        <f t="shared" si="21"/>
        <v>1.4069215208720001</v>
      </c>
      <c r="M91" s="121">
        <f t="shared" si="21"/>
        <v>1.4762026156796</v>
      </c>
      <c r="N91" s="121">
        <f t="shared" si="21"/>
        <v>1.5454837104871999</v>
      </c>
      <c r="O91" s="121">
        <f t="shared" si="21"/>
        <v>1.6147648052947998</v>
      </c>
      <c r="P91" s="121">
        <f t="shared" si="21"/>
        <v>1.6840459001023997</v>
      </c>
      <c r="Q91" s="121">
        <f t="shared" si="21"/>
        <v>1.7533269949100001</v>
      </c>
      <c r="R91" s="121">
        <f t="shared" si="21"/>
        <v>1.8328976871844</v>
      </c>
      <c r="S91" s="121">
        <f t="shared" si="21"/>
        <v>1.9124683794588</v>
      </c>
      <c r="T91" s="121">
        <f t="shared" si="21"/>
        <v>1.9920390717331999</v>
      </c>
      <c r="U91" s="121">
        <f t="shared" si="21"/>
        <v>2.0716097640075999</v>
      </c>
      <c r="V91" s="121">
        <f t="shared" si="21"/>
        <v>2.1511804562819998</v>
      </c>
      <c r="W91" s="121">
        <f t="shared" si="21"/>
        <v>2.2421281479167998</v>
      </c>
      <c r="X91" s="121">
        <f t="shared" si="21"/>
        <v>2.3330758395515998</v>
      </c>
      <c r="Y91" s="121">
        <f t="shared" si="21"/>
        <v>2.4240235311863998</v>
      </c>
      <c r="Z91" s="121">
        <f t="shared" si="21"/>
        <v>2.5149712228211998</v>
      </c>
      <c r="AA91" s="121">
        <f t="shared" si="21"/>
        <v>2.6059189144560002</v>
      </c>
      <c r="AB91" s="121">
        <f t="shared" si="21"/>
        <v>2.7092753544872004</v>
      </c>
      <c r="AC91" s="121">
        <f t="shared" si="21"/>
        <v>2.8126317945184005</v>
      </c>
      <c r="AD91" s="121">
        <f t="shared" si="21"/>
        <v>2.9159882345496007</v>
      </c>
      <c r="AE91" s="121">
        <f t="shared" si="21"/>
        <v>3.0193446745808008</v>
      </c>
      <c r="AF91" s="121">
        <f t="shared" si="21"/>
        <v>3.1227011146120001</v>
      </c>
      <c r="AG91" s="121">
        <f t="shared" si="21"/>
        <v>3.2396168904228002</v>
      </c>
      <c r="AH91" s="121">
        <f t="shared" si="21"/>
        <v>3.3565326662336004</v>
      </c>
      <c r="AI91" s="121">
        <f t="shared" si="21"/>
        <v>3.4734484420444005</v>
      </c>
      <c r="AJ91" s="121">
        <f t="shared" si="21"/>
        <v>3.5903642178552007</v>
      </c>
    </row>
    <row r="92" spans="2:36">
      <c r="B92" s="117" t="s">
        <v>173</v>
      </c>
      <c r="C92" s="122"/>
      <c r="E92" s="117"/>
      <c r="F92" s="121"/>
      <c r="H92" s="35" t="s">
        <v>19</v>
      </c>
      <c r="I92" s="121">
        <f t="shared" si="21"/>
        <v>1.2273726189348</v>
      </c>
      <c r="J92" s="121">
        <f t="shared" si="21"/>
        <v>1.2871976241612</v>
      </c>
      <c r="K92" s="121">
        <f t="shared" si="21"/>
        <v>1.3470226293876</v>
      </c>
      <c r="L92" s="121">
        <f t="shared" si="21"/>
        <v>1.406847634614</v>
      </c>
      <c r="M92" s="121">
        <f t="shared" si="21"/>
        <v>1.4761205986099999</v>
      </c>
      <c r="N92" s="121">
        <f t="shared" si="21"/>
        <v>1.5453935626059998</v>
      </c>
      <c r="O92" s="121">
        <f t="shared" si="21"/>
        <v>1.6146665266019997</v>
      </c>
      <c r="P92" s="121">
        <f t="shared" si="21"/>
        <v>1.6839394905979996</v>
      </c>
      <c r="Q92" s="121">
        <f t="shared" si="21"/>
        <v>1.753212454594</v>
      </c>
      <c r="R92" s="121">
        <f t="shared" si="21"/>
        <v>16.179528256277997</v>
      </c>
      <c r="S92" s="121">
        <f t="shared" si="21"/>
        <v>30.605844057961995</v>
      </c>
      <c r="T92" s="121">
        <f t="shared" si="21"/>
        <v>45.032159859645994</v>
      </c>
      <c r="U92" s="121">
        <f t="shared" si="21"/>
        <v>59.458475661329992</v>
      </c>
      <c r="V92" s="121">
        <f t="shared" si="21"/>
        <v>73.884791463013997</v>
      </c>
      <c r="W92" s="121">
        <f t="shared" si="21"/>
        <v>83.243135617449994</v>
      </c>
      <c r="X92" s="121">
        <f t="shared" si="21"/>
        <v>92.601479771885991</v>
      </c>
      <c r="Y92" s="121">
        <f t="shared" si="21"/>
        <v>101.95982392632199</v>
      </c>
      <c r="Z92" s="121">
        <f t="shared" si="21"/>
        <v>111.31816808075799</v>
      </c>
      <c r="AA92" s="121">
        <f t="shared" si="21"/>
        <v>120.676512235194</v>
      </c>
      <c r="AB92" s="121">
        <f t="shared" si="21"/>
        <v>133.572178825994</v>
      </c>
      <c r="AC92" s="121">
        <f t="shared" si="21"/>
        <v>146.46784541679401</v>
      </c>
      <c r="AD92" s="121">
        <f t="shared" si="21"/>
        <v>159.36351200759401</v>
      </c>
      <c r="AE92" s="121">
        <f t="shared" si="21"/>
        <v>172.25917859839402</v>
      </c>
      <c r="AF92" s="121">
        <f t="shared" si="21"/>
        <v>185.15484518919399</v>
      </c>
      <c r="AG92" s="121">
        <f t="shared" si="21"/>
        <v>200.136609963474</v>
      </c>
      <c r="AH92" s="121">
        <f t="shared" si="21"/>
        <v>215.11837473775401</v>
      </c>
      <c r="AI92" s="121">
        <f t="shared" si="21"/>
        <v>230.10013951203402</v>
      </c>
      <c r="AJ92" s="121">
        <f t="shared" si="21"/>
        <v>245.08190428631403</v>
      </c>
    </row>
    <row r="93" spans="2:36">
      <c r="B93" s="117" t="s">
        <v>173</v>
      </c>
      <c r="C93" s="122"/>
      <c r="E93" s="117"/>
      <c r="F93" s="121"/>
      <c r="H93" s="35" t="s">
        <v>22</v>
      </c>
      <c r="I93" s="121">
        <f t="shared" si="21"/>
        <v>1.2273726189348</v>
      </c>
      <c r="J93" s="121">
        <f t="shared" si="21"/>
        <v>1.2871976241612</v>
      </c>
      <c r="K93" s="121">
        <f t="shared" si="21"/>
        <v>1.3470226293876</v>
      </c>
      <c r="L93" s="121">
        <f t="shared" si="21"/>
        <v>1.406847634614</v>
      </c>
      <c r="M93" s="121">
        <f t="shared" si="21"/>
        <v>1.4761205986099999</v>
      </c>
      <c r="N93" s="121">
        <f t="shared" si="21"/>
        <v>1.5453935626059998</v>
      </c>
      <c r="O93" s="121">
        <f t="shared" si="21"/>
        <v>1.6146665266019997</v>
      </c>
      <c r="P93" s="121">
        <f t="shared" si="21"/>
        <v>1.6839394905979996</v>
      </c>
      <c r="Q93" s="121">
        <f t="shared" si="21"/>
        <v>1.753212454594</v>
      </c>
      <c r="R93" s="121">
        <f t="shared" si="21"/>
        <v>17.616792503824399</v>
      </c>
      <c r="S93" s="121">
        <f t="shared" si="21"/>
        <v>33.480372553054799</v>
      </c>
      <c r="T93" s="121">
        <f t="shared" si="21"/>
        <v>49.343952602285199</v>
      </c>
      <c r="U93" s="121">
        <f t="shared" si="21"/>
        <v>65.207532651515592</v>
      </c>
      <c r="V93" s="121">
        <f t="shared" si="21"/>
        <v>81.071112700745999</v>
      </c>
      <c r="W93" s="121">
        <f t="shared" si="21"/>
        <v>86.933679432099993</v>
      </c>
      <c r="X93" s="121">
        <f t="shared" si="21"/>
        <v>92.796246163453986</v>
      </c>
      <c r="Y93" s="121">
        <f t="shared" si="21"/>
        <v>98.65881289480798</v>
      </c>
      <c r="Z93" s="121">
        <f t="shared" si="21"/>
        <v>104.52137962616197</v>
      </c>
      <c r="AA93" s="121">
        <f t="shared" si="21"/>
        <v>110.383946357516</v>
      </c>
      <c r="AB93" s="121">
        <f t="shared" si="21"/>
        <v>117.24192417638679</v>
      </c>
      <c r="AC93" s="121">
        <f t="shared" si="21"/>
        <v>124.09990199525758</v>
      </c>
      <c r="AD93" s="121">
        <f t="shared" si="21"/>
        <v>130.95787981412838</v>
      </c>
      <c r="AE93" s="121">
        <f t="shared" si="21"/>
        <v>137.81585763299918</v>
      </c>
      <c r="AF93" s="121">
        <f t="shared" si="21"/>
        <v>144.67383545186999</v>
      </c>
      <c r="AG93" s="121">
        <f t="shared" si="21"/>
        <v>151.8096594976648</v>
      </c>
      <c r="AH93" s="121">
        <f t="shared" si="21"/>
        <v>158.9454835434596</v>
      </c>
      <c r="AI93" s="121">
        <f t="shared" si="21"/>
        <v>166.08130758925441</v>
      </c>
      <c r="AJ93" s="121">
        <f t="shared" si="21"/>
        <v>173.21713163504921</v>
      </c>
    </row>
    <row r="94" spans="2:36">
      <c r="B94" s="117" t="s">
        <v>173</v>
      </c>
      <c r="C94" s="122"/>
      <c r="E94" s="117"/>
      <c r="F94" s="121"/>
      <c r="H94" s="35" t="s">
        <v>24</v>
      </c>
      <c r="I94" s="121">
        <f>I106</f>
        <v>6.5387898932644006</v>
      </c>
      <c r="J94" s="121">
        <f t="shared" si="21"/>
        <v>9.2543235356556011</v>
      </c>
      <c r="K94" s="121">
        <f t="shared" si="21"/>
        <v>11.969857178046801</v>
      </c>
      <c r="L94" s="121">
        <f t="shared" si="21"/>
        <v>14.685390820438</v>
      </c>
      <c r="M94" s="121">
        <f t="shared" si="21"/>
        <v>17.400866528027198</v>
      </c>
      <c r="N94" s="121">
        <f t="shared" si="21"/>
        <v>20.116342235616397</v>
      </c>
      <c r="O94" s="121">
        <f t="shared" si="21"/>
        <v>22.831817943205596</v>
      </c>
      <c r="P94" s="121">
        <f t="shared" si="21"/>
        <v>25.547293650794796</v>
      </c>
      <c r="Q94" s="121">
        <f t="shared" si="21"/>
        <v>28.262769358383991</v>
      </c>
      <c r="R94" s="121">
        <f t="shared" si="21"/>
        <v>28.776114485022791</v>
      </c>
      <c r="S94" s="121">
        <f t="shared" si="21"/>
        <v>29.289459611661592</v>
      </c>
      <c r="T94" s="121">
        <f t="shared" si="21"/>
        <v>29.802804738300392</v>
      </c>
      <c r="U94" s="121">
        <f t="shared" si="21"/>
        <v>30.316149864939192</v>
      </c>
      <c r="V94" s="121">
        <f t="shared" si="21"/>
        <v>30.829494991577999</v>
      </c>
      <c r="W94" s="121">
        <f t="shared" si="21"/>
        <v>31.388516204125999</v>
      </c>
      <c r="X94" s="121">
        <f t="shared" si="21"/>
        <v>31.947537416673999</v>
      </c>
      <c r="Y94" s="121">
        <f t="shared" si="21"/>
        <v>32.506558629221999</v>
      </c>
      <c r="Z94" s="121">
        <f t="shared" si="21"/>
        <v>33.065579841769996</v>
      </c>
      <c r="AA94" s="121">
        <f t="shared" si="21"/>
        <v>33.624601054317992</v>
      </c>
      <c r="AB94" s="121">
        <f t="shared" si="21"/>
        <v>34.232998470232793</v>
      </c>
      <c r="AC94" s="121">
        <f t="shared" si="21"/>
        <v>34.841395886147595</v>
      </c>
      <c r="AD94" s="121">
        <f t="shared" si="21"/>
        <v>35.449793302062396</v>
      </c>
      <c r="AE94" s="121">
        <f t="shared" si="21"/>
        <v>36.058190717977197</v>
      </c>
      <c r="AF94" s="121">
        <f t="shared" si="21"/>
        <v>36.666588133891999</v>
      </c>
      <c r="AG94" s="121">
        <f t="shared" si="21"/>
        <v>37.328936985231202</v>
      </c>
      <c r="AH94" s="121">
        <f t="shared" si="21"/>
        <v>37.991285836570405</v>
      </c>
      <c r="AI94" s="121">
        <f t="shared" si="21"/>
        <v>38.653634687909609</v>
      </c>
      <c r="AJ94" s="121">
        <f t="shared" si="21"/>
        <v>39.315983539248812</v>
      </c>
    </row>
    <row r="95" spans="2:36">
      <c r="B95" s="117" t="s">
        <v>173</v>
      </c>
      <c r="C95" s="122"/>
      <c r="E95" s="117"/>
      <c r="F95" s="121"/>
      <c r="H95" s="35" t="s">
        <v>25</v>
      </c>
      <c r="I95" s="121">
        <f t="shared" ref="I95:AJ95" si="22">I107</f>
        <v>25.389440745104398</v>
      </c>
      <c r="J95" s="121">
        <f t="shared" si="22"/>
        <v>37.530299813415596</v>
      </c>
      <c r="K95" s="121">
        <f t="shared" si="22"/>
        <v>49.671158881726797</v>
      </c>
      <c r="L95" s="121">
        <f t="shared" si="22"/>
        <v>61.812017950037998</v>
      </c>
      <c r="M95" s="121">
        <f t="shared" si="22"/>
        <v>67.143963640499592</v>
      </c>
      <c r="N95" s="121">
        <f t="shared" si="22"/>
        <v>72.475909330961187</v>
      </c>
      <c r="O95" s="121">
        <f t="shared" si="22"/>
        <v>77.807855021422782</v>
      </c>
      <c r="P95" s="121">
        <f t="shared" si="22"/>
        <v>83.139800711884376</v>
      </c>
      <c r="Q95" s="121">
        <f t="shared" si="22"/>
        <v>88.471746402346</v>
      </c>
      <c r="R95" s="121">
        <f t="shared" si="22"/>
        <v>98.112007994063603</v>
      </c>
      <c r="S95" s="121">
        <f t="shared" si="22"/>
        <v>107.75226958578121</v>
      </c>
      <c r="T95" s="121">
        <f t="shared" si="22"/>
        <v>117.39253117749881</v>
      </c>
      <c r="U95" s="121">
        <f t="shared" si="22"/>
        <v>127.03279276921641</v>
      </c>
      <c r="V95" s="121">
        <f t="shared" si="22"/>
        <v>136.673054360934</v>
      </c>
      <c r="W95" s="121">
        <f t="shared" si="22"/>
        <v>152.3950284390416</v>
      </c>
      <c r="X95" s="121">
        <f t="shared" si="22"/>
        <v>168.11700251714919</v>
      </c>
      <c r="Y95" s="121">
        <f t="shared" si="22"/>
        <v>183.83897659525678</v>
      </c>
      <c r="Z95" s="121">
        <f t="shared" si="22"/>
        <v>199.56095067336437</v>
      </c>
      <c r="AA95" s="121">
        <f t="shared" si="22"/>
        <v>215.282924751472</v>
      </c>
      <c r="AB95" s="121">
        <f t="shared" si="22"/>
        <v>238.91711118915001</v>
      </c>
      <c r="AC95" s="121">
        <f t="shared" si="22"/>
        <v>262.55129762682799</v>
      </c>
      <c r="AD95" s="121">
        <f t="shared" si="22"/>
        <v>286.185484064506</v>
      </c>
      <c r="AE95" s="121">
        <f t="shared" si="22"/>
        <v>309.81967050218401</v>
      </c>
      <c r="AF95" s="121">
        <f t="shared" si="22"/>
        <v>333.45385693986202</v>
      </c>
      <c r="AG95" s="121">
        <f t="shared" si="22"/>
        <v>366.77473710987164</v>
      </c>
      <c r="AH95" s="121">
        <f t="shared" si="22"/>
        <v>400.09561727988125</v>
      </c>
      <c r="AI95" s="121">
        <f t="shared" si="22"/>
        <v>433.41649744989087</v>
      </c>
      <c r="AJ95" s="121">
        <f t="shared" si="22"/>
        <v>466.73737761990049</v>
      </c>
    </row>
    <row r="96" spans="2:36">
      <c r="B96" s="117" t="s">
        <v>173</v>
      </c>
      <c r="C96" s="122"/>
      <c r="E96" s="117"/>
      <c r="F96" s="121"/>
      <c r="H96" s="117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</row>
    <row r="97" spans="1:42">
      <c r="B97" s="117" t="s">
        <v>173</v>
      </c>
      <c r="C97" s="122"/>
      <c r="E97" s="117"/>
      <c r="F97" s="121"/>
      <c r="H97" s="117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</row>
    <row r="98" spans="1:42">
      <c r="B98" s="117" t="s">
        <v>173</v>
      </c>
      <c r="C98" s="122"/>
      <c r="E98" s="117"/>
      <c r="F98" s="121"/>
      <c r="H98" s="117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</row>
    <row r="100" spans="1:42">
      <c r="B100" s="113" t="s">
        <v>272</v>
      </c>
      <c r="E100" s="113" t="s">
        <v>69</v>
      </c>
      <c r="H100" s="113" t="s">
        <v>72</v>
      </c>
      <c r="I100" s="115">
        <v>2023</v>
      </c>
      <c r="J100" s="115">
        <v>2024</v>
      </c>
      <c r="K100" s="115">
        <v>2025</v>
      </c>
      <c r="L100" s="115">
        <v>2026</v>
      </c>
      <c r="M100" s="115">
        <v>2027</v>
      </c>
      <c r="N100" s="115">
        <v>2028</v>
      </c>
      <c r="O100" s="115">
        <v>2029</v>
      </c>
      <c r="P100" s="115">
        <v>2030</v>
      </c>
      <c r="Q100" s="115">
        <v>2031</v>
      </c>
      <c r="R100" s="115">
        <v>2032</v>
      </c>
      <c r="S100" s="115">
        <v>2033</v>
      </c>
      <c r="T100" s="115">
        <v>2034</v>
      </c>
      <c r="U100" s="115">
        <v>2035</v>
      </c>
      <c r="V100" s="115">
        <v>2036</v>
      </c>
      <c r="W100" s="115">
        <v>2037</v>
      </c>
      <c r="X100" s="115">
        <v>2038</v>
      </c>
      <c r="Y100" s="115">
        <v>2039</v>
      </c>
      <c r="Z100" s="115">
        <v>2040</v>
      </c>
      <c r="AA100" s="115">
        <v>2041</v>
      </c>
      <c r="AB100" s="115">
        <v>2042</v>
      </c>
      <c r="AC100" s="115">
        <v>2043</v>
      </c>
      <c r="AD100" s="115">
        <v>2044</v>
      </c>
      <c r="AE100" s="115">
        <v>2045</v>
      </c>
      <c r="AF100" s="115">
        <v>2046</v>
      </c>
      <c r="AG100" s="115">
        <v>2047</v>
      </c>
      <c r="AH100" s="115">
        <v>2048</v>
      </c>
      <c r="AI100" s="115">
        <v>2049</v>
      </c>
      <c r="AJ100" s="115">
        <v>2050</v>
      </c>
    </row>
    <row r="101" spans="1:42">
      <c r="B101" s="117" t="s">
        <v>173</v>
      </c>
      <c r="C101" s="122"/>
      <c r="E101" s="117"/>
      <c r="F101" s="121"/>
      <c r="H101" s="117" t="s">
        <v>8</v>
      </c>
      <c r="I101" s="121">
        <f>I103</f>
        <v>1.2274021734379998</v>
      </c>
      <c r="J101" s="121">
        <f t="shared" ref="J101:AJ101" si="23">J103</f>
        <v>1.2872419559159998</v>
      </c>
      <c r="K101" s="121">
        <f t="shared" si="23"/>
        <v>1.3470817383939997</v>
      </c>
      <c r="L101" s="121">
        <f t="shared" si="23"/>
        <v>1.4069215208720001</v>
      </c>
      <c r="M101" s="121">
        <f t="shared" si="23"/>
        <v>1.4762026156796</v>
      </c>
      <c r="N101" s="121">
        <f t="shared" si="23"/>
        <v>1.5454837104871999</v>
      </c>
      <c r="O101" s="121">
        <f t="shared" si="23"/>
        <v>1.6147648052947998</v>
      </c>
      <c r="P101" s="121">
        <f t="shared" si="23"/>
        <v>1.6840459001023997</v>
      </c>
      <c r="Q101" s="121">
        <f t="shared" si="23"/>
        <v>1.7533269949100001</v>
      </c>
      <c r="R101" s="121">
        <f t="shared" si="23"/>
        <v>1.8328976871844</v>
      </c>
      <c r="S101" s="121">
        <f t="shared" si="23"/>
        <v>1.9124683794588</v>
      </c>
      <c r="T101" s="121">
        <f t="shared" si="23"/>
        <v>1.9920390717331999</v>
      </c>
      <c r="U101" s="121">
        <f t="shared" si="23"/>
        <v>2.0716097640075999</v>
      </c>
      <c r="V101" s="121">
        <f t="shared" si="23"/>
        <v>2.1511804562819998</v>
      </c>
      <c r="W101" s="121">
        <f t="shared" si="23"/>
        <v>2.2421281479167998</v>
      </c>
      <c r="X101" s="121">
        <f t="shared" si="23"/>
        <v>2.3330758395515998</v>
      </c>
      <c r="Y101" s="121">
        <f t="shared" si="23"/>
        <v>2.4240235311863998</v>
      </c>
      <c r="Z101" s="121">
        <f t="shared" si="23"/>
        <v>2.5149712228211998</v>
      </c>
      <c r="AA101" s="121">
        <f t="shared" si="23"/>
        <v>2.6059189144560002</v>
      </c>
      <c r="AB101" s="121">
        <f t="shared" si="23"/>
        <v>2.7092753544872004</v>
      </c>
      <c r="AC101" s="121">
        <f t="shared" si="23"/>
        <v>2.8126317945184005</v>
      </c>
      <c r="AD101" s="121">
        <f t="shared" si="23"/>
        <v>2.9159882345496007</v>
      </c>
      <c r="AE101" s="121">
        <f t="shared" si="23"/>
        <v>3.0193446745808008</v>
      </c>
      <c r="AF101" s="121">
        <f t="shared" si="23"/>
        <v>3.1227011146120001</v>
      </c>
      <c r="AG101" s="121">
        <f t="shared" si="23"/>
        <v>3.2396168904228002</v>
      </c>
      <c r="AH101" s="121">
        <f t="shared" si="23"/>
        <v>3.3565326662336004</v>
      </c>
      <c r="AI101" s="121">
        <f t="shared" si="23"/>
        <v>3.4734484420444005</v>
      </c>
      <c r="AJ101" s="121">
        <f t="shared" si="23"/>
        <v>3.5903642178552007</v>
      </c>
    </row>
    <row r="102" spans="1:42">
      <c r="B102" s="117" t="s">
        <v>173</v>
      </c>
      <c r="C102" s="122"/>
      <c r="E102" s="117"/>
      <c r="F102" s="121"/>
      <c r="H102" s="35" t="s">
        <v>12</v>
      </c>
      <c r="I102" s="121">
        <f>I112</f>
        <v>13.458131390376399</v>
      </c>
      <c r="J102" s="121">
        <f t="shared" ref="J102:AJ107" si="24">J112</f>
        <v>19.633335781323598</v>
      </c>
      <c r="K102" s="121">
        <f t="shared" si="24"/>
        <v>25.808540172270799</v>
      </c>
      <c r="L102" s="121">
        <f t="shared" si="24"/>
        <v>31.983744563218</v>
      </c>
      <c r="M102" s="121">
        <f t="shared" si="24"/>
        <v>33.368109551101597</v>
      </c>
      <c r="N102" s="121">
        <f t="shared" si="24"/>
        <v>34.752474538985197</v>
      </c>
      <c r="O102" s="121">
        <f t="shared" si="24"/>
        <v>36.136839526868798</v>
      </c>
      <c r="P102" s="121">
        <f t="shared" si="24"/>
        <v>37.521204514752398</v>
      </c>
      <c r="Q102" s="121">
        <f t="shared" si="24"/>
        <v>38.905569502635991</v>
      </c>
      <c r="R102" s="121">
        <f t="shared" si="24"/>
        <v>41.067194329817596</v>
      </c>
      <c r="S102" s="121">
        <f t="shared" si="24"/>
        <v>43.228819156999201</v>
      </c>
      <c r="T102" s="121">
        <f t="shared" si="24"/>
        <v>45.390443984180806</v>
      </c>
      <c r="U102" s="121">
        <f t="shared" si="24"/>
        <v>47.55206881136241</v>
      </c>
      <c r="V102" s="121">
        <f t="shared" si="24"/>
        <v>49.713693638544001</v>
      </c>
      <c r="W102" s="121">
        <f t="shared" si="24"/>
        <v>52.840679425011601</v>
      </c>
      <c r="X102" s="121">
        <f t="shared" si="24"/>
        <v>55.967665211479201</v>
      </c>
      <c r="Y102" s="121">
        <f t="shared" si="24"/>
        <v>59.0946509979468</v>
      </c>
      <c r="Z102" s="121">
        <f t="shared" si="24"/>
        <v>62.2216367844144</v>
      </c>
      <c r="AA102" s="121">
        <f t="shared" si="24"/>
        <v>65.348622570882</v>
      </c>
      <c r="AB102" s="121">
        <f t="shared" si="24"/>
        <v>69.779332531809203</v>
      </c>
      <c r="AC102" s="121">
        <f t="shared" si="24"/>
        <v>74.210042492736406</v>
      </c>
      <c r="AD102" s="121">
        <f t="shared" si="24"/>
        <v>78.640752453663609</v>
      </c>
      <c r="AE102" s="121">
        <f t="shared" si="24"/>
        <v>83.071462414590812</v>
      </c>
      <c r="AF102" s="121">
        <f t="shared" si="24"/>
        <v>87.502172375517986</v>
      </c>
      <c r="AG102" s="121">
        <f t="shared" si="24"/>
        <v>93.495521084597186</v>
      </c>
      <c r="AH102" s="121">
        <f t="shared" si="24"/>
        <v>99.488869793676386</v>
      </c>
      <c r="AI102" s="121">
        <f t="shared" si="24"/>
        <v>105.48221850275559</v>
      </c>
      <c r="AJ102" s="121">
        <f t="shared" si="24"/>
        <v>111.47556721183479</v>
      </c>
    </row>
    <row r="103" spans="1:42">
      <c r="B103" s="117" t="s">
        <v>173</v>
      </c>
      <c r="C103" s="122"/>
      <c r="E103" s="117"/>
      <c r="F103" s="121"/>
      <c r="H103" s="35" t="s">
        <v>15</v>
      </c>
      <c r="I103" s="121">
        <f t="shared" ref="I103:X107" si="25">I113</f>
        <v>1.2274021734379998</v>
      </c>
      <c r="J103" s="121">
        <f t="shared" si="25"/>
        <v>1.2872419559159998</v>
      </c>
      <c r="K103" s="121">
        <f t="shared" si="25"/>
        <v>1.3470817383939997</v>
      </c>
      <c r="L103" s="121">
        <f t="shared" si="25"/>
        <v>1.4069215208720001</v>
      </c>
      <c r="M103" s="121">
        <f t="shared" si="25"/>
        <v>1.4762026156796</v>
      </c>
      <c r="N103" s="121">
        <f t="shared" si="25"/>
        <v>1.5454837104871999</v>
      </c>
      <c r="O103" s="121">
        <f t="shared" si="25"/>
        <v>1.6147648052947998</v>
      </c>
      <c r="P103" s="121">
        <f t="shared" si="25"/>
        <v>1.6840459001023997</v>
      </c>
      <c r="Q103" s="121">
        <f t="shared" si="25"/>
        <v>1.7533269949100001</v>
      </c>
      <c r="R103" s="121">
        <f t="shared" si="25"/>
        <v>1.8328976871844</v>
      </c>
      <c r="S103" s="121">
        <f t="shared" si="25"/>
        <v>1.9124683794588</v>
      </c>
      <c r="T103" s="121">
        <f t="shared" si="25"/>
        <v>1.9920390717331999</v>
      </c>
      <c r="U103" s="121">
        <f t="shared" si="25"/>
        <v>2.0716097640075999</v>
      </c>
      <c r="V103" s="121">
        <f t="shared" si="25"/>
        <v>2.1511804562819998</v>
      </c>
      <c r="W103" s="121">
        <f t="shared" si="25"/>
        <v>2.2421281479167998</v>
      </c>
      <c r="X103" s="121">
        <f t="shared" si="25"/>
        <v>2.3330758395515998</v>
      </c>
      <c r="Y103" s="121">
        <f t="shared" si="24"/>
        <v>2.4240235311863998</v>
      </c>
      <c r="Z103" s="121">
        <f t="shared" si="24"/>
        <v>2.5149712228211998</v>
      </c>
      <c r="AA103" s="121">
        <f t="shared" si="24"/>
        <v>2.6059189144560002</v>
      </c>
      <c r="AB103" s="121">
        <f t="shared" si="24"/>
        <v>2.7092753544872004</v>
      </c>
      <c r="AC103" s="121">
        <f t="shared" si="24"/>
        <v>2.8126317945184005</v>
      </c>
      <c r="AD103" s="121">
        <f t="shared" si="24"/>
        <v>2.9159882345496007</v>
      </c>
      <c r="AE103" s="121">
        <f t="shared" si="24"/>
        <v>3.0193446745808008</v>
      </c>
      <c r="AF103" s="121">
        <f t="shared" si="24"/>
        <v>3.1227011146120001</v>
      </c>
      <c r="AG103" s="121">
        <f t="shared" si="24"/>
        <v>3.2396168904228002</v>
      </c>
      <c r="AH103" s="121">
        <f t="shared" si="24"/>
        <v>3.3565326662336004</v>
      </c>
      <c r="AI103" s="121">
        <f t="shared" si="24"/>
        <v>3.4734484420444005</v>
      </c>
      <c r="AJ103" s="121">
        <f t="shared" si="24"/>
        <v>3.5903642178552007</v>
      </c>
    </row>
    <row r="104" spans="1:42">
      <c r="B104" s="117" t="s">
        <v>173</v>
      </c>
      <c r="C104" s="122"/>
      <c r="E104" s="117"/>
      <c r="F104" s="121"/>
      <c r="H104" s="35" t="s">
        <v>19</v>
      </c>
      <c r="I104" s="121">
        <f t="shared" si="25"/>
        <v>1.2273726189348</v>
      </c>
      <c r="J104" s="121">
        <f t="shared" si="24"/>
        <v>1.2871976241612</v>
      </c>
      <c r="K104" s="121">
        <f t="shared" si="24"/>
        <v>1.3470226293876</v>
      </c>
      <c r="L104" s="121">
        <f t="shared" si="24"/>
        <v>1.406847634614</v>
      </c>
      <c r="M104" s="121">
        <f t="shared" si="24"/>
        <v>1.4761205986099999</v>
      </c>
      <c r="N104" s="121">
        <f t="shared" si="24"/>
        <v>1.5453935626059998</v>
      </c>
      <c r="O104" s="121">
        <f t="shared" si="24"/>
        <v>1.6146665266019997</v>
      </c>
      <c r="P104" s="121">
        <f t="shared" si="24"/>
        <v>1.6839394905979996</v>
      </c>
      <c r="Q104" s="121">
        <f t="shared" si="24"/>
        <v>1.753212454594</v>
      </c>
      <c r="R104" s="121">
        <f t="shared" si="24"/>
        <v>16.179528256277997</v>
      </c>
      <c r="S104" s="121">
        <f t="shared" si="24"/>
        <v>30.605844057961995</v>
      </c>
      <c r="T104" s="121">
        <f t="shared" si="24"/>
        <v>45.032159859645994</v>
      </c>
      <c r="U104" s="121">
        <f t="shared" si="24"/>
        <v>59.458475661329992</v>
      </c>
      <c r="V104" s="121">
        <f t="shared" si="24"/>
        <v>73.884791463013997</v>
      </c>
      <c r="W104" s="121">
        <f t="shared" si="24"/>
        <v>83.243135617449994</v>
      </c>
      <c r="X104" s="121">
        <f t="shared" si="24"/>
        <v>92.601479771885991</v>
      </c>
      <c r="Y104" s="121">
        <f t="shared" si="24"/>
        <v>101.95982392632199</v>
      </c>
      <c r="Z104" s="121">
        <f t="shared" si="24"/>
        <v>111.31816808075799</v>
      </c>
      <c r="AA104" s="121">
        <f t="shared" si="24"/>
        <v>120.676512235194</v>
      </c>
      <c r="AB104" s="121">
        <f t="shared" si="24"/>
        <v>133.572178825994</v>
      </c>
      <c r="AC104" s="121">
        <f t="shared" si="24"/>
        <v>146.46784541679401</v>
      </c>
      <c r="AD104" s="121">
        <f t="shared" si="24"/>
        <v>159.36351200759401</v>
      </c>
      <c r="AE104" s="121">
        <f t="shared" si="24"/>
        <v>172.25917859839402</v>
      </c>
      <c r="AF104" s="121">
        <f t="shared" si="24"/>
        <v>185.15484518919399</v>
      </c>
      <c r="AG104" s="121">
        <f t="shared" si="24"/>
        <v>200.136609963474</v>
      </c>
      <c r="AH104" s="121">
        <f t="shared" si="24"/>
        <v>215.11837473775401</v>
      </c>
      <c r="AI104" s="121">
        <f t="shared" si="24"/>
        <v>230.10013951203402</v>
      </c>
      <c r="AJ104" s="121">
        <f t="shared" si="24"/>
        <v>245.08190428631403</v>
      </c>
    </row>
    <row r="105" spans="1:42">
      <c r="B105" s="117" t="s">
        <v>173</v>
      </c>
      <c r="C105" s="122"/>
      <c r="E105" s="117"/>
      <c r="F105" s="121"/>
      <c r="H105" s="35" t="s">
        <v>22</v>
      </c>
      <c r="I105" s="121">
        <f t="shared" si="25"/>
        <v>1.2273726189348</v>
      </c>
      <c r="J105" s="121">
        <f t="shared" si="24"/>
        <v>1.2871976241612</v>
      </c>
      <c r="K105" s="121">
        <f t="shared" si="24"/>
        <v>1.3470226293876</v>
      </c>
      <c r="L105" s="121">
        <f t="shared" si="24"/>
        <v>1.406847634614</v>
      </c>
      <c r="M105" s="121">
        <f t="shared" si="24"/>
        <v>1.4761205986099999</v>
      </c>
      <c r="N105" s="121">
        <f t="shared" si="24"/>
        <v>1.5453935626059998</v>
      </c>
      <c r="O105" s="121">
        <f t="shared" si="24"/>
        <v>1.6146665266019997</v>
      </c>
      <c r="P105" s="121">
        <f t="shared" si="24"/>
        <v>1.6839394905979996</v>
      </c>
      <c r="Q105" s="121">
        <f t="shared" si="24"/>
        <v>1.753212454594</v>
      </c>
      <c r="R105" s="121">
        <f t="shared" si="24"/>
        <v>17.616792503824399</v>
      </c>
      <c r="S105" s="121">
        <f t="shared" si="24"/>
        <v>33.480372553054799</v>
      </c>
      <c r="T105" s="121">
        <f t="shared" si="24"/>
        <v>49.343952602285199</v>
      </c>
      <c r="U105" s="121">
        <f t="shared" si="24"/>
        <v>65.207532651515592</v>
      </c>
      <c r="V105" s="121">
        <f t="shared" si="24"/>
        <v>81.071112700745999</v>
      </c>
      <c r="W105" s="121">
        <f t="shared" si="24"/>
        <v>86.933679432099993</v>
      </c>
      <c r="X105" s="121">
        <f t="shared" si="24"/>
        <v>92.796246163453986</v>
      </c>
      <c r="Y105" s="121">
        <f t="shared" si="24"/>
        <v>98.65881289480798</v>
      </c>
      <c r="Z105" s="121">
        <f t="shared" si="24"/>
        <v>104.52137962616197</v>
      </c>
      <c r="AA105" s="121">
        <f t="shared" si="24"/>
        <v>110.383946357516</v>
      </c>
      <c r="AB105" s="121">
        <f t="shared" si="24"/>
        <v>117.24192417638679</v>
      </c>
      <c r="AC105" s="121">
        <f t="shared" si="24"/>
        <v>124.09990199525758</v>
      </c>
      <c r="AD105" s="121">
        <f t="shared" si="24"/>
        <v>130.95787981412838</v>
      </c>
      <c r="AE105" s="121">
        <f t="shared" si="24"/>
        <v>137.81585763299918</v>
      </c>
      <c r="AF105" s="121">
        <f t="shared" si="24"/>
        <v>144.67383545186999</v>
      </c>
      <c r="AG105" s="121">
        <f t="shared" si="24"/>
        <v>151.8096594976648</v>
      </c>
      <c r="AH105" s="121">
        <f t="shared" si="24"/>
        <v>158.9454835434596</v>
      </c>
      <c r="AI105" s="121">
        <f t="shared" si="24"/>
        <v>166.08130758925441</v>
      </c>
      <c r="AJ105" s="121">
        <f t="shared" si="24"/>
        <v>173.21713163504921</v>
      </c>
    </row>
    <row r="106" spans="1:42">
      <c r="B106" s="117" t="s">
        <v>173</v>
      </c>
      <c r="C106" s="122"/>
      <c r="E106" s="117"/>
      <c r="F106" s="121"/>
      <c r="H106" s="35" t="s">
        <v>24</v>
      </c>
      <c r="I106" s="121">
        <f t="shared" si="25"/>
        <v>6.5387898932644006</v>
      </c>
      <c r="J106" s="121">
        <f t="shared" si="24"/>
        <v>9.2543235356556011</v>
      </c>
      <c r="K106" s="121">
        <f t="shared" si="24"/>
        <v>11.969857178046801</v>
      </c>
      <c r="L106" s="121">
        <f t="shared" si="24"/>
        <v>14.685390820438</v>
      </c>
      <c r="M106" s="121">
        <f t="shared" si="24"/>
        <v>17.400866528027198</v>
      </c>
      <c r="N106" s="121">
        <f t="shared" si="24"/>
        <v>20.116342235616397</v>
      </c>
      <c r="O106" s="121">
        <f t="shared" si="24"/>
        <v>22.831817943205596</v>
      </c>
      <c r="P106" s="121">
        <f t="shared" si="24"/>
        <v>25.547293650794796</v>
      </c>
      <c r="Q106" s="121">
        <f t="shared" si="24"/>
        <v>28.262769358383991</v>
      </c>
      <c r="R106" s="121">
        <f t="shared" si="24"/>
        <v>28.776114485022791</v>
      </c>
      <c r="S106" s="121">
        <f t="shared" si="24"/>
        <v>29.289459611661592</v>
      </c>
      <c r="T106" s="121">
        <f t="shared" si="24"/>
        <v>29.802804738300392</v>
      </c>
      <c r="U106" s="121">
        <f t="shared" si="24"/>
        <v>30.316149864939192</v>
      </c>
      <c r="V106" s="121">
        <f t="shared" si="24"/>
        <v>30.829494991577999</v>
      </c>
      <c r="W106" s="121">
        <f t="shared" si="24"/>
        <v>31.388516204125999</v>
      </c>
      <c r="X106" s="121">
        <f t="shared" si="24"/>
        <v>31.947537416673999</v>
      </c>
      <c r="Y106" s="121">
        <f t="shared" si="24"/>
        <v>32.506558629221999</v>
      </c>
      <c r="Z106" s="121">
        <f t="shared" si="24"/>
        <v>33.065579841769996</v>
      </c>
      <c r="AA106" s="121">
        <f t="shared" si="24"/>
        <v>33.624601054317992</v>
      </c>
      <c r="AB106" s="121">
        <f t="shared" si="24"/>
        <v>34.232998470232793</v>
      </c>
      <c r="AC106" s="121">
        <f t="shared" si="24"/>
        <v>34.841395886147595</v>
      </c>
      <c r="AD106" s="121">
        <f t="shared" si="24"/>
        <v>35.449793302062396</v>
      </c>
      <c r="AE106" s="121">
        <f t="shared" si="24"/>
        <v>36.058190717977197</v>
      </c>
      <c r="AF106" s="121">
        <f t="shared" si="24"/>
        <v>36.666588133891999</v>
      </c>
      <c r="AG106" s="121">
        <f t="shared" si="24"/>
        <v>37.328936985231202</v>
      </c>
      <c r="AH106" s="121">
        <f t="shared" si="24"/>
        <v>37.991285836570405</v>
      </c>
      <c r="AI106" s="121">
        <f t="shared" si="24"/>
        <v>38.653634687909609</v>
      </c>
      <c r="AJ106" s="121">
        <f t="shared" si="24"/>
        <v>39.315983539248812</v>
      </c>
    </row>
    <row r="107" spans="1:42">
      <c r="B107" s="117" t="s">
        <v>173</v>
      </c>
      <c r="C107" s="122"/>
      <c r="E107" s="117"/>
      <c r="F107" s="121"/>
      <c r="H107" s="35" t="s">
        <v>25</v>
      </c>
      <c r="I107" s="121">
        <f t="shared" si="25"/>
        <v>25.389440745104398</v>
      </c>
      <c r="J107" s="121">
        <f t="shared" si="24"/>
        <v>37.530299813415596</v>
      </c>
      <c r="K107" s="121">
        <f t="shared" si="24"/>
        <v>49.671158881726797</v>
      </c>
      <c r="L107" s="121">
        <f t="shared" si="24"/>
        <v>61.812017950037998</v>
      </c>
      <c r="M107" s="121">
        <f t="shared" si="24"/>
        <v>67.143963640499592</v>
      </c>
      <c r="N107" s="121">
        <f t="shared" si="24"/>
        <v>72.475909330961187</v>
      </c>
      <c r="O107" s="121">
        <f t="shared" si="24"/>
        <v>77.807855021422782</v>
      </c>
      <c r="P107" s="121">
        <f t="shared" si="24"/>
        <v>83.139800711884376</v>
      </c>
      <c r="Q107" s="121">
        <f t="shared" si="24"/>
        <v>88.471746402346</v>
      </c>
      <c r="R107" s="121">
        <f t="shared" si="24"/>
        <v>98.112007994063603</v>
      </c>
      <c r="S107" s="121">
        <f t="shared" si="24"/>
        <v>107.75226958578121</v>
      </c>
      <c r="T107" s="121">
        <f t="shared" si="24"/>
        <v>117.39253117749881</v>
      </c>
      <c r="U107" s="121">
        <f t="shared" si="24"/>
        <v>127.03279276921641</v>
      </c>
      <c r="V107" s="121">
        <f t="shared" si="24"/>
        <v>136.673054360934</v>
      </c>
      <c r="W107" s="121">
        <f t="shared" si="24"/>
        <v>152.3950284390416</v>
      </c>
      <c r="X107" s="121">
        <f t="shared" si="24"/>
        <v>168.11700251714919</v>
      </c>
      <c r="Y107" s="121">
        <f t="shared" si="24"/>
        <v>183.83897659525678</v>
      </c>
      <c r="Z107" s="121">
        <f t="shared" si="24"/>
        <v>199.56095067336437</v>
      </c>
      <c r="AA107" s="121">
        <f t="shared" si="24"/>
        <v>215.282924751472</v>
      </c>
      <c r="AB107" s="121">
        <f t="shared" si="24"/>
        <v>238.91711118915001</v>
      </c>
      <c r="AC107" s="121">
        <f t="shared" si="24"/>
        <v>262.55129762682799</v>
      </c>
      <c r="AD107" s="121">
        <f t="shared" si="24"/>
        <v>286.185484064506</v>
      </c>
      <c r="AE107" s="121">
        <f t="shared" si="24"/>
        <v>309.81967050218401</v>
      </c>
      <c r="AF107" s="121">
        <f t="shared" si="24"/>
        <v>333.45385693986202</v>
      </c>
      <c r="AG107" s="121">
        <f t="shared" si="24"/>
        <v>366.77473710987164</v>
      </c>
      <c r="AH107" s="121">
        <f t="shared" si="24"/>
        <v>400.09561727988125</v>
      </c>
      <c r="AI107" s="121">
        <f t="shared" si="24"/>
        <v>433.41649744989087</v>
      </c>
      <c r="AJ107" s="121">
        <f t="shared" si="24"/>
        <v>466.73737761990049</v>
      </c>
    </row>
    <row r="108" spans="1:42">
      <c r="B108" s="117" t="s">
        <v>173</v>
      </c>
      <c r="C108" s="122"/>
      <c r="E108" s="117"/>
      <c r="F108" s="121"/>
      <c r="H108" s="117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</row>
    <row r="109" spans="1:42">
      <c r="B109" s="117" t="s">
        <v>173</v>
      </c>
      <c r="C109" s="122"/>
      <c r="E109" s="117"/>
      <c r="F109" s="121"/>
      <c r="H109" s="117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</row>
    <row r="110" spans="1:42" customFormat="1">
      <c r="A110" s="115"/>
      <c r="B110" s="117" t="s">
        <v>173</v>
      </c>
      <c r="C110" s="122"/>
      <c r="D110" s="115"/>
      <c r="E110" s="117"/>
      <c r="F110" s="121"/>
      <c r="G110" s="115"/>
      <c r="H110" s="117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</row>
    <row r="111" spans="1:42">
      <c r="H111" s="171" t="s">
        <v>273</v>
      </c>
      <c r="I111" s="129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</row>
    <row r="112" spans="1:42">
      <c r="B112" s="113" t="s">
        <v>274</v>
      </c>
      <c r="E112" s="113" t="s">
        <v>70</v>
      </c>
      <c r="H112" s="130" t="s">
        <v>12</v>
      </c>
      <c r="I112" s="149">
        <v>13.458131390376399</v>
      </c>
      <c r="J112" s="149">
        <v>19.633335781323598</v>
      </c>
      <c r="K112" s="149">
        <v>25.808540172270799</v>
      </c>
      <c r="L112" s="149">
        <v>31.983744563218</v>
      </c>
      <c r="M112" s="149">
        <v>33.368109551101597</v>
      </c>
      <c r="N112" s="149">
        <v>34.752474538985197</v>
      </c>
      <c r="O112" s="149">
        <v>36.136839526868798</v>
      </c>
      <c r="P112" s="149">
        <v>37.521204514752398</v>
      </c>
      <c r="Q112" s="149">
        <v>38.905569502635991</v>
      </c>
      <c r="R112" s="149">
        <v>41.067194329817596</v>
      </c>
      <c r="S112" s="149">
        <v>43.228819156999201</v>
      </c>
      <c r="T112" s="149">
        <v>45.390443984180806</v>
      </c>
      <c r="U112" s="149">
        <v>47.55206881136241</v>
      </c>
      <c r="V112" s="149">
        <v>49.713693638544001</v>
      </c>
      <c r="W112" s="149">
        <v>52.840679425011601</v>
      </c>
      <c r="X112" s="149">
        <v>55.967665211479201</v>
      </c>
      <c r="Y112" s="149">
        <v>59.0946509979468</v>
      </c>
      <c r="Z112" s="149">
        <v>62.2216367844144</v>
      </c>
      <c r="AA112" s="149">
        <v>65.348622570882</v>
      </c>
      <c r="AB112" s="149">
        <v>69.779332531809203</v>
      </c>
      <c r="AC112" s="149">
        <v>74.210042492736406</v>
      </c>
      <c r="AD112" s="149">
        <v>78.640752453663609</v>
      </c>
      <c r="AE112" s="149">
        <v>83.071462414590812</v>
      </c>
      <c r="AF112" s="149">
        <v>87.502172375517986</v>
      </c>
      <c r="AG112" s="149">
        <v>93.495521084597186</v>
      </c>
      <c r="AH112" s="149">
        <v>99.488869793676386</v>
      </c>
      <c r="AI112" s="149">
        <v>105.48221850275559</v>
      </c>
      <c r="AJ112" s="149">
        <v>111.47556721183479</v>
      </c>
      <c r="AK112" s="115">
        <v>117.468915920914</v>
      </c>
      <c r="AL112" s="115">
        <v>119.98010959525161</v>
      </c>
      <c r="AM112" s="115">
        <v>122.49130326958921</v>
      </c>
      <c r="AN112" s="115">
        <v>125.00249694392681</v>
      </c>
      <c r="AO112" s="115">
        <v>127.51369061826442</v>
      </c>
      <c r="AP112" s="115">
        <v>130.024884292602</v>
      </c>
    </row>
    <row r="113" spans="2:42">
      <c r="B113" s="117" t="s">
        <v>173</v>
      </c>
      <c r="C113" s="122"/>
      <c r="E113" s="117"/>
      <c r="F113" s="121"/>
      <c r="H113" s="130" t="s">
        <v>15</v>
      </c>
      <c r="I113" s="149">
        <v>1.2274021734379998</v>
      </c>
      <c r="J113" s="149">
        <v>1.2872419559159998</v>
      </c>
      <c r="K113" s="149">
        <v>1.3470817383939997</v>
      </c>
      <c r="L113" s="149">
        <v>1.4069215208720001</v>
      </c>
      <c r="M113" s="149">
        <v>1.4762026156796</v>
      </c>
      <c r="N113" s="149">
        <v>1.5454837104871999</v>
      </c>
      <c r="O113" s="149">
        <v>1.6147648052947998</v>
      </c>
      <c r="P113" s="149">
        <v>1.6840459001023997</v>
      </c>
      <c r="Q113" s="149">
        <v>1.7533269949100001</v>
      </c>
      <c r="R113" s="149">
        <v>1.8328976871844</v>
      </c>
      <c r="S113" s="149">
        <v>1.9124683794588</v>
      </c>
      <c r="T113" s="149">
        <v>1.9920390717331999</v>
      </c>
      <c r="U113" s="149">
        <v>2.0716097640075999</v>
      </c>
      <c r="V113" s="149">
        <v>2.1511804562819998</v>
      </c>
      <c r="W113" s="149">
        <v>2.2421281479167998</v>
      </c>
      <c r="X113" s="149">
        <v>2.3330758395515998</v>
      </c>
      <c r="Y113" s="149">
        <v>2.4240235311863998</v>
      </c>
      <c r="Z113" s="149">
        <v>2.5149712228211998</v>
      </c>
      <c r="AA113" s="149">
        <v>2.6059189144560002</v>
      </c>
      <c r="AB113" s="149">
        <v>2.7092753544872004</v>
      </c>
      <c r="AC113" s="149">
        <v>2.8126317945184005</v>
      </c>
      <c r="AD113" s="149">
        <v>2.9159882345496007</v>
      </c>
      <c r="AE113" s="149">
        <v>3.0193446745808008</v>
      </c>
      <c r="AF113" s="149">
        <v>3.1227011146120001</v>
      </c>
      <c r="AG113" s="149">
        <v>3.2396168904228002</v>
      </c>
      <c r="AH113" s="149">
        <v>3.3565326662336004</v>
      </c>
      <c r="AI113" s="149">
        <v>3.4734484420444005</v>
      </c>
      <c r="AJ113" s="149">
        <v>3.5903642178552007</v>
      </c>
      <c r="AK113" s="115">
        <v>3.7072799936659999</v>
      </c>
      <c r="AL113" s="115">
        <v>3.8390105513079997</v>
      </c>
      <c r="AM113" s="115">
        <v>3.9707411089499995</v>
      </c>
      <c r="AN113" s="115">
        <v>4.1024716665919998</v>
      </c>
      <c r="AO113" s="115">
        <v>4.2342022242340001</v>
      </c>
      <c r="AP113" s="115">
        <v>4.3659327818759994</v>
      </c>
    </row>
    <row r="114" spans="2:42">
      <c r="B114" s="117" t="s">
        <v>173</v>
      </c>
      <c r="C114" s="122"/>
      <c r="E114" s="117"/>
      <c r="F114" s="121"/>
      <c r="H114" s="130" t="s">
        <v>19</v>
      </c>
      <c r="I114" s="149">
        <v>1.2273726189348</v>
      </c>
      <c r="J114" s="149">
        <v>1.2871976241612</v>
      </c>
      <c r="K114" s="149">
        <v>1.3470226293876</v>
      </c>
      <c r="L114" s="149">
        <v>1.406847634614</v>
      </c>
      <c r="M114" s="149">
        <v>1.4761205986099999</v>
      </c>
      <c r="N114" s="149">
        <v>1.5453935626059998</v>
      </c>
      <c r="O114" s="149">
        <v>1.6146665266019997</v>
      </c>
      <c r="P114" s="149">
        <v>1.6839394905979996</v>
      </c>
      <c r="Q114" s="149">
        <v>1.753212454594</v>
      </c>
      <c r="R114" s="149">
        <v>16.179528256277997</v>
      </c>
      <c r="S114" s="149">
        <v>30.605844057961995</v>
      </c>
      <c r="T114" s="149">
        <v>45.032159859645994</v>
      </c>
      <c r="U114" s="149">
        <v>59.458475661329992</v>
      </c>
      <c r="V114" s="149">
        <v>73.884791463013997</v>
      </c>
      <c r="W114" s="149">
        <v>83.243135617449994</v>
      </c>
      <c r="X114" s="149">
        <v>92.601479771885991</v>
      </c>
      <c r="Y114" s="149">
        <v>101.95982392632199</v>
      </c>
      <c r="Z114" s="149">
        <v>111.31816808075799</v>
      </c>
      <c r="AA114" s="149">
        <v>120.676512235194</v>
      </c>
      <c r="AB114" s="149">
        <v>133.572178825994</v>
      </c>
      <c r="AC114" s="149">
        <v>146.46784541679401</v>
      </c>
      <c r="AD114" s="149">
        <v>159.36351200759401</v>
      </c>
      <c r="AE114" s="149">
        <v>172.25917859839402</v>
      </c>
      <c r="AF114" s="149">
        <v>185.15484518919399</v>
      </c>
      <c r="AG114" s="149">
        <v>200.136609963474</v>
      </c>
      <c r="AH114" s="149">
        <v>215.11837473775401</v>
      </c>
      <c r="AI114" s="149">
        <v>230.10013951203402</v>
      </c>
      <c r="AJ114" s="149">
        <v>245.08190428631403</v>
      </c>
      <c r="AK114" s="115">
        <v>260.06366906059401</v>
      </c>
      <c r="AL114" s="115">
        <v>270.47673826300161</v>
      </c>
      <c r="AM114" s="115">
        <v>280.88980746540921</v>
      </c>
      <c r="AN114" s="115">
        <v>291.3028766678168</v>
      </c>
      <c r="AO114" s="115">
        <v>301.7159458702244</v>
      </c>
      <c r="AP114" s="115">
        <v>312.12901507263189</v>
      </c>
    </row>
    <row r="115" spans="2:42">
      <c r="B115" s="117" t="s">
        <v>173</v>
      </c>
      <c r="C115" s="122"/>
      <c r="E115" s="117"/>
      <c r="F115" s="121"/>
      <c r="H115" s="130" t="s">
        <v>22</v>
      </c>
      <c r="I115" s="149">
        <v>1.2273726189348</v>
      </c>
      <c r="J115" s="149">
        <v>1.2871976241612</v>
      </c>
      <c r="K115" s="149">
        <v>1.3470226293876</v>
      </c>
      <c r="L115" s="149">
        <v>1.406847634614</v>
      </c>
      <c r="M115" s="149">
        <v>1.4761205986099999</v>
      </c>
      <c r="N115" s="149">
        <v>1.5453935626059998</v>
      </c>
      <c r="O115" s="149">
        <v>1.6146665266019997</v>
      </c>
      <c r="P115" s="149">
        <v>1.6839394905979996</v>
      </c>
      <c r="Q115" s="149">
        <v>1.753212454594</v>
      </c>
      <c r="R115" s="149">
        <v>17.616792503824399</v>
      </c>
      <c r="S115" s="149">
        <v>33.480372553054799</v>
      </c>
      <c r="T115" s="149">
        <v>49.343952602285199</v>
      </c>
      <c r="U115" s="149">
        <v>65.207532651515592</v>
      </c>
      <c r="V115" s="149">
        <v>81.071112700745999</v>
      </c>
      <c r="W115" s="149">
        <v>86.933679432099993</v>
      </c>
      <c r="X115" s="149">
        <v>92.796246163453986</v>
      </c>
      <c r="Y115" s="149">
        <v>98.65881289480798</v>
      </c>
      <c r="Z115" s="149">
        <v>104.52137962616197</v>
      </c>
      <c r="AA115" s="149">
        <v>110.383946357516</v>
      </c>
      <c r="AB115" s="149">
        <v>117.24192417638679</v>
      </c>
      <c r="AC115" s="149">
        <v>124.09990199525758</v>
      </c>
      <c r="AD115" s="149">
        <v>130.95787981412838</v>
      </c>
      <c r="AE115" s="149">
        <v>137.81585763299918</v>
      </c>
      <c r="AF115" s="149">
        <v>144.67383545186999</v>
      </c>
      <c r="AG115" s="149">
        <v>151.8096594976648</v>
      </c>
      <c r="AH115" s="149">
        <v>158.9454835434596</v>
      </c>
      <c r="AI115" s="149">
        <v>166.08130758925441</v>
      </c>
      <c r="AJ115" s="149">
        <v>173.21713163504921</v>
      </c>
      <c r="AK115" s="115">
        <v>180.35295568084399</v>
      </c>
      <c r="AL115" s="115">
        <v>187.9392293700096</v>
      </c>
      <c r="AM115" s="115">
        <v>195.52550305917521</v>
      </c>
      <c r="AN115" s="115">
        <v>203.11177674834082</v>
      </c>
      <c r="AO115" s="115">
        <v>210.69805043750642</v>
      </c>
      <c r="AP115" s="115">
        <v>218.284324126672</v>
      </c>
    </row>
    <row r="116" spans="2:42">
      <c r="B116" s="117" t="s">
        <v>173</v>
      </c>
      <c r="C116" s="122"/>
      <c r="E116" s="117"/>
      <c r="F116" s="121"/>
      <c r="H116" s="130" t="s">
        <v>24</v>
      </c>
      <c r="I116" s="149">
        <v>6.5387898932644006</v>
      </c>
      <c r="J116" s="149">
        <v>9.2543235356556011</v>
      </c>
      <c r="K116" s="149">
        <v>11.969857178046801</v>
      </c>
      <c r="L116" s="149">
        <v>14.685390820438</v>
      </c>
      <c r="M116" s="149">
        <v>17.400866528027198</v>
      </c>
      <c r="N116" s="149">
        <v>20.116342235616397</v>
      </c>
      <c r="O116" s="149">
        <v>22.831817943205596</v>
      </c>
      <c r="P116" s="149">
        <v>25.547293650794796</v>
      </c>
      <c r="Q116" s="149">
        <v>28.262769358383991</v>
      </c>
      <c r="R116" s="149">
        <v>28.776114485022791</v>
      </c>
      <c r="S116" s="149">
        <v>29.289459611661592</v>
      </c>
      <c r="T116" s="149">
        <v>29.802804738300392</v>
      </c>
      <c r="U116" s="149">
        <v>30.316149864939192</v>
      </c>
      <c r="V116" s="149">
        <v>30.829494991577999</v>
      </c>
      <c r="W116" s="149">
        <v>31.388516204125999</v>
      </c>
      <c r="X116" s="149">
        <v>31.947537416673999</v>
      </c>
      <c r="Y116" s="149">
        <v>32.506558629221999</v>
      </c>
      <c r="Z116" s="149">
        <v>33.065579841769996</v>
      </c>
      <c r="AA116" s="149">
        <v>33.624601054317992</v>
      </c>
      <c r="AB116" s="149">
        <v>34.232998470232793</v>
      </c>
      <c r="AC116" s="149">
        <v>34.841395886147595</v>
      </c>
      <c r="AD116" s="149">
        <v>35.449793302062396</v>
      </c>
      <c r="AE116" s="149">
        <v>36.058190717977197</v>
      </c>
      <c r="AF116" s="149">
        <v>36.666588133891999</v>
      </c>
      <c r="AG116" s="149">
        <v>37.328936985231202</v>
      </c>
      <c r="AH116" s="149">
        <v>37.991285836570405</v>
      </c>
      <c r="AI116" s="149">
        <v>38.653634687909609</v>
      </c>
      <c r="AJ116" s="149">
        <v>39.315983539248812</v>
      </c>
      <c r="AK116" s="115">
        <v>39.978332390588022</v>
      </c>
      <c r="AL116" s="115">
        <v>40.699253858464417</v>
      </c>
      <c r="AM116" s="115">
        <v>41.420175326340811</v>
      </c>
      <c r="AN116" s="115">
        <v>42.141096794217205</v>
      </c>
      <c r="AO116" s="115">
        <v>42.862018262093599</v>
      </c>
      <c r="AP116" s="115">
        <v>43.582939729970008</v>
      </c>
    </row>
    <row r="117" spans="2:42">
      <c r="B117" s="117" t="s">
        <v>173</v>
      </c>
      <c r="C117" s="122"/>
      <c r="E117" s="117"/>
      <c r="F117" s="121"/>
      <c r="H117" s="130" t="s">
        <v>25</v>
      </c>
      <c r="I117" s="149">
        <v>25.389440745104398</v>
      </c>
      <c r="J117" s="149">
        <v>37.530299813415596</v>
      </c>
      <c r="K117" s="149">
        <v>49.671158881726797</v>
      </c>
      <c r="L117" s="149">
        <v>61.812017950037998</v>
      </c>
      <c r="M117" s="149">
        <v>67.143963640499592</v>
      </c>
      <c r="N117" s="149">
        <v>72.475909330961187</v>
      </c>
      <c r="O117" s="149">
        <v>77.807855021422782</v>
      </c>
      <c r="P117" s="149">
        <v>83.139800711884376</v>
      </c>
      <c r="Q117" s="149">
        <v>88.471746402346</v>
      </c>
      <c r="R117" s="149">
        <v>98.112007994063603</v>
      </c>
      <c r="S117" s="149">
        <v>107.75226958578121</v>
      </c>
      <c r="T117" s="149">
        <v>117.39253117749881</v>
      </c>
      <c r="U117" s="149">
        <v>127.03279276921641</v>
      </c>
      <c r="V117" s="149">
        <v>136.673054360934</v>
      </c>
      <c r="W117" s="149">
        <v>152.3950284390416</v>
      </c>
      <c r="X117" s="149">
        <v>168.11700251714919</v>
      </c>
      <c r="Y117" s="149">
        <v>183.83897659525678</v>
      </c>
      <c r="Z117" s="149">
        <v>199.56095067336437</v>
      </c>
      <c r="AA117" s="149">
        <v>215.282924751472</v>
      </c>
      <c r="AB117" s="149">
        <v>238.91711118915001</v>
      </c>
      <c r="AC117" s="149">
        <v>262.55129762682799</v>
      </c>
      <c r="AD117" s="149">
        <v>286.185484064506</v>
      </c>
      <c r="AE117" s="149">
        <v>309.81967050218401</v>
      </c>
      <c r="AF117" s="149">
        <v>333.45385693986202</v>
      </c>
      <c r="AG117" s="149">
        <v>366.77473710987164</v>
      </c>
      <c r="AH117" s="149">
        <v>400.09561727988125</v>
      </c>
      <c r="AI117" s="149">
        <v>433.41649744989087</v>
      </c>
      <c r="AJ117" s="149">
        <v>466.73737761990049</v>
      </c>
      <c r="AK117" s="115">
        <v>500.05825778990999</v>
      </c>
      <c r="AL117" s="115">
        <v>507.33038259626483</v>
      </c>
      <c r="AM117" s="115">
        <v>514.60250740261961</v>
      </c>
      <c r="AN117" s="115">
        <v>521.87463220897439</v>
      </c>
      <c r="AO117" s="115">
        <v>529.14675701532917</v>
      </c>
      <c r="AP117" s="115">
        <v>536.41888182168407</v>
      </c>
    </row>
    <row r="118" spans="2:42">
      <c r="B118" s="117" t="s">
        <v>173</v>
      </c>
      <c r="C118" s="122"/>
      <c r="E118" s="117"/>
      <c r="F118" s="121"/>
      <c r="H118" s="117" t="s">
        <v>173</v>
      </c>
      <c r="I118" s="129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</row>
    <row r="119" spans="2:42">
      <c r="B119" s="117" t="s">
        <v>173</v>
      </c>
      <c r="C119" s="122"/>
      <c r="E119" s="117"/>
      <c r="F119" s="121"/>
      <c r="H119" s="117" t="s">
        <v>173</v>
      </c>
      <c r="I119" s="129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</row>
    <row r="120" spans="2:42">
      <c r="B120" s="117" t="s">
        <v>173</v>
      </c>
      <c r="C120" s="122"/>
      <c r="E120" s="117"/>
      <c r="F120" s="121"/>
      <c r="H120" s="117" t="s">
        <v>173</v>
      </c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</row>
    <row r="121" spans="2:42">
      <c r="B121" s="117" t="s">
        <v>173</v>
      </c>
      <c r="C121" s="122"/>
      <c r="E121" s="117"/>
      <c r="F121" s="121"/>
      <c r="H121" s="117" t="s">
        <v>173</v>
      </c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</row>
    <row r="122" spans="2:42">
      <c r="B122" s="117" t="s">
        <v>173</v>
      </c>
      <c r="C122" s="122"/>
      <c r="E122" s="117"/>
      <c r="F122" s="121"/>
      <c r="H122" s="117" t="s">
        <v>173</v>
      </c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</row>
    <row r="123" spans="2:42">
      <c r="H123" s="117" t="s">
        <v>173</v>
      </c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</row>
    <row r="124" spans="2:42">
      <c r="B124" s="113" t="s">
        <v>275</v>
      </c>
      <c r="E124" s="113" t="s">
        <v>71</v>
      </c>
      <c r="H124" s="117" t="s">
        <v>173</v>
      </c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</row>
    <row r="125" spans="2:42">
      <c r="B125" s="117" t="s">
        <v>8</v>
      </c>
      <c r="C125" s="124">
        <f>'3.Input data Bharat Petroleum'!E11</f>
        <v>519963.39999999997</v>
      </c>
      <c r="E125" s="117"/>
      <c r="F125" s="121"/>
      <c r="H125" s="117" t="s">
        <v>173</v>
      </c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</row>
    <row r="126" spans="2:42">
      <c r="B126" s="117" t="s">
        <v>173</v>
      </c>
      <c r="C126" s="122"/>
      <c r="E126" s="117"/>
      <c r="F126" s="121"/>
      <c r="H126" s="117" t="s">
        <v>173</v>
      </c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</row>
    <row r="127" spans="2:42">
      <c r="B127" s="117" t="s">
        <v>173</v>
      </c>
      <c r="C127" s="122"/>
      <c r="E127" s="117"/>
      <c r="F127" s="121"/>
      <c r="H127" s="117" t="s">
        <v>173</v>
      </c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</row>
    <row r="128" spans="2:42">
      <c r="B128" s="117" t="s">
        <v>173</v>
      </c>
      <c r="C128" s="122"/>
      <c r="E128" s="117"/>
      <c r="F128" s="121"/>
      <c r="H128" s="117" t="s">
        <v>173</v>
      </c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</row>
    <row r="129" spans="2:36">
      <c r="B129" s="117" t="s">
        <v>173</v>
      </c>
      <c r="C129" s="122"/>
      <c r="E129" s="117"/>
      <c r="F129" s="121"/>
      <c r="H129" s="117" t="s">
        <v>173</v>
      </c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</row>
    <row r="130" spans="2:36">
      <c r="B130" s="117" t="s">
        <v>173</v>
      </c>
      <c r="C130" s="122"/>
      <c r="E130" s="117"/>
      <c r="F130" s="121"/>
      <c r="H130" s="117" t="s">
        <v>173</v>
      </c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</row>
    <row r="131" spans="2:36">
      <c r="B131" s="117" t="s">
        <v>173</v>
      </c>
      <c r="C131" s="122"/>
      <c r="E131" s="117"/>
      <c r="F131" s="121"/>
      <c r="H131" s="117" t="s">
        <v>173</v>
      </c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</row>
    <row r="132" spans="2:36">
      <c r="B132" s="117" t="s">
        <v>173</v>
      </c>
      <c r="C132" s="122"/>
      <c r="E132" s="117"/>
      <c r="F132" s="121"/>
      <c r="H132" s="117" t="s">
        <v>173</v>
      </c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</row>
    <row r="133" spans="2:36">
      <c r="B133" s="117" t="s">
        <v>173</v>
      </c>
      <c r="C133" s="122"/>
      <c r="E133" s="117"/>
      <c r="F133" s="121"/>
      <c r="H133" s="117" t="s">
        <v>173</v>
      </c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</row>
    <row r="134" spans="2:36">
      <c r="B134" s="117" t="s">
        <v>173</v>
      </c>
      <c r="C134" s="122"/>
      <c r="E134" s="117"/>
      <c r="F134" s="121"/>
      <c r="H134" s="117" t="s">
        <v>173</v>
      </c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</row>
    <row r="136" spans="2:36">
      <c r="B136" s="113" t="s">
        <v>147</v>
      </c>
      <c r="E136" s="113" t="s">
        <v>55</v>
      </c>
      <c r="H136" s="113" t="s">
        <v>73</v>
      </c>
      <c r="I136" s="115">
        <v>2023</v>
      </c>
      <c r="J136" s="115">
        <v>2024</v>
      </c>
      <c r="K136" s="115">
        <v>2025</v>
      </c>
      <c r="L136" s="115">
        <v>2026</v>
      </c>
      <c r="M136" s="115">
        <v>2027</v>
      </c>
      <c r="N136" s="115">
        <v>2028</v>
      </c>
      <c r="O136" s="115">
        <v>2029</v>
      </c>
      <c r="P136" s="115">
        <v>2030</v>
      </c>
      <c r="Q136" s="115">
        <v>2031</v>
      </c>
      <c r="R136" s="115">
        <v>2032</v>
      </c>
      <c r="S136" s="115">
        <v>2033</v>
      </c>
      <c r="T136" s="115">
        <v>2034</v>
      </c>
      <c r="U136" s="115">
        <v>2035</v>
      </c>
      <c r="V136" s="115">
        <v>2036</v>
      </c>
      <c r="W136" s="115">
        <v>2037</v>
      </c>
      <c r="X136" s="115">
        <v>2038</v>
      </c>
      <c r="Y136" s="115">
        <v>2039</v>
      </c>
      <c r="Z136" s="115">
        <v>2040</v>
      </c>
      <c r="AA136" s="115">
        <v>2041</v>
      </c>
      <c r="AB136" s="115">
        <v>2042</v>
      </c>
      <c r="AC136" s="115">
        <v>2043</v>
      </c>
      <c r="AD136" s="115">
        <v>2044</v>
      </c>
      <c r="AE136" s="115">
        <v>2045</v>
      </c>
      <c r="AF136" s="115">
        <v>2046</v>
      </c>
      <c r="AG136" s="115">
        <v>2047</v>
      </c>
      <c r="AH136" s="115">
        <v>2048</v>
      </c>
      <c r="AI136" s="115">
        <v>2049</v>
      </c>
      <c r="AJ136" s="115">
        <v>2050</v>
      </c>
    </row>
    <row r="137" spans="2:36">
      <c r="B137" s="117" t="s">
        <v>8</v>
      </c>
      <c r="C137" s="124">
        <f>'3.Input data Bharat Petroleum'!E12</f>
        <v>1608039.8</v>
      </c>
      <c r="E137" s="117" t="s">
        <v>8</v>
      </c>
      <c r="F137" s="131">
        <f>'3.Input data Bharat Petroleum'!C18</f>
        <v>1870.1</v>
      </c>
      <c r="H137" s="117" t="s">
        <v>8</v>
      </c>
      <c r="I137" s="121">
        <f>I139</f>
        <v>10.684819934898</v>
      </c>
      <c r="J137" s="121">
        <f t="shared" ref="J137:AJ137" si="26">J139</f>
        <v>10.522418050588</v>
      </c>
      <c r="K137" s="121">
        <f t="shared" si="26"/>
        <v>10.360016166277999</v>
      </c>
      <c r="L137" s="121">
        <f t="shared" si="26"/>
        <v>10.197614281968001</v>
      </c>
      <c r="M137" s="121">
        <f t="shared" si="26"/>
        <v>10.048064596531201</v>
      </c>
      <c r="N137" s="121">
        <f t="shared" si="26"/>
        <v>9.8985149110944022</v>
      </c>
      <c r="O137" s="121">
        <f t="shared" si="26"/>
        <v>9.7489652256576029</v>
      </c>
      <c r="P137" s="121">
        <f t="shared" si="26"/>
        <v>9.5994155402208037</v>
      </c>
      <c r="Q137" s="121">
        <f t="shared" si="26"/>
        <v>9.4498658547840009</v>
      </c>
      <c r="R137" s="121">
        <f t="shared" si="26"/>
        <v>9.3289080907968014</v>
      </c>
      <c r="S137" s="121">
        <f t="shared" si="26"/>
        <v>9.2079503268096019</v>
      </c>
      <c r="T137" s="121">
        <f t="shared" si="26"/>
        <v>9.0869925628224024</v>
      </c>
      <c r="U137" s="121">
        <f t="shared" si="26"/>
        <v>8.9660347988352029</v>
      </c>
      <c r="V137" s="121">
        <f t="shared" si="26"/>
        <v>8.8450770348480017</v>
      </c>
      <c r="W137" s="121">
        <f t="shared" si="26"/>
        <v>8.7615659120004015</v>
      </c>
      <c r="X137" s="121">
        <f t="shared" si="26"/>
        <v>8.6780547891528013</v>
      </c>
      <c r="Y137" s="121">
        <f t="shared" si="26"/>
        <v>8.5945436663052011</v>
      </c>
      <c r="Z137" s="121">
        <f t="shared" si="26"/>
        <v>8.5110325434576009</v>
      </c>
      <c r="AA137" s="121">
        <f t="shared" si="26"/>
        <v>8.4275214206099971</v>
      </c>
      <c r="AB137" s="121">
        <f t="shared" si="26"/>
        <v>8.3774795319675981</v>
      </c>
      <c r="AC137" s="121">
        <f t="shared" si="26"/>
        <v>8.3274376433251991</v>
      </c>
      <c r="AD137" s="121">
        <f t="shared" si="26"/>
        <v>8.2773957546828001</v>
      </c>
      <c r="AE137" s="121">
        <f t="shared" si="26"/>
        <v>8.2273538660404011</v>
      </c>
      <c r="AF137" s="121">
        <f t="shared" si="26"/>
        <v>8.1773119773979985</v>
      </c>
      <c r="AG137" s="121">
        <f t="shared" si="26"/>
        <v>8.156843246297198</v>
      </c>
      <c r="AH137" s="121">
        <f t="shared" si="26"/>
        <v>8.1363745151963975</v>
      </c>
      <c r="AI137" s="121">
        <f t="shared" si="26"/>
        <v>8.115905784095597</v>
      </c>
      <c r="AJ137" s="121">
        <f t="shared" si="26"/>
        <v>8.0954370529947965</v>
      </c>
    </row>
    <row r="138" spans="2:36">
      <c r="B138" s="117" t="s">
        <v>173</v>
      </c>
      <c r="C138" s="122"/>
      <c r="E138" s="35" t="s">
        <v>12</v>
      </c>
      <c r="F138" s="131">
        <f>F$137</f>
        <v>1870.1</v>
      </c>
      <c r="H138" s="35" t="s">
        <v>12</v>
      </c>
      <c r="I138" s="121">
        <f>I148</f>
        <v>25.0414200753724</v>
      </c>
      <c r="J138" s="121">
        <f t="shared" ref="J138:AJ143" si="27">J148</f>
        <v>32.057318261299599</v>
      </c>
      <c r="K138" s="121">
        <f t="shared" si="27"/>
        <v>39.073216447226798</v>
      </c>
      <c r="L138" s="121">
        <f t="shared" si="27"/>
        <v>46.089114633153997</v>
      </c>
      <c r="M138" s="121">
        <f t="shared" si="27"/>
        <v>48.072200152634402</v>
      </c>
      <c r="N138" s="121">
        <f t="shared" si="27"/>
        <v>50.055285672114806</v>
      </c>
      <c r="O138" s="121">
        <f t="shared" si="27"/>
        <v>52.038371191595211</v>
      </c>
      <c r="P138" s="121">
        <f t="shared" si="27"/>
        <v>54.021456711075615</v>
      </c>
      <c r="Q138" s="121">
        <f t="shared" si="27"/>
        <v>56.004542230556012</v>
      </c>
      <c r="R138" s="121">
        <f t="shared" si="27"/>
        <v>58.561105124668011</v>
      </c>
      <c r="S138" s="121">
        <f t="shared" si="27"/>
        <v>61.117668018780009</v>
      </c>
      <c r="T138" s="121">
        <f t="shared" si="27"/>
        <v>63.674230912892007</v>
      </c>
      <c r="U138" s="121">
        <f t="shared" si="27"/>
        <v>66.230793807004005</v>
      </c>
      <c r="V138" s="121">
        <f t="shared" si="27"/>
        <v>68.787356701116011</v>
      </c>
      <c r="W138" s="121">
        <f t="shared" si="27"/>
        <v>71.680261317830414</v>
      </c>
      <c r="X138" s="121">
        <f t="shared" si="27"/>
        <v>74.573165934544818</v>
      </c>
      <c r="Y138" s="121">
        <f t="shared" si="27"/>
        <v>77.466070551259222</v>
      </c>
      <c r="Z138" s="121">
        <f t="shared" si="27"/>
        <v>80.358975167973625</v>
      </c>
      <c r="AA138" s="121">
        <f t="shared" si="27"/>
        <v>83.251879784688001</v>
      </c>
      <c r="AB138" s="121">
        <f t="shared" si="27"/>
        <v>86.7434979985468</v>
      </c>
      <c r="AC138" s="121">
        <f t="shared" si="27"/>
        <v>90.2351162124056</v>
      </c>
      <c r="AD138" s="121">
        <f t="shared" si="27"/>
        <v>93.7267344262644</v>
      </c>
      <c r="AE138" s="121">
        <f t="shared" si="27"/>
        <v>97.2183526401232</v>
      </c>
      <c r="AF138" s="121">
        <f t="shared" si="27"/>
        <v>100.709970853982</v>
      </c>
      <c r="AG138" s="121">
        <f t="shared" si="27"/>
        <v>104.9548035272808</v>
      </c>
      <c r="AH138" s="121">
        <f t="shared" si="27"/>
        <v>109.1996362005796</v>
      </c>
      <c r="AI138" s="121">
        <f t="shared" si="27"/>
        <v>113.44446887387841</v>
      </c>
      <c r="AJ138" s="121">
        <f t="shared" si="27"/>
        <v>117.68930154717721</v>
      </c>
    </row>
    <row r="139" spans="2:36">
      <c r="B139" s="117" t="s">
        <v>173</v>
      </c>
      <c r="C139" s="122"/>
      <c r="E139" s="35" t="s">
        <v>15</v>
      </c>
      <c r="F139" s="131">
        <f t="shared" ref="F139:F146" si="28">F$137</f>
        <v>1870.1</v>
      </c>
      <c r="H139" s="35" t="s">
        <v>15</v>
      </c>
      <c r="I139" s="121">
        <f t="shared" ref="I139:X143" si="29">I149</f>
        <v>10.684819934898</v>
      </c>
      <c r="J139" s="121">
        <f t="shared" si="29"/>
        <v>10.522418050588</v>
      </c>
      <c r="K139" s="121">
        <f t="shared" si="29"/>
        <v>10.360016166277999</v>
      </c>
      <c r="L139" s="121">
        <f t="shared" si="29"/>
        <v>10.197614281968001</v>
      </c>
      <c r="M139" s="121">
        <f t="shared" si="29"/>
        <v>10.048064596531201</v>
      </c>
      <c r="N139" s="121">
        <f t="shared" si="29"/>
        <v>9.8985149110944022</v>
      </c>
      <c r="O139" s="121">
        <f t="shared" si="29"/>
        <v>9.7489652256576029</v>
      </c>
      <c r="P139" s="121">
        <f t="shared" si="29"/>
        <v>9.5994155402208037</v>
      </c>
      <c r="Q139" s="121">
        <f t="shared" si="29"/>
        <v>9.4498658547840009</v>
      </c>
      <c r="R139" s="121">
        <f t="shared" si="29"/>
        <v>9.3289080907968014</v>
      </c>
      <c r="S139" s="121">
        <f t="shared" si="29"/>
        <v>9.2079503268096019</v>
      </c>
      <c r="T139" s="121">
        <f t="shared" si="29"/>
        <v>9.0869925628224024</v>
      </c>
      <c r="U139" s="121">
        <f t="shared" si="29"/>
        <v>8.9660347988352029</v>
      </c>
      <c r="V139" s="121">
        <f t="shared" si="29"/>
        <v>8.8450770348480017</v>
      </c>
      <c r="W139" s="121">
        <f t="shared" si="29"/>
        <v>8.7615659120004015</v>
      </c>
      <c r="X139" s="121">
        <f t="shared" si="29"/>
        <v>8.6780547891528013</v>
      </c>
      <c r="Y139" s="121">
        <f t="shared" si="27"/>
        <v>8.5945436663052011</v>
      </c>
      <c r="Z139" s="121">
        <f t="shared" si="27"/>
        <v>8.5110325434576009</v>
      </c>
      <c r="AA139" s="121">
        <f t="shared" si="27"/>
        <v>8.4275214206099971</v>
      </c>
      <c r="AB139" s="121">
        <f t="shared" si="27"/>
        <v>8.3774795319675981</v>
      </c>
      <c r="AC139" s="121">
        <f t="shared" si="27"/>
        <v>8.3274376433251991</v>
      </c>
      <c r="AD139" s="121">
        <f t="shared" si="27"/>
        <v>8.2773957546828001</v>
      </c>
      <c r="AE139" s="121">
        <f t="shared" si="27"/>
        <v>8.2273538660404011</v>
      </c>
      <c r="AF139" s="121">
        <f t="shared" si="27"/>
        <v>8.1773119773979985</v>
      </c>
      <c r="AG139" s="121">
        <f t="shared" si="27"/>
        <v>8.156843246297198</v>
      </c>
      <c r="AH139" s="121">
        <f t="shared" si="27"/>
        <v>8.1363745151963975</v>
      </c>
      <c r="AI139" s="121">
        <f t="shared" si="27"/>
        <v>8.115905784095597</v>
      </c>
      <c r="AJ139" s="121">
        <f t="shared" si="27"/>
        <v>8.0954370529947965</v>
      </c>
    </row>
    <row r="140" spans="2:36">
      <c r="B140" s="117" t="s">
        <v>173</v>
      </c>
      <c r="C140" s="122"/>
      <c r="E140" s="35" t="s">
        <v>19</v>
      </c>
      <c r="F140" s="131">
        <f t="shared" si="28"/>
        <v>1870.1</v>
      </c>
      <c r="H140" s="35" t="s">
        <v>19</v>
      </c>
      <c r="I140" s="121">
        <f t="shared" si="29"/>
        <v>10.683416029531601</v>
      </c>
      <c r="J140" s="121">
        <f t="shared" si="27"/>
        <v>10.520312192538402</v>
      </c>
      <c r="K140" s="121">
        <f t="shared" si="27"/>
        <v>10.357208355545202</v>
      </c>
      <c r="L140" s="121">
        <f t="shared" si="27"/>
        <v>10.194104518552001</v>
      </c>
      <c r="M140" s="121">
        <f t="shared" si="27"/>
        <v>10.044331579195601</v>
      </c>
      <c r="N140" s="121">
        <f t="shared" si="27"/>
        <v>9.894558639839202</v>
      </c>
      <c r="O140" s="121">
        <f t="shared" si="27"/>
        <v>9.7447857004828027</v>
      </c>
      <c r="P140" s="121">
        <f t="shared" si="27"/>
        <v>9.5950127611264033</v>
      </c>
      <c r="Q140" s="121">
        <f t="shared" si="27"/>
        <v>9.4452398217700004</v>
      </c>
      <c r="R140" s="121">
        <f t="shared" si="27"/>
        <v>32.6149095809008</v>
      </c>
      <c r="S140" s="121">
        <f t="shared" si="27"/>
        <v>55.784579340031598</v>
      </c>
      <c r="T140" s="121">
        <f t="shared" si="27"/>
        <v>78.954249099162396</v>
      </c>
      <c r="U140" s="121">
        <f t="shared" si="27"/>
        <v>102.12391885829319</v>
      </c>
      <c r="V140" s="121">
        <f t="shared" si="27"/>
        <v>125.29358861742401</v>
      </c>
      <c r="W140" s="121">
        <f t="shared" si="27"/>
        <v>137.87139825438243</v>
      </c>
      <c r="X140" s="121">
        <f t="shared" si="27"/>
        <v>150.44920789134085</v>
      </c>
      <c r="Y140" s="121">
        <f t="shared" si="27"/>
        <v>163.02701752829927</v>
      </c>
      <c r="Z140" s="121">
        <f t="shared" si="27"/>
        <v>175.60482716525769</v>
      </c>
      <c r="AA140" s="121">
        <f t="shared" si="27"/>
        <v>188.18263680221611</v>
      </c>
      <c r="AB140" s="121">
        <f t="shared" si="27"/>
        <v>202.39666240802129</v>
      </c>
      <c r="AC140" s="121">
        <f t="shared" si="27"/>
        <v>216.61068801382646</v>
      </c>
      <c r="AD140" s="121">
        <f t="shared" si="27"/>
        <v>230.82471361963164</v>
      </c>
      <c r="AE140" s="121">
        <f t="shared" si="27"/>
        <v>245.03873922543681</v>
      </c>
      <c r="AF140" s="121">
        <f t="shared" si="27"/>
        <v>259.25276483124202</v>
      </c>
      <c r="AG140" s="121">
        <f t="shared" si="27"/>
        <v>274.66921805831521</v>
      </c>
      <c r="AH140" s="121">
        <f t="shared" si="27"/>
        <v>290.0856712853884</v>
      </c>
      <c r="AI140" s="121">
        <f t="shared" si="27"/>
        <v>305.50212451246159</v>
      </c>
      <c r="AJ140" s="121">
        <f t="shared" si="27"/>
        <v>320.91857773953478</v>
      </c>
    </row>
    <row r="141" spans="2:36">
      <c r="B141" s="117" t="s">
        <v>173</v>
      </c>
      <c r="C141" s="122"/>
      <c r="E141" s="35" t="s">
        <v>22</v>
      </c>
      <c r="F141" s="131">
        <f t="shared" si="28"/>
        <v>1870.1</v>
      </c>
      <c r="H141" s="35" t="s">
        <v>22</v>
      </c>
      <c r="I141" s="121">
        <f t="shared" si="29"/>
        <v>10.683416029531601</v>
      </c>
      <c r="J141" s="121">
        <f t="shared" si="27"/>
        <v>10.520312192538402</v>
      </c>
      <c r="K141" s="121">
        <f t="shared" si="27"/>
        <v>10.357208355545202</v>
      </c>
      <c r="L141" s="121">
        <f t="shared" si="27"/>
        <v>10.194104518552001</v>
      </c>
      <c r="M141" s="121">
        <f t="shared" si="27"/>
        <v>10.044331579195601</v>
      </c>
      <c r="N141" s="121">
        <f t="shared" si="27"/>
        <v>9.894558639839202</v>
      </c>
      <c r="O141" s="121">
        <f t="shared" si="27"/>
        <v>9.7447857004828027</v>
      </c>
      <c r="P141" s="121">
        <f t="shared" si="27"/>
        <v>9.5950127611264033</v>
      </c>
      <c r="Q141" s="121">
        <f t="shared" si="27"/>
        <v>9.4452398217700004</v>
      </c>
      <c r="R141" s="121">
        <f t="shared" si="27"/>
        <v>27.039689652890402</v>
      </c>
      <c r="S141" s="121">
        <f t="shared" si="27"/>
        <v>44.634139484010802</v>
      </c>
      <c r="T141" s="121">
        <f t="shared" si="27"/>
        <v>62.228589315131202</v>
      </c>
      <c r="U141" s="121">
        <f t="shared" si="27"/>
        <v>79.823039146251602</v>
      </c>
      <c r="V141" s="121">
        <f t="shared" si="27"/>
        <v>97.417488977372017</v>
      </c>
      <c r="W141" s="121">
        <f t="shared" si="27"/>
        <v>101.47175893300961</v>
      </c>
      <c r="X141" s="121">
        <f t="shared" si="27"/>
        <v>105.5260288886472</v>
      </c>
      <c r="Y141" s="121">
        <f t="shared" si="27"/>
        <v>109.5802988442848</v>
      </c>
      <c r="Z141" s="121">
        <f t="shared" si="27"/>
        <v>113.63456879992239</v>
      </c>
      <c r="AA141" s="121">
        <f t="shared" si="27"/>
        <v>117.68883875556</v>
      </c>
      <c r="AB141" s="121">
        <f t="shared" si="27"/>
        <v>121.4130372400912</v>
      </c>
      <c r="AC141" s="121">
        <f t="shared" si="27"/>
        <v>125.1372357246224</v>
      </c>
      <c r="AD141" s="121">
        <f t="shared" si="27"/>
        <v>128.8614342091536</v>
      </c>
      <c r="AE141" s="121">
        <f t="shared" si="27"/>
        <v>132.5856326936848</v>
      </c>
      <c r="AF141" s="121">
        <f t="shared" si="27"/>
        <v>136.309831178216</v>
      </c>
      <c r="AG141" s="121">
        <f t="shared" si="27"/>
        <v>139.9807007772028</v>
      </c>
      <c r="AH141" s="121">
        <f t="shared" si="27"/>
        <v>143.6515703761896</v>
      </c>
      <c r="AI141" s="121">
        <f t="shared" si="27"/>
        <v>147.32243997517639</v>
      </c>
      <c r="AJ141" s="121">
        <f t="shared" si="27"/>
        <v>150.99330957416319</v>
      </c>
    </row>
    <row r="142" spans="2:36">
      <c r="B142" s="117" t="s">
        <v>173</v>
      </c>
      <c r="C142" s="122"/>
      <c r="E142" s="35" t="s">
        <v>24</v>
      </c>
      <c r="F142" s="131">
        <f t="shared" si="28"/>
        <v>1870.1</v>
      </c>
      <c r="H142" s="35" t="s">
        <v>24</v>
      </c>
      <c r="I142" s="121">
        <f t="shared" si="29"/>
        <v>19.173481846293999</v>
      </c>
      <c r="J142" s="121">
        <f t="shared" si="27"/>
        <v>23.255410917681999</v>
      </c>
      <c r="K142" s="121">
        <f t="shared" si="27"/>
        <v>27.337339989069999</v>
      </c>
      <c r="L142" s="121">
        <f t="shared" si="27"/>
        <v>31.419269060457999</v>
      </c>
      <c r="M142" s="121">
        <f t="shared" si="27"/>
        <v>34.9382503797844</v>
      </c>
      <c r="N142" s="121">
        <f t="shared" si="27"/>
        <v>38.4572316991108</v>
      </c>
      <c r="O142" s="121">
        <f t="shared" si="27"/>
        <v>41.9762130184372</v>
      </c>
      <c r="P142" s="121">
        <f t="shared" si="27"/>
        <v>45.4951943377636</v>
      </c>
      <c r="Q142" s="121">
        <f t="shared" si="27"/>
        <v>49.014175657089993</v>
      </c>
      <c r="R142" s="121">
        <f t="shared" si="27"/>
        <v>49.260799456695992</v>
      </c>
      <c r="S142" s="121">
        <f t="shared" si="27"/>
        <v>49.50742325630199</v>
      </c>
      <c r="T142" s="121">
        <f t="shared" si="27"/>
        <v>49.754047055907989</v>
      </c>
      <c r="U142" s="121">
        <f t="shared" si="27"/>
        <v>50.000670855513988</v>
      </c>
      <c r="V142" s="121">
        <f t="shared" si="27"/>
        <v>50.247294655119987</v>
      </c>
      <c r="W142" s="121">
        <f t="shared" si="27"/>
        <v>50.783110597825988</v>
      </c>
      <c r="X142" s="121">
        <f t="shared" si="27"/>
        <v>51.31892654053199</v>
      </c>
      <c r="Y142" s="121">
        <f t="shared" si="27"/>
        <v>51.854742483237992</v>
      </c>
      <c r="Z142" s="121">
        <f t="shared" si="27"/>
        <v>52.390558425943993</v>
      </c>
      <c r="AA142" s="121">
        <f t="shared" si="27"/>
        <v>52.926374368650002</v>
      </c>
      <c r="AB142" s="121">
        <f t="shared" si="27"/>
        <v>53.642654937641602</v>
      </c>
      <c r="AC142" s="121">
        <f t="shared" si="27"/>
        <v>54.358935506633202</v>
      </c>
      <c r="AD142" s="121">
        <f t="shared" si="27"/>
        <v>55.075216075624802</v>
      </c>
      <c r="AE142" s="121">
        <f t="shared" si="27"/>
        <v>55.791496644616402</v>
      </c>
      <c r="AF142" s="121">
        <f t="shared" si="27"/>
        <v>56.507777213607987</v>
      </c>
      <c r="AG142" s="121">
        <f t="shared" si="27"/>
        <v>57.263574656870389</v>
      </c>
      <c r="AH142" s="121">
        <f t="shared" si="27"/>
        <v>58.019372100132792</v>
      </c>
      <c r="AI142" s="121">
        <f t="shared" si="27"/>
        <v>58.775169543395194</v>
      </c>
      <c r="AJ142" s="121">
        <f t="shared" si="27"/>
        <v>59.530966986657596</v>
      </c>
    </row>
    <row r="143" spans="2:36">
      <c r="B143" s="117" t="s">
        <v>173</v>
      </c>
      <c r="C143" s="122"/>
      <c r="E143" s="35" t="s">
        <v>25</v>
      </c>
      <c r="F143" s="131">
        <f t="shared" si="28"/>
        <v>1870.1</v>
      </c>
      <c r="H143" s="35" t="s">
        <v>25</v>
      </c>
      <c r="I143" s="121">
        <f t="shared" si="29"/>
        <v>65.469516307497202</v>
      </c>
      <c r="J143" s="121">
        <f t="shared" si="27"/>
        <v>92.699462609486801</v>
      </c>
      <c r="K143" s="121">
        <f t="shared" si="27"/>
        <v>119.9294089114764</v>
      </c>
      <c r="L143" s="121">
        <f t="shared" si="27"/>
        <v>147.159355213466</v>
      </c>
      <c r="M143" s="121">
        <f t="shared" si="27"/>
        <v>156.13345781564999</v>
      </c>
      <c r="N143" s="121">
        <f t="shared" si="27"/>
        <v>165.10756041783398</v>
      </c>
      <c r="O143" s="121">
        <f t="shared" si="27"/>
        <v>174.08166302001797</v>
      </c>
      <c r="P143" s="121">
        <f t="shared" si="27"/>
        <v>183.05576562220196</v>
      </c>
      <c r="Q143" s="121">
        <f t="shared" si="27"/>
        <v>192.02986822438601</v>
      </c>
      <c r="R143" s="121">
        <f t="shared" si="27"/>
        <v>205.74762901307679</v>
      </c>
      <c r="S143" s="121">
        <f t="shared" si="27"/>
        <v>219.46538980176757</v>
      </c>
      <c r="T143" s="121">
        <f t="shared" si="27"/>
        <v>233.18315059045835</v>
      </c>
      <c r="U143" s="121">
        <f t="shared" si="27"/>
        <v>246.90091137914914</v>
      </c>
      <c r="V143" s="121">
        <f t="shared" si="27"/>
        <v>260.61867216783997</v>
      </c>
      <c r="W143" s="121">
        <f t="shared" si="27"/>
        <v>276.92654087641876</v>
      </c>
      <c r="X143" s="121">
        <f t="shared" si="27"/>
        <v>293.23440958499754</v>
      </c>
      <c r="Y143" s="121">
        <f t="shared" si="27"/>
        <v>309.54227829357632</v>
      </c>
      <c r="Z143" s="121">
        <f t="shared" si="27"/>
        <v>325.8501470021551</v>
      </c>
      <c r="AA143" s="121">
        <f t="shared" si="27"/>
        <v>342.15801571073399</v>
      </c>
      <c r="AB143" s="121">
        <f t="shared" si="27"/>
        <v>362.56755237622519</v>
      </c>
      <c r="AC143" s="121">
        <f t="shared" si="27"/>
        <v>382.9770890417164</v>
      </c>
      <c r="AD143" s="121">
        <f t="shared" si="27"/>
        <v>403.3866257072076</v>
      </c>
      <c r="AE143" s="121">
        <f t="shared" si="27"/>
        <v>423.7961623726988</v>
      </c>
      <c r="AF143" s="121">
        <f t="shared" si="27"/>
        <v>444.20569903818989</v>
      </c>
      <c r="AG143" s="121">
        <f t="shared" si="27"/>
        <v>469.32704171267989</v>
      </c>
      <c r="AH143" s="121">
        <f t="shared" si="27"/>
        <v>494.44838438716988</v>
      </c>
      <c r="AI143" s="121">
        <f t="shared" si="27"/>
        <v>519.56972706165993</v>
      </c>
      <c r="AJ143" s="121">
        <f t="shared" si="27"/>
        <v>544.69106973614998</v>
      </c>
    </row>
    <row r="144" spans="2:36">
      <c r="B144" s="117" t="s">
        <v>173</v>
      </c>
      <c r="C144" s="122"/>
      <c r="E144" s="117"/>
      <c r="F144" s="131">
        <f t="shared" si="28"/>
        <v>1870.1</v>
      </c>
      <c r="H144" s="117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</row>
    <row r="145" spans="2:42">
      <c r="B145" s="117" t="s">
        <v>173</v>
      </c>
      <c r="C145" s="122"/>
      <c r="E145" s="117"/>
      <c r="F145" s="131">
        <f t="shared" si="28"/>
        <v>1870.1</v>
      </c>
      <c r="H145" s="117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</row>
    <row r="146" spans="2:42">
      <c r="B146" s="117" t="s">
        <v>173</v>
      </c>
      <c r="C146" s="122"/>
      <c r="E146" s="117"/>
      <c r="F146" s="131">
        <f t="shared" si="28"/>
        <v>1870.1</v>
      </c>
      <c r="H146" s="117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</row>
    <row r="147" spans="2:42">
      <c r="H147" s="128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</row>
    <row r="148" spans="2:42">
      <c r="B148" s="113" t="s">
        <v>42</v>
      </c>
      <c r="E148" s="113" t="s">
        <v>276</v>
      </c>
      <c r="H148" s="130" t="s">
        <v>12</v>
      </c>
      <c r="I148" s="132">
        <v>25.0414200753724</v>
      </c>
      <c r="J148" s="132">
        <v>32.057318261299599</v>
      </c>
      <c r="K148" s="132">
        <v>39.073216447226798</v>
      </c>
      <c r="L148" s="132">
        <v>46.089114633153997</v>
      </c>
      <c r="M148" s="132">
        <v>48.072200152634402</v>
      </c>
      <c r="N148" s="132">
        <v>50.055285672114806</v>
      </c>
      <c r="O148" s="132">
        <v>52.038371191595211</v>
      </c>
      <c r="P148" s="132">
        <v>54.021456711075615</v>
      </c>
      <c r="Q148" s="132">
        <v>56.004542230556012</v>
      </c>
      <c r="R148" s="132">
        <v>58.561105124668011</v>
      </c>
      <c r="S148" s="132">
        <v>61.117668018780009</v>
      </c>
      <c r="T148" s="132">
        <v>63.674230912892007</v>
      </c>
      <c r="U148" s="132">
        <v>66.230793807004005</v>
      </c>
      <c r="V148" s="132">
        <v>68.787356701116011</v>
      </c>
      <c r="W148" s="132">
        <v>71.680261317830414</v>
      </c>
      <c r="X148" s="132">
        <v>74.573165934544818</v>
      </c>
      <c r="Y148" s="132">
        <v>77.466070551259222</v>
      </c>
      <c r="Z148" s="132">
        <v>80.358975167973625</v>
      </c>
      <c r="AA148" s="132">
        <v>83.251879784688001</v>
      </c>
      <c r="AB148" s="132">
        <v>86.7434979985468</v>
      </c>
      <c r="AC148" s="132">
        <v>90.2351162124056</v>
      </c>
      <c r="AD148" s="132">
        <v>93.7267344262644</v>
      </c>
      <c r="AE148" s="132">
        <v>97.2183526401232</v>
      </c>
      <c r="AF148" s="132">
        <v>100.709970853982</v>
      </c>
      <c r="AG148" s="132">
        <v>104.9548035272808</v>
      </c>
      <c r="AH148" s="132">
        <v>109.1996362005796</v>
      </c>
      <c r="AI148" s="132">
        <v>113.44446887387841</v>
      </c>
      <c r="AJ148" s="132">
        <v>117.68930154717721</v>
      </c>
      <c r="AK148" s="115">
        <v>121.934134220476</v>
      </c>
      <c r="AL148" s="115">
        <v>124.38703154863239</v>
      </c>
      <c r="AM148" s="115">
        <v>126.83992887678879</v>
      </c>
      <c r="AN148" s="115">
        <v>129.29282620494519</v>
      </c>
      <c r="AO148" s="115">
        <v>131.7457235331016</v>
      </c>
      <c r="AP148" s="115">
        <v>134.19862086125801</v>
      </c>
    </row>
    <row r="149" spans="2:42">
      <c r="B149" s="117" t="s">
        <v>173</v>
      </c>
      <c r="C149" s="122"/>
      <c r="E149" s="117" t="s">
        <v>8</v>
      </c>
      <c r="F149" s="131">
        <v>0.5</v>
      </c>
      <c r="H149" s="130" t="s">
        <v>15</v>
      </c>
      <c r="I149" s="132">
        <v>10.684819934898</v>
      </c>
      <c r="J149" s="132">
        <v>10.522418050588</v>
      </c>
      <c r="K149" s="132">
        <v>10.360016166277999</v>
      </c>
      <c r="L149" s="132">
        <v>10.197614281968001</v>
      </c>
      <c r="M149" s="132">
        <v>10.048064596531201</v>
      </c>
      <c r="N149" s="132">
        <v>9.8985149110944022</v>
      </c>
      <c r="O149" s="132">
        <v>9.7489652256576029</v>
      </c>
      <c r="P149" s="132">
        <v>9.5994155402208037</v>
      </c>
      <c r="Q149" s="132">
        <v>9.4498658547840009</v>
      </c>
      <c r="R149" s="132">
        <v>9.3289080907968014</v>
      </c>
      <c r="S149" s="132">
        <v>9.2079503268096019</v>
      </c>
      <c r="T149" s="132">
        <v>9.0869925628224024</v>
      </c>
      <c r="U149" s="132">
        <v>8.9660347988352029</v>
      </c>
      <c r="V149" s="132">
        <v>8.8450770348480017</v>
      </c>
      <c r="W149" s="132">
        <v>8.7615659120004015</v>
      </c>
      <c r="X149" s="132">
        <v>8.6780547891528013</v>
      </c>
      <c r="Y149" s="132">
        <v>8.5945436663052011</v>
      </c>
      <c r="Z149" s="132">
        <v>8.5110325434576009</v>
      </c>
      <c r="AA149" s="132">
        <v>8.4275214206099971</v>
      </c>
      <c r="AB149" s="132">
        <v>8.3774795319675981</v>
      </c>
      <c r="AC149" s="132">
        <v>8.3274376433251991</v>
      </c>
      <c r="AD149" s="132">
        <v>8.2773957546828001</v>
      </c>
      <c r="AE149" s="132">
        <v>8.2273538660404011</v>
      </c>
      <c r="AF149" s="132">
        <v>8.1773119773979985</v>
      </c>
      <c r="AG149" s="132">
        <v>8.156843246297198</v>
      </c>
      <c r="AH149" s="132">
        <v>8.1363745151963975</v>
      </c>
      <c r="AI149" s="132">
        <v>8.115905784095597</v>
      </c>
      <c r="AJ149" s="132">
        <v>8.0954370529947965</v>
      </c>
      <c r="AK149" s="115">
        <v>8.0749683218939978</v>
      </c>
      <c r="AL149" s="115">
        <v>8.0907760375515991</v>
      </c>
      <c r="AM149" s="115">
        <v>8.1065837532092004</v>
      </c>
      <c r="AN149" s="115">
        <v>8.1223914688668017</v>
      </c>
      <c r="AO149" s="115">
        <v>8.1381991845244031</v>
      </c>
      <c r="AP149" s="115">
        <v>8.1540069001820008</v>
      </c>
    </row>
    <row r="150" spans="2:42">
      <c r="B150" s="117" t="s">
        <v>173</v>
      </c>
      <c r="C150" s="122"/>
      <c r="E150" s="35" t="s">
        <v>12</v>
      </c>
      <c r="F150" s="131">
        <f>F$149</f>
        <v>0.5</v>
      </c>
      <c r="H150" s="130" t="s">
        <v>19</v>
      </c>
      <c r="I150" s="132">
        <v>10.683416029531601</v>
      </c>
      <c r="J150" s="132">
        <v>10.520312192538402</v>
      </c>
      <c r="K150" s="132">
        <v>10.357208355545202</v>
      </c>
      <c r="L150" s="132">
        <v>10.194104518552001</v>
      </c>
      <c r="M150" s="132">
        <v>10.044331579195601</v>
      </c>
      <c r="N150" s="132">
        <v>9.894558639839202</v>
      </c>
      <c r="O150" s="132">
        <v>9.7447857004828027</v>
      </c>
      <c r="P150" s="132">
        <v>9.5950127611264033</v>
      </c>
      <c r="Q150" s="132">
        <v>9.4452398217700004</v>
      </c>
      <c r="R150" s="132">
        <v>32.6149095809008</v>
      </c>
      <c r="S150" s="132">
        <v>55.784579340031598</v>
      </c>
      <c r="T150" s="132">
        <v>78.954249099162396</v>
      </c>
      <c r="U150" s="132">
        <v>102.12391885829319</v>
      </c>
      <c r="V150" s="132">
        <v>125.29358861742401</v>
      </c>
      <c r="W150" s="132">
        <v>137.87139825438243</v>
      </c>
      <c r="X150" s="132">
        <v>150.44920789134085</v>
      </c>
      <c r="Y150" s="132">
        <v>163.02701752829927</v>
      </c>
      <c r="Z150" s="132">
        <v>175.60482716525769</v>
      </c>
      <c r="AA150" s="132">
        <v>188.18263680221611</v>
      </c>
      <c r="AB150" s="132">
        <v>202.39666240802129</v>
      </c>
      <c r="AC150" s="132">
        <v>216.61068801382646</v>
      </c>
      <c r="AD150" s="132">
        <v>230.82471361963164</v>
      </c>
      <c r="AE150" s="132">
        <v>245.03873922543681</v>
      </c>
      <c r="AF150" s="132">
        <v>259.25276483124202</v>
      </c>
      <c r="AG150" s="132">
        <v>274.66921805831521</v>
      </c>
      <c r="AH150" s="132">
        <v>290.0856712853884</v>
      </c>
      <c r="AI150" s="132">
        <v>305.50212451246159</v>
      </c>
      <c r="AJ150" s="132">
        <v>320.91857773953478</v>
      </c>
      <c r="AK150" s="115">
        <v>336.33503096660792</v>
      </c>
      <c r="AL150" s="115">
        <v>343.49606573474074</v>
      </c>
      <c r="AM150" s="115">
        <v>350.65710050287356</v>
      </c>
      <c r="AN150" s="115">
        <v>357.81813527100638</v>
      </c>
      <c r="AO150" s="115">
        <v>364.97917003913921</v>
      </c>
      <c r="AP150" s="115">
        <v>372.14020480727203</v>
      </c>
    </row>
    <row r="151" spans="2:42">
      <c r="B151" s="117" t="s">
        <v>173</v>
      </c>
      <c r="C151" s="122"/>
      <c r="E151" s="35" t="s">
        <v>15</v>
      </c>
      <c r="F151" s="131">
        <f>F$149</f>
        <v>0.5</v>
      </c>
      <c r="H151" s="130" t="s">
        <v>22</v>
      </c>
      <c r="I151" s="132">
        <v>10.683416029531601</v>
      </c>
      <c r="J151" s="132">
        <v>10.520312192538402</v>
      </c>
      <c r="K151" s="132">
        <v>10.357208355545202</v>
      </c>
      <c r="L151" s="132">
        <v>10.194104518552001</v>
      </c>
      <c r="M151" s="132">
        <v>10.044331579195601</v>
      </c>
      <c r="N151" s="132">
        <v>9.894558639839202</v>
      </c>
      <c r="O151" s="132">
        <v>9.7447857004828027</v>
      </c>
      <c r="P151" s="132">
        <v>9.5950127611264033</v>
      </c>
      <c r="Q151" s="132">
        <v>9.4452398217700004</v>
      </c>
      <c r="R151" s="132">
        <v>27.039689652890402</v>
      </c>
      <c r="S151" s="132">
        <v>44.634139484010802</v>
      </c>
      <c r="T151" s="132">
        <v>62.228589315131202</v>
      </c>
      <c r="U151" s="132">
        <v>79.823039146251602</v>
      </c>
      <c r="V151" s="132">
        <v>97.417488977372017</v>
      </c>
      <c r="W151" s="132">
        <v>101.47175893300961</v>
      </c>
      <c r="X151" s="132">
        <v>105.5260288886472</v>
      </c>
      <c r="Y151" s="132">
        <v>109.5802988442848</v>
      </c>
      <c r="Z151" s="132">
        <v>113.63456879992239</v>
      </c>
      <c r="AA151" s="132">
        <v>117.68883875556</v>
      </c>
      <c r="AB151" s="132">
        <v>121.4130372400912</v>
      </c>
      <c r="AC151" s="132">
        <v>125.1372357246224</v>
      </c>
      <c r="AD151" s="132">
        <v>128.8614342091536</v>
      </c>
      <c r="AE151" s="132">
        <v>132.5856326936848</v>
      </c>
      <c r="AF151" s="132">
        <v>136.309831178216</v>
      </c>
      <c r="AG151" s="132">
        <v>139.9807007772028</v>
      </c>
      <c r="AH151" s="132">
        <v>143.6515703761896</v>
      </c>
      <c r="AI151" s="132">
        <v>147.32243997517639</v>
      </c>
      <c r="AJ151" s="132">
        <v>150.99330957416319</v>
      </c>
      <c r="AK151" s="115">
        <v>154.66417917314999</v>
      </c>
      <c r="AL151" s="115">
        <v>156.78404732009039</v>
      </c>
      <c r="AM151" s="115">
        <v>158.9039154670308</v>
      </c>
      <c r="AN151" s="115">
        <v>161.0237836139712</v>
      </c>
      <c r="AO151" s="115">
        <v>163.14365176091161</v>
      </c>
      <c r="AP151" s="115">
        <v>165.26351990785199</v>
      </c>
    </row>
    <row r="152" spans="2:42">
      <c r="B152" s="117" t="s">
        <v>173</v>
      </c>
      <c r="C152" s="122"/>
      <c r="E152" s="35" t="s">
        <v>19</v>
      </c>
      <c r="F152" s="131">
        <f t="shared" ref="F152:F155" si="30">F$149</f>
        <v>0.5</v>
      </c>
      <c r="H152" s="130" t="s">
        <v>24</v>
      </c>
      <c r="I152" s="132">
        <v>19.173481846293999</v>
      </c>
      <c r="J152" s="132">
        <v>23.255410917681999</v>
      </c>
      <c r="K152" s="132">
        <v>27.337339989069999</v>
      </c>
      <c r="L152" s="132">
        <v>31.419269060457999</v>
      </c>
      <c r="M152" s="132">
        <v>34.9382503797844</v>
      </c>
      <c r="N152" s="132">
        <v>38.4572316991108</v>
      </c>
      <c r="O152" s="132">
        <v>41.9762130184372</v>
      </c>
      <c r="P152" s="132">
        <v>45.4951943377636</v>
      </c>
      <c r="Q152" s="132">
        <v>49.014175657089993</v>
      </c>
      <c r="R152" s="132">
        <v>49.260799456695992</v>
      </c>
      <c r="S152" s="132">
        <v>49.50742325630199</v>
      </c>
      <c r="T152" s="132">
        <v>49.754047055907989</v>
      </c>
      <c r="U152" s="132">
        <v>50.000670855513988</v>
      </c>
      <c r="V152" s="132">
        <v>50.247294655119987</v>
      </c>
      <c r="W152" s="132">
        <v>50.783110597825988</v>
      </c>
      <c r="X152" s="132">
        <v>51.31892654053199</v>
      </c>
      <c r="Y152" s="132">
        <v>51.854742483237992</v>
      </c>
      <c r="Z152" s="132">
        <v>52.390558425943993</v>
      </c>
      <c r="AA152" s="132">
        <v>52.926374368650002</v>
      </c>
      <c r="AB152" s="132">
        <v>53.642654937641602</v>
      </c>
      <c r="AC152" s="132">
        <v>54.358935506633202</v>
      </c>
      <c r="AD152" s="132">
        <v>55.075216075624802</v>
      </c>
      <c r="AE152" s="132">
        <v>55.791496644616402</v>
      </c>
      <c r="AF152" s="132">
        <v>56.507777213607987</v>
      </c>
      <c r="AG152" s="132">
        <v>57.263574656870389</v>
      </c>
      <c r="AH152" s="132">
        <v>58.019372100132792</v>
      </c>
      <c r="AI152" s="132">
        <v>58.775169543395194</v>
      </c>
      <c r="AJ152" s="132">
        <v>59.530966986657596</v>
      </c>
      <c r="AK152" s="115">
        <v>60.286764429919998</v>
      </c>
      <c r="AL152" s="115">
        <v>61.095003503296397</v>
      </c>
      <c r="AM152" s="115">
        <v>61.903242576672795</v>
      </c>
      <c r="AN152" s="115">
        <v>62.711481650049194</v>
      </c>
      <c r="AO152" s="115">
        <v>63.519720723425593</v>
      </c>
      <c r="AP152" s="115">
        <v>64.327959796802006</v>
      </c>
    </row>
    <row r="153" spans="2:42">
      <c r="B153" s="117" t="s">
        <v>173</v>
      </c>
      <c r="C153" s="122"/>
      <c r="E153" s="35" t="s">
        <v>22</v>
      </c>
      <c r="F153" s="131">
        <f t="shared" si="30"/>
        <v>0.5</v>
      </c>
      <c r="H153" s="130" t="s">
        <v>25</v>
      </c>
      <c r="I153" s="132">
        <v>65.469516307497202</v>
      </c>
      <c r="J153" s="132">
        <v>92.699462609486801</v>
      </c>
      <c r="K153" s="132">
        <v>119.9294089114764</v>
      </c>
      <c r="L153" s="132">
        <v>147.159355213466</v>
      </c>
      <c r="M153" s="132">
        <v>156.13345781564999</v>
      </c>
      <c r="N153" s="132">
        <v>165.10756041783398</v>
      </c>
      <c r="O153" s="132">
        <v>174.08166302001797</v>
      </c>
      <c r="P153" s="132">
        <v>183.05576562220196</v>
      </c>
      <c r="Q153" s="132">
        <v>192.02986822438601</v>
      </c>
      <c r="R153" s="132">
        <v>205.74762901307679</v>
      </c>
      <c r="S153" s="132">
        <v>219.46538980176757</v>
      </c>
      <c r="T153" s="132">
        <v>233.18315059045835</v>
      </c>
      <c r="U153" s="132">
        <v>246.90091137914914</v>
      </c>
      <c r="V153" s="132">
        <v>260.61867216783997</v>
      </c>
      <c r="W153" s="132">
        <v>276.92654087641876</v>
      </c>
      <c r="X153" s="132">
        <v>293.23440958499754</v>
      </c>
      <c r="Y153" s="132">
        <v>309.54227829357632</v>
      </c>
      <c r="Z153" s="132">
        <v>325.8501470021551</v>
      </c>
      <c r="AA153" s="132">
        <v>342.15801571073399</v>
      </c>
      <c r="AB153" s="132">
        <v>362.56755237622519</v>
      </c>
      <c r="AC153" s="132">
        <v>382.9770890417164</v>
      </c>
      <c r="AD153" s="132">
        <v>403.3866257072076</v>
      </c>
      <c r="AE153" s="132">
        <v>423.7961623726988</v>
      </c>
      <c r="AF153" s="132">
        <v>444.20569903818989</v>
      </c>
      <c r="AG153" s="132">
        <v>469.32704171267989</v>
      </c>
      <c r="AH153" s="132">
        <v>494.44838438716988</v>
      </c>
      <c r="AI153" s="132">
        <v>519.56972706165993</v>
      </c>
      <c r="AJ153" s="132">
        <v>544.69106973614998</v>
      </c>
      <c r="AK153" s="115">
        <v>569.81241241063992</v>
      </c>
      <c r="AL153" s="115">
        <v>578.64962034854034</v>
      </c>
      <c r="AM153" s="115">
        <v>587.48682828644075</v>
      </c>
      <c r="AN153" s="115">
        <v>596.32403622434117</v>
      </c>
      <c r="AO153" s="115">
        <v>605.16124416224159</v>
      </c>
      <c r="AP153" s="115">
        <v>613.99845210014212</v>
      </c>
    </row>
    <row r="154" spans="2:42">
      <c r="B154" s="117" t="s">
        <v>173</v>
      </c>
      <c r="C154" s="122"/>
      <c r="E154" s="35" t="s">
        <v>24</v>
      </c>
      <c r="F154" s="131">
        <f t="shared" si="30"/>
        <v>0.5</v>
      </c>
      <c r="H154" s="128" t="s">
        <v>173</v>
      </c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</row>
    <row r="155" spans="2:42">
      <c r="B155" s="117" t="s">
        <v>173</v>
      </c>
      <c r="C155" s="122"/>
      <c r="E155" s="35" t="s">
        <v>25</v>
      </c>
      <c r="F155" s="131">
        <f t="shared" si="30"/>
        <v>0.5</v>
      </c>
      <c r="H155" s="128" t="s">
        <v>173</v>
      </c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</row>
    <row r="156" spans="2:42">
      <c r="B156" s="117" t="s">
        <v>173</v>
      </c>
      <c r="C156" s="122"/>
      <c r="E156" s="117"/>
      <c r="F156" s="131"/>
      <c r="H156" s="117" t="s">
        <v>173</v>
      </c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</row>
    <row r="157" spans="2:42">
      <c r="B157" s="117" t="s">
        <v>173</v>
      </c>
      <c r="C157" s="122"/>
      <c r="E157" s="117"/>
      <c r="F157" s="131"/>
      <c r="H157" s="117" t="s">
        <v>173</v>
      </c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</row>
    <row r="158" spans="2:42">
      <c r="B158" s="117" t="s">
        <v>173</v>
      </c>
      <c r="C158" s="122"/>
      <c r="E158" s="117"/>
      <c r="F158" s="131"/>
      <c r="H158" s="117" t="s">
        <v>173</v>
      </c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</row>
    <row r="159" spans="2:42">
      <c r="H159" s="117" t="s">
        <v>173</v>
      </c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</row>
    <row r="160" spans="2:42">
      <c r="B160" s="113" t="s">
        <v>277</v>
      </c>
      <c r="H160" s="117" t="s">
        <v>173</v>
      </c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</row>
    <row r="161" spans="2:36">
      <c r="B161" s="117" t="s">
        <v>8</v>
      </c>
      <c r="C161" s="124">
        <f>'3.Input data Bharat Petroleum'!E13</f>
        <v>18813.2</v>
      </c>
      <c r="H161" s="117" t="s">
        <v>173</v>
      </c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</row>
    <row r="162" spans="2:36">
      <c r="B162" s="117" t="s">
        <v>173</v>
      </c>
      <c r="C162" s="122"/>
      <c r="F162" s="115">
        <v>0.7</v>
      </c>
      <c r="H162" s="117" t="s">
        <v>173</v>
      </c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</row>
    <row r="163" spans="2:36">
      <c r="B163" s="117" t="s">
        <v>173</v>
      </c>
      <c r="C163" s="122"/>
      <c r="H163" s="117" t="s">
        <v>173</v>
      </c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</row>
    <row r="164" spans="2:36">
      <c r="B164" s="117" t="s">
        <v>173</v>
      </c>
      <c r="C164" s="122"/>
      <c r="H164" s="117" t="s">
        <v>173</v>
      </c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</row>
    <row r="165" spans="2:36">
      <c r="B165" s="117" t="s">
        <v>173</v>
      </c>
      <c r="C165" s="122"/>
      <c r="H165" s="117" t="s">
        <v>173</v>
      </c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</row>
    <row r="166" spans="2:36">
      <c r="B166" s="117" t="s">
        <v>173</v>
      </c>
      <c r="C166" s="122"/>
      <c r="H166" s="117" t="s">
        <v>173</v>
      </c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</row>
    <row r="167" spans="2:36">
      <c r="B167" s="117" t="s">
        <v>173</v>
      </c>
      <c r="C167" s="122"/>
      <c r="H167" s="117" t="s">
        <v>173</v>
      </c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</row>
    <row r="168" spans="2:36">
      <c r="B168" s="117" t="s">
        <v>173</v>
      </c>
      <c r="C168" s="122"/>
      <c r="H168" s="117" t="s">
        <v>173</v>
      </c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</row>
    <row r="169" spans="2:36">
      <c r="B169" s="117" t="s">
        <v>173</v>
      </c>
      <c r="C169" s="122"/>
      <c r="H169" s="117" t="s">
        <v>173</v>
      </c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</row>
    <row r="170" spans="2:36">
      <c r="B170" s="117" t="s">
        <v>173</v>
      </c>
      <c r="C170" s="122"/>
      <c r="H170" s="117" t="s">
        <v>173</v>
      </c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</row>
    <row r="172" spans="2:36">
      <c r="B172" s="113" t="s">
        <v>278</v>
      </c>
      <c r="E172" s="113" t="s">
        <v>48</v>
      </c>
    </row>
    <row r="173" spans="2:36">
      <c r="B173" s="117" t="s">
        <v>8</v>
      </c>
      <c r="C173" s="124">
        <f>'3.Input data Bharat Petroleum'!E15</f>
        <v>5375.7000000000007</v>
      </c>
      <c r="E173" s="117" t="s">
        <v>8</v>
      </c>
      <c r="F173" s="115" t="s">
        <v>279</v>
      </c>
    </row>
    <row r="174" spans="2:36">
      <c r="B174" s="117" t="s">
        <v>173</v>
      </c>
      <c r="C174" s="122"/>
      <c r="E174" s="35" t="s">
        <v>12</v>
      </c>
    </row>
    <row r="175" spans="2:36">
      <c r="B175" s="117" t="s">
        <v>173</v>
      </c>
      <c r="C175" s="122"/>
      <c r="E175" s="35" t="s">
        <v>15</v>
      </c>
    </row>
    <row r="176" spans="2:36">
      <c r="B176" s="117" t="s">
        <v>173</v>
      </c>
      <c r="C176" s="122"/>
      <c r="E176" s="35" t="s">
        <v>19</v>
      </c>
    </row>
    <row r="177" spans="2:5">
      <c r="B177" s="117" t="s">
        <v>173</v>
      </c>
      <c r="C177" s="122"/>
      <c r="E177" s="35" t="s">
        <v>22</v>
      </c>
    </row>
    <row r="178" spans="2:5">
      <c r="B178" s="117" t="s">
        <v>173</v>
      </c>
      <c r="C178" s="122"/>
      <c r="E178" s="35" t="s">
        <v>24</v>
      </c>
    </row>
    <row r="179" spans="2:5">
      <c r="B179" s="117" t="s">
        <v>173</v>
      </c>
      <c r="C179" s="122"/>
      <c r="E179" s="35" t="s">
        <v>25</v>
      </c>
    </row>
    <row r="180" spans="2:5">
      <c r="B180" s="117" t="s">
        <v>173</v>
      </c>
      <c r="C180" s="122"/>
      <c r="E180"/>
    </row>
    <row r="181" spans="2:5">
      <c r="B181" s="117" t="s">
        <v>173</v>
      </c>
      <c r="C181" s="122"/>
      <c r="E181"/>
    </row>
    <row r="182" spans="2:5">
      <c r="B182" s="117" t="s">
        <v>173</v>
      </c>
      <c r="C182" s="122"/>
      <c r="E182"/>
    </row>
    <row r="183" spans="2:5">
      <c r="E183"/>
    </row>
    <row r="184" spans="2:5">
      <c r="B184" s="113" t="s">
        <v>280</v>
      </c>
    </row>
    <row r="185" spans="2:5">
      <c r="B185" s="117" t="s">
        <v>173</v>
      </c>
      <c r="C185" s="122"/>
    </row>
    <row r="186" spans="2:5">
      <c r="B186" s="117" t="s">
        <v>173</v>
      </c>
      <c r="C186" s="122"/>
    </row>
    <row r="187" spans="2:5">
      <c r="B187" s="117" t="s">
        <v>173</v>
      </c>
      <c r="C187" s="122"/>
    </row>
    <row r="188" spans="2:5">
      <c r="B188" s="117" t="s">
        <v>173</v>
      </c>
      <c r="C188" s="122"/>
    </row>
    <row r="189" spans="2:5">
      <c r="B189" s="117" t="s">
        <v>173</v>
      </c>
      <c r="C189" s="122"/>
    </row>
    <row r="190" spans="2:5">
      <c r="B190" s="117" t="s">
        <v>173</v>
      </c>
      <c r="C190" s="122"/>
    </row>
    <row r="191" spans="2:5">
      <c r="B191" s="117" t="s">
        <v>173</v>
      </c>
      <c r="C191" s="122"/>
    </row>
    <row r="192" spans="2:5">
      <c r="B192" s="117" t="s">
        <v>173</v>
      </c>
      <c r="C192" s="122"/>
    </row>
    <row r="193" spans="2:3">
      <c r="B193" s="117" t="s">
        <v>173</v>
      </c>
      <c r="C193" s="122"/>
    </row>
    <row r="194" spans="2:3">
      <c r="B194" s="117" t="s">
        <v>173</v>
      </c>
      <c r="C194" s="122"/>
    </row>
    <row r="196" spans="2:3">
      <c r="B196" s="133" t="s">
        <v>281</v>
      </c>
      <c r="C196" s="134"/>
    </row>
    <row r="197" spans="2:3">
      <c r="B197" s="135" t="s">
        <v>173</v>
      </c>
      <c r="C197" s="136"/>
    </row>
    <row r="198" spans="2:3">
      <c r="B198" s="135" t="s">
        <v>173</v>
      </c>
      <c r="C198" s="122"/>
    </row>
    <row r="199" spans="2:3">
      <c r="B199" s="135" t="s">
        <v>173</v>
      </c>
      <c r="C199" s="136"/>
    </row>
    <row r="200" spans="2:3">
      <c r="B200" s="135" t="s">
        <v>173</v>
      </c>
      <c r="C200" s="136"/>
    </row>
    <row r="201" spans="2:3">
      <c r="B201" s="135" t="s">
        <v>173</v>
      </c>
      <c r="C201" s="136"/>
    </row>
    <row r="202" spans="2:3">
      <c r="B202" s="135" t="s">
        <v>173</v>
      </c>
      <c r="C202" s="136"/>
    </row>
    <row r="203" spans="2:3">
      <c r="B203" s="135" t="s">
        <v>173</v>
      </c>
      <c r="C203" s="136"/>
    </row>
    <row r="204" spans="2:3">
      <c r="B204" s="135" t="s">
        <v>173</v>
      </c>
      <c r="C204" s="136"/>
    </row>
    <row r="205" spans="2:3">
      <c r="B205" s="135" t="s">
        <v>173</v>
      </c>
      <c r="C205" s="136"/>
    </row>
    <row r="206" spans="2:3">
      <c r="B206" s="135" t="s">
        <v>173</v>
      </c>
      <c r="C206" s="136"/>
    </row>
    <row r="208" spans="2:3">
      <c r="B208" s="133" t="s">
        <v>166</v>
      </c>
      <c r="C208" s="134"/>
    </row>
    <row r="209" spans="2:3">
      <c r="B209" s="135" t="s">
        <v>173</v>
      </c>
      <c r="C209" s="136"/>
    </row>
    <row r="210" spans="2:3">
      <c r="B210" s="135" t="s">
        <v>173</v>
      </c>
      <c r="C210" s="122"/>
    </row>
    <row r="211" spans="2:3">
      <c r="B211" s="135" t="s">
        <v>173</v>
      </c>
      <c r="C211" s="136"/>
    </row>
    <row r="212" spans="2:3">
      <c r="B212" s="135" t="s">
        <v>173</v>
      </c>
      <c r="C212" s="136"/>
    </row>
    <row r="213" spans="2:3">
      <c r="B213" s="135" t="s">
        <v>173</v>
      </c>
      <c r="C213" s="136"/>
    </row>
    <row r="214" spans="2:3">
      <c r="B214" s="135" t="s">
        <v>173</v>
      </c>
      <c r="C214" s="136"/>
    </row>
    <row r="215" spans="2:3">
      <c r="B215" s="135" t="s">
        <v>173</v>
      </c>
      <c r="C215" s="136"/>
    </row>
    <row r="216" spans="2:3">
      <c r="B216" s="135" t="s">
        <v>173</v>
      </c>
      <c r="C216" s="136"/>
    </row>
    <row r="217" spans="2:3">
      <c r="B217" s="135" t="s">
        <v>173</v>
      </c>
      <c r="C217" s="136"/>
    </row>
    <row r="218" spans="2:3">
      <c r="B218" s="135" t="s">
        <v>173</v>
      </c>
      <c r="C218" s="136"/>
    </row>
    <row r="219" spans="2:3">
      <c r="B219" s="137"/>
      <c r="C219" s="137"/>
    </row>
    <row r="220" spans="2:3">
      <c r="B220" s="133" t="s">
        <v>282</v>
      </c>
      <c r="C220" s="137"/>
    </row>
    <row r="221" spans="2:3">
      <c r="B221" s="135" t="s">
        <v>8</v>
      </c>
      <c r="C221" s="124">
        <f>'3.Input data Bharat Petroleum'!E9</f>
        <v>8677</v>
      </c>
    </row>
    <row r="222" spans="2:3">
      <c r="B222" s="135" t="s">
        <v>173</v>
      </c>
      <c r="C222" s="122"/>
    </row>
    <row r="223" spans="2:3">
      <c r="B223" s="135" t="s">
        <v>173</v>
      </c>
      <c r="C223" s="136"/>
    </row>
    <row r="224" spans="2:3">
      <c r="B224" s="135" t="s">
        <v>173</v>
      </c>
      <c r="C224" s="136"/>
    </row>
    <row r="225" spans="2:3">
      <c r="B225" s="135" t="s">
        <v>173</v>
      </c>
      <c r="C225" s="136"/>
    </row>
    <row r="226" spans="2:3">
      <c r="B226" s="135" t="s">
        <v>173</v>
      </c>
      <c r="C226" s="136"/>
    </row>
    <row r="227" spans="2:3">
      <c r="B227" s="135" t="s">
        <v>173</v>
      </c>
      <c r="C227" s="136"/>
    </row>
    <row r="228" spans="2:3">
      <c r="B228" s="135" t="s">
        <v>173</v>
      </c>
      <c r="C228" s="136"/>
    </row>
    <row r="229" spans="2:3">
      <c r="B229" s="135" t="s">
        <v>173</v>
      </c>
      <c r="C229" s="136"/>
    </row>
    <row r="230" spans="2:3">
      <c r="B230" s="135" t="s">
        <v>173</v>
      </c>
      <c r="C230" s="136"/>
    </row>
    <row r="231" spans="2:3">
      <c r="B231" s="137"/>
      <c r="C231" s="137"/>
    </row>
    <row r="232" spans="2:3">
      <c r="B232" s="16" t="s">
        <v>283</v>
      </c>
      <c r="C232" s="137"/>
    </row>
    <row r="233" spans="2:3">
      <c r="B233" s="135" t="s">
        <v>8</v>
      </c>
      <c r="C233" s="124">
        <f>'3.Input data Bharat Petroleum'!E10</f>
        <v>121200</v>
      </c>
    </row>
    <row r="234" spans="2:3">
      <c r="B234" s="135" t="s">
        <v>173</v>
      </c>
      <c r="C234" s="122"/>
    </row>
    <row r="235" spans="2:3">
      <c r="B235" s="135" t="s">
        <v>173</v>
      </c>
      <c r="C235" s="136"/>
    </row>
    <row r="236" spans="2:3">
      <c r="B236" s="135" t="s">
        <v>173</v>
      </c>
      <c r="C236" s="136"/>
    </row>
    <row r="237" spans="2:3">
      <c r="B237" s="135" t="s">
        <v>173</v>
      </c>
      <c r="C237" s="136"/>
    </row>
    <row r="238" spans="2:3">
      <c r="B238" s="135" t="s">
        <v>173</v>
      </c>
      <c r="C238" s="136"/>
    </row>
    <row r="239" spans="2:3">
      <c r="B239" s="135" t="s">
        <v>173</v>
      </c>
      <c r="C239" s="136"/>
    </row>
    <row r="240" spans="2:3">
      <c r="B240" s="135" t="s">
        <v>173</v>
      </c>
      <c r="C240" s="136"/>
    </row>
    <row r="241" spans="2:3">
      <c r="B241" s="135" t="s">
        <v>173</v>
      </c>
      <c r="C241" s="136"/>
    </row>
    <row r="242" spans="2:3">
      <c r="B242" s="135" t="s">
        <v>173</v>
      </c>
      <c r="C242" s="136"/>
    </row>
    <row r="243" spans="2:3">
      <c r="B243" s="137"/>
      <c r="C243" s="137"/>
    </row>
    <row r="244" spans="2:3">
      <c r="B244" s="133" t="s">
        <v>284</v>
      </c>
      <c r="C244" s="137"/>
    </row>
    <row r="245" spans="2:3">
      <c r="B245" s="135" t="s">
        <v>173</v>
      </c>
      <c r="C245" s="136"/>
    </row>
    <row r="246" spans="2:3">
      <c r="B246" s="135" t="s">
        <v>173</v>
      </c>
      <c r="C246" s="122"/>
    </row>
    <row r="247" spans="2:3">
      <c r="B247" s="135" t="s">
        <v>173</v>
      </c>
      <c r="C247" s="136"/>
    </row>
    <row r="248" spans="2:3">
      <c r="B248" s="135" t="s">
        <v>173</v>
      </c>
      <c r="C248" s="136"/>
    </row>
    <row r="249" spans="2:3">
      <c r="B249" s="135" t="s">
        <v>173</v>
      </c>
      <c r="C249" s="136"/>
    </row>
    <row r="250" spans="2:3">
      <c r="B250" s="135" t="s">
        <v>173</v>
      </c>
      <c r="C250" s="136"/>
    </row>
    <row r="251" spans="2:3">
      <c r="B251" s="135" t="s">
        <v>173</v>
      </c>
      <c r="C251" s="136"/>
    </row>
    <row r="252" spans="2:3">
      <c r="B252" s="135" t="s">
        <v>173</v>
      </c>
      <c r="C252" s="136"/>
    </row>
    <row r="253" spans="2:3">
      <c r="B253" s="135" t="s">
        <v>173</v>
      </c>
      <c r="C253" s="136"/>
    </row>
    <row r="254" spans="2:3">
      <c r="B254" s="135" t="s">
        <v>173</v>
      </c>
      <c r="C254" s="136"/>
    </row>
    <row r="255" spans="2:3">
      <c r="B255" s="137"/>
      <c r="C255" s="137"/>
    </row>
    <row r="256" spans="2:3">
      <c r="B256" s="133" t="s">
        <v>43</v>
      </c>
      <c r="C256" s="137"/>
    </row>
    <row r="257" spans="2:3">
      <c r="B257" s="135" t="s">
        <v>8</v>
      </c>
      <c r="C257" s="124">
        <f>'3.Input data Bharat Petroleum'!E14</f>
        <v>21294.5</v>
      </c>
    </row>
    <row r="258" spans="2:3">
      <c r="B258" s="135" t="s">
        <v>173</v>
      </c>
      <c r="C258" s="122"/>
    </row>
    <row r="259" spans="2:3">
      <c r="B259" s="135" t="s">
        <v>173</v>
      </c>
      <c r="C259" s="136"/>
    </row>
    <row r="260" spans="2:3">
      <c r="B260" s="135" t="s">
        <v>173</v>
      </c>
      <c r="C260" s="136"/>
    </row>
    <row r="261" spans="2:3">
      <c r="B261" s="135" t="s">
        <v>173</v>
      </c>
      <c r="C261" s="136"/>
    </row>
    <row r="262" spans="2:3">
      <c r="B262" s="135" t="s">
        <v>173</v>
      </c>
      <c r="C262" s="136"/>
    </row>
    <row r="263" spans="2:3">
      <c r="B263" s="135" t="s">
        <v>173</v>
      </c>
      <c r="C263" s="136"/>
    </row>
    <row r="264" spans="2:3">
      <c r="B264" s="135" t="s">
        <v>173</v>
      </c>
      <c r="C264" s="136"/>
    </row>
    <row r="265" spans="2:3">
      <c r="B265" s="135" t="s">
        <v>173</v>
      </c>
      <c r="C265" s="136"/>
    </row>
    <row r="266" spans="2:3">
      <c r="B266" s="135" t="s">
        <v>173</v>
      </c>
      <c r="C266" s="136"/>
    </row>
    <row r="267" spans="2:3">
      <c r="B267" s="137"/>
      <c r="C267" s="137"/>
    </row>
    <row r="268" spans="2:3">
      <c r="B268" s="133" t="s">
        <v>285</v>
      </c>
      <c r="C268" s="137"/>
    </row>
    <row r="269" spans="2:3">
      <c r="B269" s="135" t="s">
        <v>173</v>
      </c>
      <c r="C269" s="136"/>
    </row>
    <row r="270" spans="2:3">
      <c r="B270" s="135" t="s">
        <v>173</v>
      </c>
      <c r="C270" s="122"/>
    </row>
    <row r="271" spans="2:3">
      <c r="B271" s="135" t="s">
        <v>173</v>
      </c>
      <c r="C271" s="136"/>
    </row>
    <row r="272" spans="2:3">
      <c r="B272" s="135" t="s">
        <v>173</v>
      </c>
      <c r="C272" s="136"/>
    </row>
    <row r="273" spans="2:3">
      <c r="B273" s="135" t="s">
        <v>173</v>
      </c>
      <c r="C273" s="136"/>
    </row>
    <row r="274" spans="2:3">
      <c r="B274" s="135" t="s">
        <v>173</v>
      </c>
      <c r="C274" s="136"/>
    </row>
    <row r="275" spans="2:3">
      <c r="B275" s="135" t="s">
        <v>173</v>
      </c>
      <c r="C275" s="136"/>
    </row>
    <row r="276" spans="2:3">
      <c r="B276" s="135" t="s">
        <v>173</v>
      </c>
      <c r="C276" s="136"/>
    </row>
    <row r="277" spans="2:3">
      <c r="B277" s="135" t="s">
        <v>173</v>
      </c>
      <c r="C277" s="136"/>
    </row>
    <row r="278" spans="2:3">
      <c r="B278" s="135" t="s">
        <v>173</v>
      </c>
      <c r="C278" s="136"/>
    </row>
    <row r="279" spans="2:3">
      <c r="B279" s="137"/>
      <c r="C279" s="137"/>
    </row>
    <row r="280" spans="2:3">
      <c r="B280" s="133" t="s">
        <v>286</v>
      </c>
      <c r="C280" s="137"/>
    </row>
    <row r="281" spans="2:3">
      <c r="B281" s="135" t="s">
        <v>173</v>
      </c>
      <c r="C281" s="136"/>
    </row>
    <row r="282" spans="2:3">
      <c r="B282" s="135" t="s">
        <v>173</v>
      </c>
      <c r="C282" s="122"/>
    </row>
    <row r="283" spans="2:3">
      <c r="B283" s="135" t="s">
        <v>173</v>
      </c>
      <c r="C283" s="136"/>
    </row>
    <row r="284" spans="2:3">
      <c r="B284" s="135" t="s">
        <v>173</v>
      </c>
      <c r="C284" s="136"/>
    </row>
    <row r="285" spans="2:3">
      <c r="B285" s="135" t="s">
        <v>173</v>
      </c>
      <c r="C285" s="136"/>
    </row>
    <row r="286" spans="2:3">
      <c r="B286" s="135" t="s">
        <v>173</v>
      </c>
      <c r="C286" s="136"/>
    </row>
    <row r="287" spans="2:3">
      <c r="B287" s="135" t="s">
        <v>173</v>
      </c>
      <c r="C287" s="136"/>
    </row>
    <row r="288" spans="2:3">
      <c r="B288" s="135" t="s">
        <v>173</v>
      </c>
      <c r="C288" s="136"/>
    </row>
    <row r="289" spans="2:3">
      <c r="B289" s="135" t="s">
        <v>173</v>
      </c>
      <c r="C289" s="136"/>
    </row>
    <row r="290" spans="2:3">
      <c r="B290" s="135" t="s">
        <v>173</v>
      </c>
      <c r="C290" s="136"/>
    </row>
    <row r="292" spans="2:3">
      <c r="B292" s="133" t="s">
        <v>287</v>
      </c>
      <c r="C292" s="137"/>
    </row>
    <row r="293" spans="2:3">
      <c r="B293" s="135" t="s">
        <v>173</v>
      </c>
      <c r="C293" s="136"/>
    </row>
    <row r="294" spans="2:3">
      <c r="B294" s="135" t="s">
        <v>173</v>
      </c>
      <c r="C294" s="122"/>
    </row>
    <row r="295" spans="2:3">
      <c r="B295" s="135" t="s">
        <v>173</v>
      </c>
      <c r="C295" s="136"/>
    </row>
    <row r="296" spans="2:3">
      <c r="B296" s="135" t="s">
        <v>173</v>
      </c>
      <c r="C296" s="136"/>
    </row>
    <row r="297" spans="2:3">
      <c r="B297" s="135" t="s">
        <v>173</v>
      </c>
      <c r="C297" s="136"/>
    </row>
    <row r="298" spans="2:3">
      <c r="B298" s="135" t="s">
        <v>173</v>
      </c>
      <c r="C298" s="136"/>
    </row>
    <row r="299" spans="2:3">
      <c r="B299" s="135" t="s">
        <v>173</v>
      </c>
      <c r="C299" s="136"/>
    </row>
    <row r="300" spans="2:3">
      <c r="B300" s="135" t="s">
        <v>173</v>
      </c>
      <c r="C300" s="136"/>
    </row>
    <row r="301" spans="2:3">
      <c r="B301" s="135" t="s">
        <v>173</v>
      </c>
      <c r="C301" s="136"/>
    </row>
    <row r="302" spans="2:3">
      <c r="B302" s="135" t="s">
        <v>173</v>
      </c>
      <c r="C302" s="136"/>
    </row>
    <row r="304" spans="2:3">
      <c r="B304" s="133" t="s">
        <v>288</v>
      </c>
      <c r="C304" s="137"/>
    </row>
    <row r="305" spans="2:3">
      <c r="B305" s="135" t="s">
        <v>173</v>
      </c>
      <c r="C305" s="136"/>
    </row>
    <row r="306" spans="2:3">
      <c r="B306" s="135" t="s">
        <v>173</v>
      </c>
      <c r="C306" s="122"/>
    </row>
    <row r="307" spans="2:3">
      <c r="B307" s="135" t="s">
        <v>173</v>
      </c>
      <c r="C307" s="136"/>
    </row>
    <row r="308" spans="2:3">
      <c r="B308" s="135" t="s">
        <v>173</v>
      </c>
      <c r="C308" s="136"/>
    </row>
    <row r="309" spans="2:3">
      <c r="B309" s="135" t="s">
        <v>173</v>
      </c>
      <c r="C309" s="136"/>
    </row>
    <row r="310" spans="2:3">
      <c r="B310" s="135" t="s">
        <v>173</v>
      </c>
      <c r="C310" s="136"/>
    </row>
    <row r="311" spans="2:3">
      <c r="B311" s="135" t="s">
        <v>173</v>
      </c>
      <c r="C311" s="136"/>
    </row>
    <row r="312" spans="2:3">
      <c r="B312" s="135" t="s">
        <v>173</v>
      </c>
      <c r="C312" s="136"/>
    </row>
    <row r="313" spans="2:3">
      <c r="B313" s="135" t="s">
        <v>173</v>
      </c>
      <c r="C313" s="136"/>
    </row>
    <row r="314" spans="2:3">
      <c r="B314" s="135" t="s">
        <v>173</v>
      </c>
      <c r="C314" s="13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CC58-8D2C-4E49-8894-6C5E9AEF2F67}">
  <sheetPr codeName="Sheet14"/>
  <dimension ref="B1:AM58"/>
  <sheetViews>
    <sheetView showGridLines="0" zoomScale="70" zoomScaleNormal="80" workbookViewId="0">
      <selection activeCell="C51" sqref="C51"/>
    </sheetView>
  </sheetViews>
  <sheetFormatPr defaultColWidth="8.85546875" defaultRowHeight="14.45"/>
  <cols>
    <col min="2" max="2" width="23.5703125" bestFit="1" customWidth="1"/>
    <col min="3" max="3" width="22.42578125" customWidth="1"/>
    <col min="4" max="4" width="40.5703125" bestFit="1" customWidth="1"/>
    <col min="5" max="5" width="31.5703125" bestFit="1" customWidth="1"/>
    <col min="6" max="6" width="36.140625" customWidth="1"/>
    <col min="7" max="7" width="24.5703125" customWidth="1"/>
    <col min="8" max="8" width="18.85546875" customWidth="1"/>
    <col min="9" max="9" width="12.5703125" customWidth="1"/>
    <col min="10" max="10" width="14.85546875" customWidth="1"/>
    <col min="11" max="36" width="12.5703125" bestFit="1" customWidth="1"/>
  </cols>
  <sheetData>
    <row r="1" spans="2:10">
      <c r="B1" s="38" t="s">
        <v>206</v>
      </c>
      <c r="C1" s="38" t="s">
        <v>207</v>
      </c>
      <c r="D1" s="38" t="s">
        <v>208</v>
      </c>
      <c r="E1" s="38" t="s">
        <v>209</v>
      </c>
      <c r="F1" s="38" t="s">
        <v>210</v>
      </c>
    </row>
    <row r="2" spans="2:10">
      <c r="B2" s="37" t="s">
        <v>211</v>
      </c>
      <c r="C2" s="37">
        <v>1</v>
      </c>
      <c r="D2" s="37"/>
      <c r="E2" s="71"/>
      <c r="F2" s="37"/>
    </row>
    <row r="3" spans="2:10">
      <c r="B3" s="72" t="s">
        <v>87</v>
      </c>
      <c r="C3" s="73">
        <v>0.35</v>
      </c>
      <c r="D3" s="74"/>
      <c r="E3" s="75"/>
      <c r="F3" s="35" t="s">
        <v>212</v>
      </c>
    </row>
    <row r="4" spans="2:10">
      <c r="B4" s="72" t="s">
        <v>104</v>
      </c>
      <c r="C4" s="76" t="s">
        <v>291</v>
      </c>
      <c r="D4" s="77">
        <f>C4*10</f>
        <v>4661923.5</v>
      </c>
      <c r="E4" s="71">
        <f>D4/$C$2</f>
        <v>4661923.5</v>
      </c>
      <c r="F4" s="78"/>
      <c r="I4" s="143"/>
    </row>
    <row r="5" spans="2:10">
      <c r="B5" s="72" t="s">
        <v>105</v>
      </c>
      <c r="C5" s="79">
        <v>-5453.09</v>
      </c>
      <c r="D5" s="77">
        <f t="shared" ref="D5:D17" si="0">C5*10</f>
        <v>-54530.9</v>
      </c>
      <c r="E5" s="71">
        <f t="shared" ref="E5:E17" si="1">D5/$C$2</f>
        <v>-54530.9</v>
      </c>
      <c r="F5" s="35" t="s">
        <v>213</v>
      </c>
      <c r="H5" s="86"/>
      <c r="I5" s="144"/>
    </row>
    <row r="6" spans="2:10" ht="43.5">
      <c r="B6" s="72" t="s">
        <v>107</v>
      </c>
      <c r="C6" s="81">
        <v>-9783.0600000000013</v>
      </c>
      <c r="D6" s="77">
        <f t="shared" si="0"/>
        <v>-97830.6</v>
      </c>
      <c r="E6" s="71">
        <f t="shared" si="1"/>
        <v>-97830.6</v>
      </c>
      <c r="F6" s="82" t="s">
        <v>214</v>
      </c>
      <c r="G6" s="83"/>
      <c r="I6" s="144"/>
    </row>
    <row r="7" spans="2:10" ht="29.1">
      <c r="B7" s="72" t="s">
        <v>109</v>
      </c>
      <c r="C7" s="81">
        <v>-9783.06</v>
      </c>
      <c r="D7" s="77">
        <f t="shared" si="0"/>
        <v>-97830.599999999991</v>
      </c>
      <c r="E7" s="71">
        <f t="shared" si="1"/>
        <v>-97830.599999999991</v>
      </c>
      <c r="F7" s="84" t="s">
        <v>215</v>
      </c>
      <c r="I7" s="86"/>
    </row>
    <row r="8" spans="2:10">
      <c r="B8" s="72" t="s">
        <v>110</v>
      </c>
      <c r="C8" s="81">
        <v>2131.85</v>
      </c>
      <c r="D8" s="77">
        <f t="shared" si="0"/>
        <v>21318.5</v>
      </c>
      <c r="E8" s="71">
        <f t="shared" si="1"/>
        <v>21318.5</v>
      </c>
      <c r="F8" s="35" t="s">
        <v>216</v>
      </c>
      <c r="H8" s="187"/>
      <c r="I8" s="187"/>
    </row>
    <row r="9" spans="2:10">
      <c r="B9" s="72" t="s">
        <v>117</v>
      </c>
      <c r="C9" s="79">
        <v>1985.97</v>
      </c>
      <c r="D9" s="77">
        <f>C9*10</f>
        <v>19859.7</v>
      </c>
      <c r="E9" s="71">
        <f t="shared" si="1"/>
        <v>19859.7</v>
      </c>
      <c r="F9" s="35" t="s">
        <v>217</v>
      </c>
      <c r="H9" s="187"/>
      <c r="I9" s="187"/>
    </row>
    <row r="10" spans="2:10">
      <c r="B10" s="72" t="s">
        <v>118</v>
      </c>
      <c r="C10" s="76">
        <v>10853.71</v>
      </c>
      <c r="D10" s="77">
        <f t="shared" si="0"/>
        <v>108537.09999999999</v>
      </c>
      <c r="E10" s="71">
        <f t="shared" si="1"/>
        <v>108537.09999999999</v>
      </c>
      <c r="F10" s="35" t="s">
        <v>218</v>
      </c>
      <c r="I10" s="83"/>
    </row>
    <row r="11" spans="2:10">
      <c r="B11" s="72" t="s">
        <v>119</v>
      </c>
      <c r="C11" s="79">
        <v>27713.43</v>
      </c>
      <c r="D11" s="77">
        <f t="shared" si="0"/>
        <v>277134.3</v>
      </c>
      <c r="E11" s="71">
        <f t="shared" si="1"/>
        <v>277134.3</v>
      </c>
      <c r="F11" s="35"/>
      <c r="H11" s="69"/>
      <c r="I11" s="145"/>
    </row>
    <row r="12" spans="2:10">
      <c r="B12" s="72" t="s">
        <v>120</v>
      </c>
      <c r="C12" s="79" t="s">
        <v>292</v>
      </c>
      <c r="D12" s="77">
        <f t="shared" si="0"/>
        <v>1544850.3</v>
      </c>
      <c r="E12" s="71">
        <f t="shared" si="1"/>
        <v>1544850.3</v>
      </c>
      <c r="F12" s="35"/>
    </row>
    <row r="13" spans="2:10">
      <c r="B13" s="72" t="s">
        <v>122</v>
      </c>
      <c r="C13" s="79">
        <v>-915.31</v>
      </c>
      <c r="D13" s="77">
        <f t="shared" si="0"/>
        <v>-9153.0999999999985</v>
      </c>
      <c r="E13" s="71">
        <f t="shared" si="1"/>
        <v>-9153.0999999999985</v>
      </c>
      <c r="F13" s="35"/>
    </row>
    <row r="14" spans="2:10">
      <c r="B14" s="85" t="s">
        <v>126</v>
      </c>
      <c r="C14" s="79">
        <v>1418.94</v>
      </c>
      <c r="D14" s="77">
        <f t="shared" si="0"/>
        <v>14189.400000000001</v>
      </c>
      <c r="E14" s="71">
        <f t="shared" si="1"/>
        <v>14189.400000000001</v>
      </c>
      <c r="F14" s="35" t="s">
        <v>219</v>
      </c>
      <c r="I14" s="140"/>
      <c r="J14" s="140"/>
    </row>
    <row r="15" spans="2:10">
      <c r="B15" s="72" t="s">
        <v>123</v>
      </c>
      <c r="C15" s="79">
        <v>196.37</v>
      </c>
      <c r="D15" s="77">
        <f t="shared" si="0"/>
        <v>1963.7</v>
      </c>
      <c r="E15" s="71">
        <f t="shared" si="1"/>
        <v>1963.7</v>
      </c>
      <c r="F15" s="35" t="s">
        <v>220</v>
      </c>
      <c r="I15" s="140"/>
    </row>
    <row r="16" spans="2:10">
      <c r="B16" s="72" t="s">
        <v>221</v>
      </c>
      <c r="C16" s="79">
        <v>-8974.0300000000007</v>
      </c>
      <c r="D16" s="77">
        <f t="shared" si="0"/>
        <v>-89740.3</v>
      </c>
      <c r="E16" s="71">
        <f t="shared" si="1"/>
        <v>-89740.3</v>
      </c>
      <c r="F16" s="35"/>
      <c r="I16" s="141"/>
    </row>
    <row r="17" spans="2:39">
      <c r="B17" s="72" t="s">
        <v>222</v>
      </c>
      <c r="C17" s="79" t="s">
        <v>291</v>
      </c>
      <c r="D17" s="77">
        <f t="shared" si="0"/>
        <v>4661923.5</v>
      </c>
      <c r="E17" s="71">
        <f t="shared" si="1"/>
        <v>4661923.5</v>
      </c>
      <c r="F17" s="35"/>
      <c r="G17" s="86"/>
      <c r="I17" s="142"/>
    </row>
    <row r="18" spans="2:39">
      <c r="B18" s="72" t="s">
        <v>55</v>
      </c>
      <c r="C18" s="73">
        <v>-8974.0300000000007</v>
      </c>
      <c r="D18" s="74"/>
      <c r="E18" s="75"/>
      <c r="F18" s="35" t="s">
        <v>223</v>
      </c>
    </row>
    <row r="20" spans="2:39">
      <c r="B20" s="70" t="s">
        <v>224</v>
      </c>
      <c r="C20" s="35"/>
      <c r="D20" s="87" t="s">
        <v>225</v>
      </c>
      <c r="E20" s="87" t="s">
        <v>226</v>
      </c>
      <c r="F20" s="87" t="s">
        <v>227</v>
      </c>
    </row>
    <row r="21" spans="2:39">
      <c r="B21" s="37" t="s">
        <v>228</v>
      </c>
      <c r="C21" s="79"/>
      <c r="D21" s="88"/>
      <c r="E21" s="89"/>
      <c r="F21" s="86"/>
      <c r="G21" s="86"/>
    </row>
    <row r="22" spans="2:39">
      <c r="B22" s="37" t="s">
        <v>229</v>
      </c>
      <c r="C22" s="79">
        <v>776480</v>
      </c>
      <c r="D22" s="88">
        <f>(C22+C21)/E4</f>
        <v>0.16655785964741807</v>
      </c>
      <c r="E22" s="80"/>
    </row>
    <row r="23" spans="2:39">
      <c r="B23" s="37" t="s">
        <v>230</v>
      </c>
      <c r="C23" s="80">
        <v>129500663</v>
      </c>
      <c r="D23" s="80"/>
      <c r="E23" s="90">
        <f>C23/E4</f>
        <v>27.778375814189143</v>
      </c>
    </row>
    <row r="25" spans="2:39">
      <c r="B25" s="91" t="s">
        <v>231</v>
      </c>
      <c r="C25" s="91" t="s">
        <v>232</v>
      </c>
      <c r="D25" s="91" t="s">
        <v>233</v>
      </c>
      <c r="E25" s="91" t="s">
        <v>234</v>
      </c>
      <c r="F25" s="91">
        <v>2022</v>
      </c>
      <c r="G25" s="91">
        <v>2023</v>
      </c>
      <c r="H25" s="91">
        <v>2024</v>
      </c>
      <c r="I25" s="91">
        <v>2025</v>
      </c>
      <c r="J25" s="91">
        <v>2026</v>
      </c>
      <c r="K25" s="91">
        <v>2027</v>
      </c>
      <c r="L25" s="91">
        <v>2028</v>
      </c>
      <c r="M25" s="91">
        <v>2029</v>
      </c>
      <c r="N25" s="91">
        <v>2030</v>
      </c>
      <c r="O25" s="91">
        <v>2031</v>
      </c>
      <c r="P25" s="91">
        <v>2032</v>
      </c>
      <c r="Q25" s="91">
        <v>2033</v>
      </c>
      <c r="R25" s="91">
        <v>2034</v>
      </c>
      <c r="S25" s="91">
        <v>2035</v>
      </c>
      <c r="T25" s="91">
        <v>2036</v>
      </c>
      <c r="U25" s="91">
        <v>2037</v>
      </c>
      <c r="V25" s="91">
        <v>2038</v>
      </c>
      <c r="W25" s="91">
        <v>2039</v>
      </c>
      <c r="X25" s="91">
        <v>2040</v>
      </c>
      <c r="Y25" s="91">
        <v>2041</v>
      </c>
      <c r="Z25" s="91">
        <v>2042</v>
      </c>
      <c r="AA25" s="91">
        <v>2043</v>
      </c>
      <c r="AB25" s="91">
        <v>2044</v>
      </c>
      <c r="AC25" s="91">
        <v>2045</v>
      </c>
      <c r="AD25" s="91">
        <v>2046</v>
      </c>
      <c r="AE25" s="91">
        <v>2047</v>
      </c>
      <c r="AF25" s="91">
        <v>2048</v>
      </c>
      <c r="AG25" s="91">
        <v>2049</v>
      </c>
      <c r="AH25" s="91">
        <v>2050</v>
      </c>
      <c r="AI25" s="91">
        <v>2051</v>
      </c>
      <c r="AJ25" s="91">
        <v>2052</v>
      </c>
      <c r="AK25" s="91">
        <v>2053</v>
      </c>
      <c r="AL25" s="91">
        <v>2054</v>
      </c>
      <c r="AM25" s="91">
        <v>2055</v>
      </c>
    </row>
    <row r="26" spans="2:39">
      <c r="B26" s="92" t="s">
        <v>235</v>
      </c>
      <c r="C26" s="92" t="s">
        <v>236</v>
      </c>
      <c r="D26" s="92" t="s">
        <v>33</v>
      </c>
      <c r="E26" s="92" t="s">
        <v>237</v>
      </c>
      <c r="F26" s="93">
        <v>13.458131390376399</v>
      </c>
      <c r="G26" s="93">
        <v>19.633335781323598</v>
      </c>
      <c r="H26" s="93">
        <v>25.808540172270799</v>
      </c>
      <c r="I26" s="93">
        <v>31.983744563218</v>
      </c>
      <c r="J26" s="93">
        <v>33.368109551101597</v>
      </c>
      <c r="K26" s="93">
        <v>34.752474538985197</v>
      </c>
      <c r="L26" s="93">
        <v>36.136839526868798</v>
      </c>
      <c r="M26" s="93">
        <v>37.521204514752398</v>
      </c>
      <c r="N26" s="93">
        <v>38.905569502635991</v>
      </c>
      <c r="O26" s="93">
        <v>41.067194329817596</v>
      </c>
      <c r="P26" s="93">
        <v>43.228819156999201</v>
      </c>
      <c r="Q26" s="93">
        <v>45.390443984180806</v>
      </c>
      <c r="R26" s="93">
        <v>47.55206881136241</v>
      </c>
      <c r="S26" s="93">
        <v>49.713693638544001</v>
      </c>
      <c r="T26" s="93">
        <v>52.840679425011601</v>
      </c>
      <c r="U26" s="93">
        <v>55.967665211479201</v>
      </c>
      <c r="V26" s="93">
        <v>59.0946509979468</v>
      </c>
      <c r="W26" s="93">
        <v>62.2216367844144</v>
      </c>
      <c r="X26" s="93">
        <v>65.348622570882</v>
      </c>
      <c r="Y26" s="93">
        <v>69.779332531809203</v>
      </c>
      <c r="Z26" s="93">
        <v>74.210042492736406</v>
      </c>
      <c r="AA26" s="93">
        <v>78.640752453663609</v>
      </c>
      <c r="AB26" s="93">
        <v>83.071462414590812</v>
      </c>
      <c r="AC26" s="93">
        <v>87.502172375517986</v>
      </c>
      <c r="AD26" s="93">
        <v>93.495521084597186</v>
      </c>
      <c r="AE26" s="93">
        <v>99.488869793676386</v>
      </c>
      <c r="AF26" s="93">
        <v>105.48221850275559</v>
      </c>
      <c r="AG26" s="93">
        <v>111.47556721183479</v>
      </c>
      <c r="AH26" s="93">
        <v>117.468915920914</v>
      </c>
      <c r="AI26" s="35">
        <v>119.98010959525161</v>
      </c>
      <c r="AJ26" s="35">
        <v>122.49130326958921</v>
      </c>
      <c r="AK26" s="35">
        <v>125.00249694392681</v>
      </c>
      <c r="AL26" s="35">
        <v>127.51369061826442</v>
      </c>
      <c r="AM26" s="35">
        <v>130.024884292602</v>
      </c>
    </row>
    <row r="27" spans="2:39">
      <c r="B27" s="92" t="s">
        <v>235</v>
      </c>
      <c r="C27" s="92" t="s">
        <v>236</v>
      </c>
      <c r="D27" s="92" t="s">
        <v>34</v>
      </c>
      <c r="E27" s="92" t="s">
        <v>237</v>
      </c>
      <c r="F27" s="93">
        <v>1.2274021734379998</v>
      </c>
      <c r="G27" s="93">
        <v>1.2872419559159998</v>
      </c>
      <c r="H27" s="93">
        <v>1.3470817383939997</v>
      </c>
      <c r="I27" s="93">
        <v>1.4069215208720001</v>
      </c>
      <c r="J27" s="93">
        <v>1.4762026156796</v>
      </c>
      <c r="K27" s="93">
        <v>1.5454837104871999</v>
      </c>
      <c r="L27" s="93">
        <v>1.6147648052947998</v>
      </c>
      <c r="M27" s="93">
        <v>1.6840459001023997</v>
      </c>
      <c r="N27" s="93">
        <v>1.7533269949100001</v>
      </c>
      <c r="O27" s="93">
        <v>1.8328976871844</v>
      </c>
      <c r="P27" s="93">
        <v>1.9124683794588</v>
      </c>
      <c r="Q27" s="93">
        <v>1.9920390717331999</v>
      </c>
      <c r="R27" s="93">
        <v>2.0716097640075999</v>
      </c>
      <c r="S27" s="93">
        <v>2.1511804562819998</v>
      </c>
      <c r="T27" s="93">
        <v>2.2421281479167998</v>
      </c>
      <c r="U27" s="93">
        <v>2.3330758395515998</v>
      </c>
      <c r="V27" s="93">
        <v>2.4240235311863998</v>
      </c>
      <c r="W27" s="93">
        <v>2.5149712228211998</v>
      </c>
      <c r="X27" s="93">
        <v>2.6059189144560002</v>
      </c>
      <c r="Y27" s="93">
        <v>2.7092753544872004</v>
      </c>
      <c r="Z27" s="93">
        <v>2.8126317945184005</v>
      </c>
      <c r="AA27" s="93">
        <v>2.9159882345496007</v>
      </c>
      <c r="AB27" s="93">
        <v>3.0193446745808008</v>
      </c>
      <c r="AC27" s="93">
        <v>3.1227011146120001</v>
      </c>
      <c r="AD27" s="93">
        <v>3.2396168904228002</v>
      </c>
      <c r="AE27" s="93">
        <v>3.3565326662336004</v>
      </c>
      <c r="AF27" s="93">
        <v>3.4734484420444005</v>
      </c>
      <c r="AG27" s="93">
        <v>3.5903642178552007</v>
      </c>
      <c r="AH27" s="93">
        <v>3.7072799936659999</v>
      </c>
      <c r="AI27" s="35">
        <v>3.8390105513079997</v>
      </c>
      <c r="AJ27" s="35">
        <v>3.9707411089499995</v>
      </c>
      <c r="AK27" s="35">
        <v>4.1024716665919998</v>
      </c>
      <c r="AL27" s="35">
        <v>4.2342022242340001</v>
      </c>
      <c r="AM27" s="35">
        <v>4.3659327818759994</v>
      </c>
    </row>
    <row r="28" spans="2:39">
      <c r="B28" s="92" t="s">
        <v>235</v>
      </c>
      <c r="C28" s="92" t="s">
        <v>236</v>
      </c>
      <c r="D28" s="92" t="s">
        <v>19</v>
      </c>
      <c r="E28" s="92" t="s">
        <v>237</v>
      </c>
      <c r="F28" s="93">
        <v>1.2273726189348</v>
      </c>
      <c r="G28" s="93">
        <v>1.2871976241612</v>
      </c>
      <c r="H28" s="93">
        <v>1.3470226293876</v>
      </c>
      <c r="I28" s="93">
        <v>1.406847634614</v>
      </c>
      <c r="J28" s="93">
        <v>1.4761205986099999</v>
      </c>
      <c r="K28" s="93">
        <v>1.5453935626059998</v>
      </c>
      <c r="L28" s="93">
        <v>1.6146665266019997</v>
      </c>
      <c r="M28" s="93">
        <v>1.6839394905979996</v>
      </c>
      <c r="N28" s="93">
        <v>1.753212454594</v>
      </c>
      <c r="O28" s="93">
        <v>16.179528256277997</v>
      </c>
      <c r="P28" s="93">
        <v>30.605844057961995</v>
      </c>
      <c r="Q28" s="93">
        <v>45.032159859645994</v>
      </c>
      <c r="R28" s="93">
        <v>59.458475661329992</v>
      </c>
      <c r="S28" s="93">
        <v>73.884791463013997</v>
      </c>
      <c r="T28" s="93">
        <v>83.243135617449994</v>
      </c>
      <c r="U28" s="93">
        <v>92.601479771885991</v>
      </c>
      <c r="V28" s="93">
        <v>101.95982392632199</v>
      </c>
      <c r="W28" s="93">
        <v>111.31816808075799</v>
      </c>
      <c r="X28" s="93">
        <v>120.676512235194</v>
      </c>
      <c r="Y28" s="93">
        <v>133.572178825994</v>
      </c>
      <c r="Z28" s="93">
        <v>146.46784541679401</v>
      </c>
      <c r="AA28" s="93">
        <v>159.36351200759401</v>
      </c>
      <c r="AB28" s="93">
        <v>172.25917859839402</v>
      </c>
      <c r="AC28" s="93">
        <v>185.15484518919399</v>
      </c>
      <c r="AD28" s="93">
        <v>200.136609963474</v>
      </c>
      <c r="AE28" s="93">
        <v>215.11837473775401</v>
      </c>
      <c r="AF28" s="93">
        <v>230.10013951203402</v>
      </c>
      <c r="AG28" s="93">
        <v>245.08190428631403</v>
      </c>
      <c r="AH28" s="93">
        <v>260.06366906059401</v>
      </c>
      <c r="AI28" s="35">
        <v>270.47673826300161</v>
      </c>
      <c r="AJ28" s="35">
        <v>280.88980746540921</v>
      </c>
      <c r="AK28" s="35">
        <v>291.3028766678168</v>
      </c>
      <c r="AL28" s="35">
        <v>301.7159458702244</v>
      </c>
      <c r="AM28" s="35">
        <v>312.12901507263189</v>
      </c>
    </row>
    <row r="29" spans="2:39">
      <c r="B29" s="92" t="s">
        <v>235</v>
      </c>
      <c r="C29" s="92" t="s">
        <v>236</v>
      </c>
      <c r="D29" s="92" t="s">
        <v>238</v>
      </c>
      <c r="E29" s="92" t="s">
        <v>237</v>
      </c>
      <c r="F29" s="93">
        <v>1.2273726189348</v>
      </c>
      <c r="G29" s="93">
        <v>1.2871976241612</v>
      </c>
      <c r="H29" s="93">
        <v>1.3470226293876</v>
      </c>
      <c r="I29" s="93">
        <v>1.406847634614</v>
      </c>
      <c r="J29" s="93">
        <v>1.4761205986099999</v>
      </c>
      <c r="K29" s="93">
        <v>1.5453935626059998</v>
      </c>
      <c r="L29" s="93">
        <v>1.6146665266019997</v>
      </c>
      <c r="M29" s="93">
        <v>1.6839394905979996</v>
      </c>
      <c r="N29" s="93">
        <v>1.753212454594</v>
      </c>
      <c r="O29" s="93">
        <v>17.616792503824399</v>
      </c>
      <c r="P29" s="93">
        <v>33.480372553054799</v>
      </c>
      <c r="Q29" s="93">
        <v>49.343952602285199</v>
      </c>
      <c r="R29" s="93">
        <v>65.207532651515592</v>
      </c>
      <c r="S29" s="93">
        <v>81.071112700745999</v>
      </c>
      <c r="T29" s="93">
        <v>86.933679432099993</v>
      </c>
      <c r="U29" s="93">
        <v>92.796246163453986</v>
      </c>
      <c r="V29" s="93">
        <v>98.65881289480798</v>
      </c>
      <c r="W29" s="93">
        <v>104.52137962616197</v>
      </c>
      <c r="X29" s="93">
        <v>110.383946357516</v>
      </c>
      <c r="Y29" s="93">
        <v>117.24192417638679</v>
      </c>
      <c r="Z29" s="93">
        <v>124.09990199525758</v>
      </c>
      <c r="AA29" s="93">
        <v>130.95787981412838</v>
      </c>
      <c r="AB29" s="93">
        <v>137.81585763299918</v>
      </c>
      <c r="AC29" s="93">
        <v>144.67383545186999</v>
      </c>
      <c r="AD29" s="93">
        <v>151.8096594976648</v>
      </c>
      <c r="AE29" s="93">
        <v>158.9454835434596</v>
      </c>
      <c r="AF29" s="93">
        <v>166.08130758925441</v>
      </c>
      <c r="AG29" s="93">
        <v>173.21713163504921</v>
      </c>
      <c r="AH29" s="93">
        <v>180.35295568084399</v>
      </c>
      <c r="AI29" s="35">
        <v>187.9392293700096</v>
      </c>
      <c r="AJ29" s="35">
        <v>195.52550305917521</v>
      </c>
      <c r="AK29" s="35">
        <v>203.11177674834082</v>
      </c>
      <c r="AL29" s="35">
        <v>210.69805043750642</v>
      </c>
      <c r="AM29" s="35">
        <v>218.284324126672</v>
      </c>
    </row>
    <row r="30" spans="2:39">
      <c r="B30" s="92" t="s">
        <v>235</v>
      </c>
      <c r="C30" s="92" t="s">
        <v>236</v>
      </c>
      <c r="D30" s="92" t="s">
        <v>35</v>
      </c>
      <c r="E30" s="92" t="s">
        <v>237</v>
      </c>
      <c r="F30" s="93">
        <v>6.5387898932644006</v>
      </c>
      <c r="G30" s="93">
        <v>9.2543235356556011</v>
      </c>
      <c r="H30" s="93">
        <v>11.969857178046801</v>
      </c>
      <c r="I30" s="93">
        <v>14.685390820438</v>
      </c>
      <c r="J30" s="93">
        <v>17.400866528027198</v>
      </c>
      <c r="K30" s="93">
        <v>20.116342235616397</v>
      </c>
      <c r="L30" s="93">
        <v>22.831817943205596</v>
      </c>
      <c r="M30" s="93">
        <v>25.547293650794796</v>
      </c>
      <c r="N30" s="93">
        <v>28.262769358383991</v>
      </c>
      <c r="O30" s="93">
        <v>28.776114485022791</v>
      </c>
      <c r="P30" s="93">
        <v>29.289459611661592</v>
      </c>
      <c r="Q30" s="93">
        <v>29.802804738300392</v>
      </c>
      <c r="R30" s="93">
        <v>30.316149864939192</v>
      </c>
      <c r="S30" s="93">
        <v>30.829494991577999</v>
      </c>
      <c r="T30" s="93">
        <v>31.388516204125999</v>
      </c>
      <c r="U30" s="93">
        <v>31.947537416673999</v>
      </c>
      <c r="V30" s="93">
        <v>32.506558629221999</v>
      </c>
      <c r="W30" s="93">
        <v>33.065579841769996</v>
      </c>
      <c r="X30" s="93">
        <v>33.624601054317992</v>
      </c>
      <c r="Y30" s="93">
        <v>34.232998470232793</v>
      </c>
      <c r="Z30" s="93">
        <v>34.841395886147595</v>
      </c>
      <c r="AA30" s="93">
        <v>35.449793302062396</v>
      </c>
      <c r="AB30" s="93">
        <v>36.058190717977197</v>
      </c>
      <c r="AC30" s="93">
        <v>36.666588133891999</v>
      </c>
      <c r="AD30" s="93">
        <v>37.328936985231202</v>
      </c>
      <c r="AE30" s="93">
        <v>37.991285836570405</v>
      </c>
      <c r="AF30" s="93">
        <v>38.653634687909609</v>
      </c>
      <c r="AG30" s="93">
        <v>39.315983539248812</v>
      </c>
      <c r="AH30" s="93">
        <v>39.978332390588022</v>
      </c>
      <c r="AI30" s="35">
        <v>40.699253858464417</v>
      </c>
      <c r="AJ30" s="35">
        <v>41.420175326340811</v>
      </c>
      <c r="AK30" s="35">
        <v>42.141096794217205</v>
      </c>
      <c r="AL30" s="35">
        <v>42.862018262093599</v>
      </c>
      <c r="AM30" s="35">
        <v>43.582939729970008</v>
      </c>
    </row>
    <row r="31" spans="2:39">
      <c r="B31" s="92" t="s">
        <v>235</v>
      </c>
      <c r="C31" s="92" t="s">
        <v>236</v>
      </c>
      <c r="D31" s="92" t="s">
        <v>25</v>
      </c>
      <c r="E31" s="92" t="s">
        <v>237</v>
      </c>
      <c r="F31" s="93">
        <v>25.389440745104398</v>
      </c>
      <c r="G31" s="93">
        <v>37.530299813415596</v>
      </c>
      <c r="H31" s="93">
        <v>49.671158881726797</v>
      </c>
      <c r="I31" s="93">
        <v>61.812017950037998</v>
      </c>
      <c r="J31" s="93">
        <v>67.143963640499592</v>
      </c>
      <c r="K31" s="93">
        <v>72.475909330961187</v>
      </c>
      <c r="L31" s="93">
        <v>77.807855021422782</v>
      </c>
      <c r="M31" s="93">
        <v>83.139800711884376</v>
      </c>
      <c r="N31" s="93">
        <v>88.471746402346</v>
      </c>
      <c r="O31" s="93">
        <v>98.112007994063603</v>
      </c>
      <c r="P31" s="93">
        <v>107.75226958578121</v>
      </c>
      <c r="Q31" s="93">
        <v>117.39253117749881</v>
      </c>
      <c r="R31" s="93">
        <v>127.03279276921641</v>
      </c>
      <c r="S31" s="93">
        <v>136.673054360934</v>
      </c>
      <c r="T31" s="93">
        <v>152.3950284390416</v>
      </c>
      <c r="U31" s="93">
        <v>168.11700251714919</v>
      </c>
      <c r="V31" s="93">
        <v>183.83897659525678</v>
      </c>
      <c r="W31" s="93">
        <v>199.56095067336437</v>
      </c>
      <c r="X31" s="93">
        <v>215.282924751472</v>
      </c>
      <c r="Y31" s="93">
        <v>238.91711118915001</v>
      </c>
      <c r="Z31" s="93">
        <v>262.55129762682799</v>
      </c>
      <c r="AA31" s="93">
        <v>286.185484064506</v>
      </c>
      <c r="AB31" s="93">
        <v>309.81967050218401</v>
      </c>
      <c r="AC31" s="93">
        <v>333.45385693986202</v>
      </c>
      <c r="AD31" s="93">
        <v>366.77473710987164</v>
      </c>
      <c r="AE31" s="93">
        <v>400.09561727988125</v>
      </c>
      <c r="AF31" s="93">
        <v>433.41649744989087</v>
      </c>
      <c r="AG31" s="93">
        <v>466.73737761990049</v>
      </c>
      <c r="AH31" s="93">
        <v>500.05825778990999</v>
      </c>
      <c r="AI31" s="35">
        <v>507.33038259626483</v>
      </c>
      <c r="AJ31" s="35">
        <v>514.60250740261961</v>
      </c>
      <c r="AK31" s="35">
        <v>521.87463220897439</v>
      </c>
      <c r="AL31" s="35">
        <v>529.14675701532917</v>
      </c>
      <c r="AM31" s="35">
        <v>536.41888182168407</v>
      </c>
    </row>
    <row r="34" spans="2:7">
      <c r="B34" t="s">
        <v>239</v>
      </c>
    </row>
    <row r="35" spans="2:7">
      <c r="B35" s="94"/>
    </row>
    <row r="38" spans="2:7">
      <c r="B38" s="193" t="s">
        <v>240</v>
      </c>
      <c r="C38" s="193"/>
    </row>
    <row r="39" spans="2:7">
      <c r="B39" s="95" t="s">
        <v>241</v>
      </c>
      <c r="C39" s="95" t="s">
        <v>242</v>
      </c>
      <c r="D39" s="95" t="s">
        <v>243</v>
      </c>
    </row>
    <row r="40" spans="2:7">
      <c r="B40" s="35" t="s">
        <v>38</v>
      </c>
      <c r="C40" s="96">
        <v>0.2</v>
      </c>
      <c r="D40" s="96">
        <f>C40+E40</f>
        <v>0.48571428571428577</v>
      </c>
      <c r="E40" s="97">
        <f>(C40/SUM($C$40,$C$42:$C$47))*$C$51</f>
        <v>0.28571428571428575</v>
      </c>
    </row>
    <row r="41" spans="2:7">
      <c r="B41" s="100" t="s">
        <v>244</v>
      </c>
      <c r="C41" s="96">
        <v>0.2</v>
      </c>
      <c r="D41" s="96">
        <v>0</v>
      </c>
      <c r="E41" s="97">
        <f t="shared" ref="E41:E48" si="2">(C41/SUM($C$40,$C$42:$C$47))*$C$51</f>
        <v>0.28571428571428575</v>
      </c>
    </row>
    <row r="42" spans="2:7">
      <c r="B42" s="35" t="s">
        <v>245</v>
      </c>
      <c r="C42" s="96">
        <v>0.1</v>
      </c>
      <c r="D42" s="96">
        <f t="shared" ref="D42:D47" si="3">C42+E42</f>
        <v>0.24285714285714288</v>
      </c>
      <c r="E42" s="97">
        <f t="shared" si="2"/>
        <v>0.14285714285714288</v>
      </c>
      <c r="G42" s="138"/>
    </row>
    <row r="43" spans="2:7">
      <c r="B43" s="35" t="s">
        <v>246</v>
      </c>
      <c r="C43" s="96">
        <v>0.05</v>
      </c>
      <c r="D43" s="96">
        <f t="shared" si="3"/>
        <v>0.12142857142857144</v>
      </c>
      <c r="E43" s="97">
        <f t="shared" si="2"/>
        <v>7.1428571428571438E-2</v>
      </c>
      <c r="G43" s="139"/>
    </row>
    <row r="44" spans="2:7">
      <c r="B44" s="35" t="s">
        <v>247</v>
      </c>
      <c r="C44" s="96">
        <v>0.15</v>
      </c>
      <c r="D44" s="96">
        <f t="shared" si="3"/>
        <v>0.36428571428571432</v>
      </c>
      <c r="E44" s="97">
        <f t="shared" si="2"/>
        <v>0.2142857142857143</v>
      </c>
    </row>
    <row r="45" spans="2:7">
      <c r="B45" s="35" t="s">
        <v>248</v>
      </c>
      <c r="C45" s="96">
        <v>0.05</v>
      </c>
      <c r="D45" s="96">
        <f t="shared" si="3"/>
        <v>0.12142857142857144</v>
      </c>
      <c r="E45" s="97">
        <f t="shared" si="2"/>
        <v>7.1428571428571438E-2</v>
      </c>
      <c r="G45" s="138"/>
    </row>
    <row r="46" spans="2:7">
      <c r="B46" s="35" t="s">
        <v>249</v>
      </c>
      <c r="C46" s="103">
        <v>7.4999999999999997E-2</v>
      </c>
      <c r="D46" s="96">
        <f t="shared" si="3"/>
        <v>0.18214285714285716</v>
      </c>
      <c r="E46" s="97">
        <f t="shared" si="2"/>
        <v>0.10714285714285715</v>
      </c>
      <c r="G46" s="139"/>
    </row>
    <row r="47" spans="2:7">
      <c r="B47" s="35" t="s">
        <v>250</v>
      </c>
      <c r="C47" s="103">
        <v>7.4999999999999997E-2</v>
      </c>
      <c r="D47" s="96">
        <f t="shared" si="3"/>
        <v>0.18214285714285716</v>
      </c>
      <c r="E47" s="97">
        <f t="shared" si="2"/>
        <v>0.10714285714285715</v>
      </c>
    </row>
    <row r="48" spans="2:7">
      <c r="B48" s="100" t="s">
        <v>251</v>
      </c>
      <c r="C48" s="96">
        <v>0.1</v>
      </c>
      <c r="D48" s="96">
        <v>0</v>
      </c>
      <c r="E48" s="97">
        <f t="shared" si="2"/>
        <v>0.14285714285714288</v>
      </c>
    </row>
    <row r="49" spans="2:9">
      <c r="B49" s="37" t="s">
        <v>252</v>
      </c>
      <c r="C49" s="105">
        <f>SUM(C40:C48)</f>
        <v>1</v>
      </c>
      <c r="D49" s="105">
        <f>SUM(D40:D48)</f>
        <v>1.7000000000000002</v>
      </c>
      <c r="E49" s="106"/>
    </row>
    <row r="51" spans="2:9">
      <c r="B51" s="107" t="s">
        <v>253</v>
      </c>
      <c r="C51" s="108">
        <v>1</v>
      </c>
      <c r="D51" s="108">
        <f>C51/7</f>
        <v>0.14285714285714285</v>
      </c>
    </row>
    <row r="54" spans="2:9">
      <c r="B54" s="109"/>
      <c r="E54" s="98"/>
      <c r="F54" s="110"/>
      <c r="G54" s="110"/>
      <c r="H54" s="110" t="s">
        <v>254</v>
      </c>
      <c r="I54" s="99">
        <v>1</v>
      </c>
    </row>
    <row r="55" spans="2:9">
      <c r="E55" s="101" t="s">
        <v>255</v>
      </c>
      <c r="G55" t="s">
        <v>256</v>
      </c>
      <c r="I55" s="102"/>
    </row>
    <row r="56" spans="2:9">
      <c r="E56" s="101"/>
      <c r="G56" t="s">
        <v>257</v>
      </c>
      <c r="I56" s="102"/>
    </row>
    <row r="57" spans="2:9">
      <c r="E57" s="101"/>
      <c r="G57" t="s">
        <v>258</v>
      </c>
      <c r="I57" s="102"/>
    </row>
    <row r="58" spans="2:9">
      <c r="E58" s="104"/>
      <c r="F58" s="111"/>
      <c r="G58" s="111" t="s">
        <v>259</v>
      </c>
      <c r="H58" s="111"/>
      <c r="I58" s="112"/>
    </row>
  </sheetData>
  <mergeCells count="2">
    <mergeCell ref="H8:I9"/>
    <mergeCell ref="B38:C38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950C4-32F9-45E8-8643-4420CD19FB09}">
  <sheetPr codeName="Sheet15"/>
  <dimension ref="A2:AP314"/>
  <sheetViews>
    <sheetView showGridLines="0" zoomScale="70" zoomScaleNormal="70" workbookViewId="0">
      <selection activeCell="F149" sqref="F149"/>
    </sheetView>
  </sheetViews>
  <sheetFormatPr defaultColWidth="8.5703125" defaultRowHeight="14.45"/>
  <cols>
    <col min="1" max="1" width="2.5703125" style="115" customWidth="1"/>
    <col min="2" max="2" width="24" style="115" customWidth="1"/>
    <col min="3" max="3" width="15" style="116" bestFit="1" customWidth="1"/>
    <col min="4" max="4" width="2.5703125" style="115" customWidth="1"/>
    <col min="5" max="5" width="42.140625" style="115" customWidth="1"/>
    <col min="6" max="6" width="8.5703125" style="115"/>
    <col min="7" max="7" width="2.5703125" style="115" customWidth="1"/>
    <col min="8" max="8" width="41.140625" style="115" bestFit="1" customWidth="1"/>
    <col min="9" max="11" width="9.85546875" style="115" bestFit="1" customWidth="1"/>
    <col min="12" max="12" width="25.140625" style="115" bestFit="1" customWidth="1"/>
    <col min="13" max="13" width="9.85546875" style="115" bestFit="1" customWidth="1"/>
    <col min="14" max="15" width="8.5703125" style="115" bestFit="1" customWidth="1"/>
    <col min="16" max="16" width="20.5703125" style="115" bestFit="1" customWidth="1"/>
    <col min="17" max="36" width="8.5703125" style="115" bestFit="1" customWidth="1"/>
    <col min="37" max="16384" width="8.5703125" style="115"/>
  </cols>
  <sheetData>
    <row r="2" spans="2:36" s="113" customFormat="1">
      <c r="B2" s="113" t="s">
        <v>260</v>
      </c>
      <c r="C2" s="114"/>
      <c r="E2" s="113" t="s">
        <v>261</v>
      </c>
      <c r="H2" s="113" t="s">
        <v>262</v>
      </c>
      <c r="L2" s="113" t="s">
        <v>263</v>
      </c>
      <c r="P2" s="113" t="s">
        <v>264</v>
      </c>
    </row>
    <row r="3" spans="2:36">
      <c r="F3" s="113"/>
      <c r="H3" s="113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</row>
    <row r="4" spans="2:36">
      <c r="B4" s="113" t="s">
        <v>148</v>
      </c>
      <c r="E4" s="113" t="s">
        <v>265</v>
      </c>
      <c r="F4" s="113"/>
      <c r="H4" s="113" t="s">
        <v>266</v>
      </c>
      <c r="I4" s="115">
        <v>2023</v>
      </c>
      <c r="J4" s="115">
        <v>2024</v>
      </c>
      <c r="K4" s="115">
        <v>2025</v>
      </c>
      <c r="L4" s="115">
        <v>2026</v>
      </c>
      <c r="M4" s="115">
        <v>2027</v>
      </c>
      <c r="N4" s="115">
        <v>2028</v>
      </c>
      <c r="O4" s="115">
        <v>2029</v>
      </c>
      <c r="P4" s="115">
        <v>2030</v>
      </c>
      <c r="Q4" s="115">
        <v>2031</v>
      </c>
      <c r="R4" s="115">
        <v>2032</v>
      </c>
      <c r="S4" s="115">
        <v>2033</v>
      </c>
      <c r="T4" s="115">
        <v>2034</v>
      </c>
      <c r="U4" s="115">
        <v>2035</v>
      </c>
      <c r="V4" s="115">
        <v>2036</v>
      </c>
      <c r="W4" s="115">
        <v>2037</v>
      </c>
      <c r="X4" s="115">
        <v>2038</v>
      </c>
      <c r="Y4" s="115">
        <v>2039</v>
      </c>
      <c r="Z4" s="115">
        <v>2040</v>
      </c>
      <c r="AA4" s="115">
        <v>2041</v>
      </c>
      <c r="AB4" s="115">
        <v>2042</v>
      </c>
      <c r="AC4" s="115">
        <v>2043</v>
      </c>
      <c r="AD4" s="115">
        <v>2044</v>
      </c>
      <c r="AE4" s="115">
        <v>2045</v>
      </c>
      <c r="AF4" s="115">
        <v>2046</v>
      </c>
      <c r="AG4" s="115">
        <v>2047</v>
      </c>
      <c r="AH4" s="115">
        <v>2048</v>
      </c>
      <c r="AI4" s="115">
        <v>2049</v>
      </c>
      <c r="AJ4" s="115">
        <v>2050</v>
      </c>
    </row>
    <row r="5" spans="2:36">
      <c r="B5" s="117" t="s">
        <v>8</v>
      </c>
      <c r="C5" s="118">
        <f>'4.Input data HPCL'!E4</f>
        <v>4661923.5</v>
      </c>
      <c r="E5" s="117" t="s">
        <v>8</v>
      </c>
      <c r="F5" s="147">
        <v>-0.5</v>
      </c>
      <c r="H5" s="117" t="s">
        <v>8</v>
      </c>
      <c r="I5" s="120">
        <f>'4.Input data HPCL'!D22</f>
        <v>0.16655785964741807</v>
      </c>
      <c r="J5" s="121">
        <f t="shared" ref="J5:Y11" si="0">$I5*($AJ$4-J$4)/27</f>
        <v>0.16038905003084702</v>
      </c>
      <c r="K5" s="121">
        <f t="shared" si="0"/>
        <v>0.15422024041427598</v>
      </c>
      <c r="L5" s="121">
        <f t="shared" si="0"/>
        <v>0.14805143079770494</v>
      </c>
      <c r="M5" s="121">
        <f t="shared" si="0"/>
        <v>0.1418826211811339</v>
      </c>
      <c r="N5" s="121">
        <f t="shared" si="0"/>
        <v>0.13571381156456286</v>
      </c>
      <c r="O5" s="121">
        <f t="shared" si="0"/>
        <v>0.12954500194799182</v>
      </c>
      <c r="P5" s="121">
        <f t="shared" si="0"/>
        <v>0.12337619233142079</v>
      </c>
      <c r="Q5" s="121">
        <f t="shared" si="0"/>
        <v>0.11720738271484975</v>
      </c>
      <c r="R5" s="121">
        <f t="shared" si="0"/>
        <v>0.11103857309827871</v>
      </c>
      <c r="S5" s="121">
        <f t="shared" si="0"/>
        <v>0.10486976348170768</v>
      </c>
      <c r="T5" s="121">
        <f t="shared" si="0"/>
        <v>9.8700953865136637E-2</v>
      </c>
      <c r="U5" s="121">
        <f t="shared" si="0"/>
        <v>9.2532144248565582E-2</v>
      </c>
      <c r="V5" s="121">
        <f t="shared" si="0"/>
        <v>8.6363334631994554E-2</v>
      </c>
      <c r="W5" s="121">
        <f t="shared" si="0"/>
        <v>8.0194525015423512E-2</v>
      </c>
      <c r="X5" s="121">
        <f t="shared" si="0"/>
        <v>7.4025715398852471E-2</v>
      </c>
      <c r="Y5" s="121">
        <f t="shared" si="0"/>
        <v>6.7856905782281429E-2</v>
      </c>
      <c r="Z5" s="121">
        <f t="shared" ref="Z5:AJ11" si="1">$I5*($AJ$4-Z$4)/27</f>
        <v>6.1688096165710395E-2</v>
      </c>
      <c r="AA5" s="121">
        <f t="shared" si="1"/>
        <v>5.5519286549139353E-2</v>
      </c>
      <c r="AB5" s="121">
        <f t="shared" si="1"/>
        <v>4.9350476932568318E-2</v>
      </c>
      <c r="AC5" s="121">
        <f t="shared" si="1"/>
        <v>4.3181667315997277E-2</v>
      </c>
      <c r="AD5" s="121">
        <f t="shared" si="1"/>
        <v>3.7012857699426235E-2</v>
      </c>
      <c r="AE5" s="121">
        <f t="shared" si="1"/>
        <v>3.0844048082855197E-2</v>
      </c>
      <c r="AF5" s="121">
        <f t="shared" si="1"/>
        <v>2.4675238466284159E-2</v>
      </c>
      <c r="AG5" s="121">
        <f t="shared" si="1"/>
        <v>1.8506428849713118E-2</v>
      </c>
      <c r="AH5" s="121">
        <f t="shared" si="1"/>
        <v>1.233761923314208E-2</v>
      </c>
      <c r="AI5" s="121">
        <f t="shared" si="1"/>
        <v>6.1688096165710398E-3</v>
      </c>
      <c r="AJ5" s="121">
        <f t="shared" si="1"/>
        <v>0</v>
      </c>
    </row>
    <row r="6" spans="2:36">
      <c r="B6" s="117" t="s">
        <v>173</v>
      </c>
      <c r="C6" s="122"/>
      <c r="E6" s="35" t="s">
        <v>12</v>
      </c>
      <c r="F6" s="121">
        <f>F$5</f>
        <v>-0.5</v>
      </c>
      <c r="H6" s="35" t="s">
        <v>12</v>
      </c>
      <c r="I6" s="121">
        <f>I$5</f>
        <v>0.16655785964741807</v>
      </c>
      <c r="J6" s="121">
        <f t="shared" si="0"/>
        <v>0.16038905003084702</v>
      </c>
      <c r="K6" s="121">
        <f t="shared" si="0"/>
        <v>0.15422024041427598</v>
      </c>
      <c r="L6" s="121">
        <f t="shared" si="0"/>
        <v>0.14805143079770494</v>
      </c>
      <c r="M6" s="121">
        <f t="shared" si="0"/>
        <v>0.1418826211811339</v>
      </c>
      <c r="N6" s="121">
        <f t="shared" si="0"/>
        <v>0.13571381156456286</v>
      </c>
      <c r="O6" s="121">
        <f t="shared" si="0"/>
        <v>0.12954500194799182</v>
      </c>
      <c r="P6" s="121">
        <f t="shared" si="0"/>
        <v>0.12337619233142079</v>
      </c>
      <c r="Q6" s="121">
        <f t="shared" si="0"/>
        <v>0.11720738271484975</v>
      </c>
      <c r="R6" s="121">
        <f t="shared" si="0"/>
        <v>0.11103857309827871</v>
      </c>
      <c r="S6" s="121">
        <f t="shared" si="0"/>
        <v>0.10486976348170768</v>
      </c>
      <c r="T6" s="121">
        <f t="shared" si="0"/>
        <v>9.8700953865136637E-2</v>
      </c>
      <c r="U6" s="121">
        <f t="shared" si="0"/>
        <v>9.2532144248565582E-2</v>
      </c>
      <c r="V6" s="121">
        <f t="shared" si="0"/>
        <v>8.6363334631994554E-2</v>
      </c>
      <c r="W6" s="121">
        <f t="shared" si="0"/>
        <v>8.0194525015423512E-2</v>
      </c>
      <c r="X6" s="121">
        <f t="shared" si="0"/>
        <v>7.4025715398852471E-2</v>
      </c>
      <c r="Y6" s="121">
        <f t="shared" si="0"/>
        <v>6.7856905782281429E-2</v>
      </c>
      <c r="Z6" s="121">
        <f t="shared" si="1"/>
        <v>6.1688096165710395E-2</v>
      </c>
      <c r="AA6" s="121">
        <f t="shared" si="1"/>
        <v>5.5519286549139353E-2</v>
      </c>
      <c r="AB6" s="121">
        <f t="shared" si="1"/>
        <v>4.9350476932568318E-2</v>
      </c>
      <c r="AC6" s="121">
        <f t="shared" si="1"/>
        <v>4.3181667315997277E-2</v>
      </c>
      <c r="AD6" s="121">
        <f t="shared" si="1"/>
        <v>3.7012857699426235E-2</v>
      </c>
      <c r="AE6" s="121">
        <f t="shared" si="1"/>
        <v>3.0844048082855197E-2</v>
      </c>
      <c r="AF6" s="121">
        <f t="shared" si="1"/>
        <v>2.4675238466284159E-2</v>
      </c>
      <c r="AG6" s="121">
        <f t="shared" si="1"/>
        <v>1.8506428849713118E-2</v>
      </c>
      <c r="AH6" s="121">
        <f t="shared" si="1"/>
        <v>1.233761923314208E-2</v>
      </c>
      <c r="AI6" s="121">
        <f t="shared" si="1"/>
        <v>6.1688096165710398E-3</v>
      </c>
      <c r="AJ6" s="121">
        <f t="shared" si="1"/>
        <v>0</v>
      </c>
    </row>
    <row r="7" spans="2:36">
      <c r="B7" s="117" t="s">
        <v>173</v>
      </c>
      <c r="C7" s="122"/>
      <c r="E7" s="35" t="s">
        <v>15</v>
      </c>
      <c r="F7" s="121">
        <f>F$5</f>
        <v>-0.5</v>
      </c>
      <c r="H7" s="35" t="s">
        <v>15</v>
      </c>
      <c r="I7" s="121">
        <f>I$5</f>
        <v>0.16655785964741807</v>
      </c>
      <c r="J7" s="121">
        <f t="shared" si="0"/>
        <v>0.16038905003084702</v>
      </c>
      <c r="K7" s="121">
        <f t="shared" si="0"/>
        <v>0.15422024041427598</v>
      </c>
      <c r="L7" s="121">
        <f t="shared" si="0"/>
        <v>0.14805143079770494</v>
      </c>
      <c r="M7" s="121">
        <f t="shared" si="0"/>
        <v>0.1418826211811339</v>
      </c>
      <c r="N7" s="121">
        <f t="shared" si="0"/>
        <v>0.13571381156456286</v>
      </c>
      <c r="O7" s="121">
        <f t="shared" si="0"/>
        <v>0.12954500194799182</v>
      </c>
      <c r="P7" s="121">
        <f t="shared" si="0"/>
        <v>0.12337619233142079</v>
      </c>
      <c r="Q7" s="121">
        <f t="shared" si="0"/>
        <v>0.11720738271484975</v>
      </c>
      <c r="R7" s="121">
        <f t="shared" si="0"/>
        <v>0.11103857309827871</v>
      </c>
      <c r="S7" s="121">
        <f t="shared" si="0"/>
        <v>0.10486976348170768</v>
      </c>
      <c r="T7" s="121">
        <f t="shared" si="0"/>
        <v>9.8700953865136637E-2</v>
      </c>
      <c r="U7" s="121">
        <f t="shared" si="0"/>
        <v>9.2532144248565582E-2</v>
      </c>
      <c r="V7" s="121">
        <f t="shared" si="0"/>
        <v>8.6363334631994554E-2</v>
      </c>
      <c r="W7" s="121">
        <f t="shared" si="0"/>
        <v>8.0194525015423512E-2</v>
      </c>
      <c r="X7" s="121">
        <f t="shared" si="0"/>
        <v>7.4025715398852471E-2</v>
      </c>
      <c r="Y7" s="121">
        <f t="shared" si="0"/>
        <v>6.7856905782281429E-2</v>
      </c>
      <c r="Z7" s="121">
        <f t="shared" si="1"/>
        <v>6.1688096165710395E-2</v>
      </c>
      <c r="AA7" s="121">
        <f t="shared" si="1"/>
        <v>5.5519286549139353E-2</v>
      </c>
      <c r="AB7" s="121">
        <f t="shared" si="1"/>
        <v>4.9350476932568318E-2</v>
      </c>
      <c r="AC7" s="121">
        <f t="shared" si="1"/>
        <v>4.3181667315997277E-2</v>
      </c>
      <c r="AD7" s="121">
        <f t="shared" si="1"/>
        <v>3.7012857699426235E-2</v>
      </c>
      <c r="AE7" s="121">
        <f t="shared" si="1"/>
        <v>3.0844048082855197E-2</v>
      </c>
      <c r="AF7" s="121">
        <f t="shared" si="1"/>
        <v>2.4675238466284159E-2</v>
      </c>
      <c r="AG7" s="121">
        <f t="shared" si="1"/>
        <v>1.8506428849713118E-2</v>
      </c>
      <c r="AH7" s="121">
        <f t="shared" si="1"/>
        <v>1.233761923314208E-2</v>
      </c>
      <c r="AI7" s="121">
        <f t="shared" si="1"/>
        <v>6.1688096165710398E-3</v>
      </c>
      <c r="AJ7" s="121">
        <f t="shared" si="1"/>
        <v>0</v>
      </c>
    </row>
    <row r="8" spans="2:36">
      <c r="B8" s="117" t="s">
        <v>173</v>
      </c>
      <c r="C8" s="122"/>
      <c r="E8" s="35" t="s">
        <v>19</v>
      </c>
      <c r="F8" s="121">
        <f t="shared" ref="F8:F11" si="2">F$5</f>
        <v>-0.5</v>
      </c>
      <c r="H8" s="35" t="s">
        <v>19</v>
      </c>
      <c r="I8" s="121">
        <f>I$5</f>
        <v>0.16655785964741807</v>
      </c>
      <c r="J8" s="121">
        <f t="shared" si="0"/>
        <v>0.16038905003084702</v>
      </c>
      <c r="K8" s="121">
        <f t="shared" si="0"/>
        <v>0.15422024041427598</v>
      </c>
      <c r="L8" s="121">
        <f t="shared" si="0"/>
        <v>0.14805143079770494</v>
      </c>
      <c r="M8" s="121">
        <f t="shared" si="0"/>
        <v>0.1418826211811339</v>
      </c>
      <c r="N8" s="121">
        <f t="shared" si="0"/>
        <v>0.13571381156456286</v>
      </c>
      <c r="O8" s="121">
        <f t="shared" si="0"/>
        <v>0.12954500194799182</v>
      </c>
      <c r="P8" s="121">
        <f t="shared" si="0"/>
        <v>0.12337619233142079</v>
      </c>
      <c r="Q8" s="121">
        <f t="shared" si="0"/>
        <v>0.11720738271484975</v>
      </c>
      <c r="R8" s="121">
        <f t="shared" si="0"/>
        <v>0.11103857309827871</v>
      </c>
      <c r="S8" s="121">
        <f t="shared" si="0"/>
        <v>0.10486976348170768</v>
      </c>
      <c r="T8" s="121">
        <f t="shared" si="0"/>
        <v>9.8700953865136637E-2</v>
      </c>
      <c r="U8" s="121">
        <f t="shared" si="0"/>
        <v>9.2532144248565582E-2</v>
      </c>
      <c r="V8" s="121">
        <f t="shared" si="0"/>
        <v>8.6363334631994554E-2</v>
      </c>
      <c r="W8" s="121">
        <f t="shared" si="0"/>
        <v>8.0194525015423512E-2</v>
      </c>
      <c r="X8" s="121">
        <f t="shared" si="0"/>
        <v>7.4025715398852471E-2</v>
      </c>
      <c r="Y8" s="121">
        <f t="shared" si="0"/>
        <v>6.7856905782281429E-2</v>
      </c>
      <c r="Z8" s="121">
        <f t="shared" si="1"/>
        <v>6.1688096165710395E-2</v>
      </c>
      <c r="AA8" s="121">
        <f t="shared" si="1"/>
        <v>5.5519286549139353E-2</v>
      </c>
      <c r="AB8" s="121">
        <f t="shared" si="1"/>
        <v>4.9350476932568318E-2</v>
      </c>
      <c r="AC8" s="121">
        <f t="shared" si="1"/>
        <v>4.3181667315997277E-2</v>
      </c>
      <c r="AD8" s="121">
        <f t="shared" si="1"/>
        <v>3.7012857699426235E-2</v>
      </c>
      <c r="AE8" s="121">
        <f t="shared" si="1"/>
        <v>3.0844048082855197E-2</v>
      </c>
      <c r="AF8" s="121">
        <f t="shared" si="1"/>
        <v>2.4675238466284159E-2</v>
      </c>
      <c r="AG8" s="121">
        <f t="shared" si="1"/>
        <v>1.8506428849713118E-2</v>
      </c>
      <c r="AH8" s="121">
        <f t="shared" si="1"/>
        <v>1.233761923314208E-2</v>
      </c>
      <c r="AI8" s="121">
        <f t="shared" si="1"/>
        <v>6.1688096165710398E-3</v>
      </c>
      <c r="AJ8" s="121">
        <f t="shared" si="1"/>
        <v>0</v>
      </c>
    </row>
    <row r="9" spans="2:36">
      <c r="B9" s="117" t="s">
        <v>173</v>
      </c>
      <c r="C9" s="122"/>
      <c r="E9" s="35" t="s">
        <v>22</v>
      </c>
      <c r="F9" s="121">
        <f t="shared" si="2"/>
        <v>-0.5</v>
      </c>
      <c r="H9" s="35" t="s">
        <v>22</v>
      </c>
      <c r="I9" s="121">
        <f>I$5</f>
        <v>0.16655785964741807</v>
      </c>
      <c r="J9" s="121">
        <f t="shared" si="0"/>
        <v>0.16038905003084702</v>
      </c>
      <c r="K9" s="121">
        <f t="shared" si="0"/>
        <v>0.15422024041427598</v>
      </c>
      <c r="L9" s="121">
        <f t="shared" si="0"/>
        <v>0.14805143079770494</v>
      </c>
      <c r="M9" s="121">
        <f t="shared" si="0"/>
        <v>0.1418826211811339</v>
      </c>
      <c r="N9" s="121">
        <f t="shared" si="0"/>
        <v>0.13571381156456286</v>
      </c>
      <c r="O9" s="121">
        <f t="shared" si="0"/>
        <v>0.12954500194799182</v>
      </c>
      <c r="P9" s="121">
        <f t="shared" si="0"/>
        <v>0.12337619233142079</v>
      </c>
      <c r="Q9" s="121">
        <f t="shared" si="0"/>
        <v>0.11720738271484975</v>
      </c>
      <c r="R9" s="121">
        <f t="shared" si="0"/>
        <v>0.11103857309827871</v>
      </c>
      <c r="S9" s="121">
        <f t="shared" si="0"/>
        <v>0.10486976348170768</v>
      </c>
      <c r="T9" s="121">
        <f t="shared" si="0"/>
        <v>9.8700953865136637E-2</v>
      </c>
      <c r="U9" s="121">
        <f t="shared" si="0"/>
        <v>9.2532144248565582E-2</v>
      </c>
      <c r="V9" s="121">
        <f t="shared" si="0"/>
        <v>8.6363334631994554E-2</v>
      </c>
      <c r="W9" s="121">
        <f t="shared" si="0"/>
        <v>8.0194525015423512E-2</v>
      </c>
      <c r="X9" s="121">
        <f t="shared" si="0"/>
        <v>7.4025715398852471E-2</v>
      </c>
      <c r="Y9" s="121">
        <f t="shared" si="0"/>
        <v>6.7856905782281429E-2</v>
      </c>
      <c r="Z9" s="121">
        <f t="shared" si="1"/>
        <v>6.1688096165710395E-2</v>
      </c>
      <c r="AA9" s="121">
        <f t="shared" si="1"/>
        <v>5.5519286549139353E-2</v>
      </c>
      <c r="AB9" s="121">
        <f t="shared" si="1"/>
        <v>4.9350476932568318E-2</v>
      </c>
      <c r="AC9" s="121">
        <f t="shared" si="1"/>
        <v>4.3181667315997277E-2</v>
      </c>
      <c r="AD9" s="121">
        <f t="shared" si="1"/>
        <v>3.7012857699426235E-2</v>
      </c>
      <c r="AE9" s="121">
        <f t="shared" si="1"/>
        <v>3.0844048082855197E-2</v>
      </c>
      <c r="AF9" s="121">
        <f t="shared" si="1"/>
        <v>2.4675238466284159E-2</v>
      </c>
      <c r="AG9" s="121">
        <f t="shared" si="1"/>
        <v>1.8506428849713118E-2</v>
      </c>
      <c r="AH9" s="121">
        <f t="shared" si="1"/>
        <v>1.233761923314208E-2</v>
      </c>
      <c r="AI9" s="121">
        <f t="shared" si="1"/>
        <v>6.1688096165710398E-3</v>
      </c>
      <c r="AJ9" s="121">
        <f t="shared" si="1"/>
        <v>0</v>
      </c>
    </row>
    <row r="10" spans="2:36">
      <c r="B10" s="117" t="s">
        <v>173</v>
      </c>
      <c r="C10" s="122"/>
      <c r="E10" s="35" t="s">
        <v>24</v>
      </c>
      <c r="F10" s="121">
        <f t="shared" si="2"/>
        <v>-0.5</v>
      </c>
      <c r="H10" s="35" t="s">
        <v>24</v>
      </c>
      <c r="I10" s="78">
        <f>MAX(I$5, $I$5/2)</f>
        <v>0.16655785964741807</v>
      </c>
      <c r="J10" s="121">
        <f t="shared" si="0"/>
        <v>0.16038905003084702</v>
      </c>
      <c r="K10" s="121">
        <f t="shared" si="0"/>
        <v>0.15422024041427598</v>
      </c>
      <c r="L10" s="121">
        <f t="shared" si="0"/>
        <v>0.14805143079770494</v>
      </c>
      <c r="M10" s="121">
        <f t="shared" si="0"/>
        <v>0.1418826211811339</v>
      </c>
      <c r="N10" s="121">
        <f t="shared" si="0"/>
        <v>0.13571381156456286</v>
      </c>
      <c r="O10" s="121">
        <f t="shared" si="0"/>
        <v>0.12954500194799182</v>
      </c>
      <c r="P10" s="121">
        <f t="shared" si="0"/>
        <v>0.12337619233142079</v>
      </c>
      <c r="Q10" s="121">
        <f t="shared" si="0"/>
        <v>0.11720738271484975</v>
      </c>
      <c r="R10" s="121">
        <f t="shared" si="0"/>
        <v>0.11103857309827871</v>
      </c>
      <c r="S10" s="121">
        <f t="shared" si="0"/>
        <v>0.10486976348170768</v>
      </c>
      <c r="T10" s="121">
        <f t="shared" si="0"/>
        <v>9.8700953865136637E-2</v>
      </c>
      <c r="U10" s="121">
        <f t="shared" si="0"/>
        <v>9.2532144248565582E-2</v>
      </c>
      <c r="V10" s="121">
        <f t="shared" si="0"/>
        <v>8.6363334631994554E-2</v>
      </c>
      <c r="W10" s="121">
        <f t="shared" si="0"/>
        <v>8.0194525015423512E-2</v>
      </c>
      <c r="X10" s="121">
        <f t="shared" si="0"/>
        <v>7.4025715398852471E-2</v>
      </c>
      <c r="Y10" s="121">
        <f t="shared" si="0"/>
        <v>6.7856905782281429E-2</v>
      </c>
      <c r="Z10" s="121">
        <f t="shared" si="1"/>
        <v>6.1688096165710395E-2</v>
      </c>
      <c r="AA10" s="121">
        <f t="shared" si="1"/>
        <v>5.5519286549139353E-2</v>
      </c>
      <c r="AB10" s="121">
        <f t="shared" si="1"/>
        <v>4.9350476932568318E-2</v>
      </c>
      <c r="AC10" s="121">
        <f t="shared" si="1"/>
        <v>4.3181667315997277E-2</v>
      </c>
      <c r="AD10" s="121">
        <f t="shared" si="1"/>
        <v>3.7012857699426235E-2</v>
      </c>
      <c r="AE10" s="121">
        <f t="shared" si="1"/>
        <v>3.0844048082855197E-2</v>
      </c>
      <c r="AF10" s="121">
        <f t="shared" si="1"/>
        <v>2.4675238466284159E-2</v>
      </c>
      <c r="AG10" s="121">
        <f t="shared" si="1"/>
        <v>1.8506428849713118E-2</v>
      </c>
      <c r="AH10" s="121">
        <f t="shared" si="1"/>
        <v>1.233761923314208E-2</v>
      </c>
      <c r="AI10" s="121">
        <f t="shared" si="1"/>
        <v>6.1688096165710398E-3</v>
      </c>
      <c r="AJ10" s="121">
        <f t="shared" si="1"/>
        <v>0</v>
      </c>
    </row>
    <row r="11" spans="2:36">
      <c r="B11" s="117" t="s">
        <v>173</v>
      </c>
      <c r="C11" s="122"/>
      <c r="E11" s="35" t="s">
        <v>25</v>
      </c>
      <c r="F11" s="121">
        <f t="shared" si="2"/>
        <v>-0.5</v>
      </c>
      <c r="H11" s="35" t="s">
        <v>25</v>
      </c>
      <c r="I11" s="78">
        <f>MAX(I$5, $I$5/2)</f>
        <v>0.16655785964741807</v>
      </c>
      <c r="J11" s="121">
        <f t="shared" si="0"/>
        <v>0.16038905003084702</v>
      </c>
      <c r="K11" s="121">
        <f t="shared" si="0"/>
        <v>0.15422024041427598</v>
      </c>
      <c r="L11" s="121">
        <f t="shared" si="0"/>
        <v>0.14805143079770494</v>
      </c>
      <c r="M11" s="121">
        <f t="shared" si="0"/>
        <v>0.1418826211811339</v>
      </c>
      <c r="N11" s="121">
        <f t="shared" si="0"/>
        <v>0.13571381156456286</v>
      </c>
      <c r="O11" s="121">
        <f t="shared" si="0"/>
        <v>0.12954500194799182</v>
      </c>
      <c r="P11" s="121">
        <f t="shared" si="0"/>
        <v>0.12337619233142079</v>
      </c>
      <c r="Q11" s="121">
        <f t="shared" si="0"/>
        <v>0.11720738271484975</v>
      </c>
      <c r="R11" s="121">
        <f t="shared" si="0"/>
        <v>0.11103857309827871</v>
      </c>
      <c r="S11" s="121">
        <f t="shared" si="0"/>
        <v>0.10486976348170768</v>
      </c>
      <c r="T11" s="121">
        <f t="shared" si="0"/>
        <v>9.8700953865136637E-2</v>
      </c>
      <c r="U11" s="121">
        <f t="shared" si="0"/>
        <v>9.2532144248565582E-2</v>
      </c>
      <c r="V11" s="121">
        <f t="shared" si="0"/>
        <v>8.6363334631994554E-2</v>
      </c>
      <c r="W11" s="121">
        <f t="shared" si="0"/>
        <v>8.0194525015423512E-2</v>
      </c>
      <c r="X11" s="121">
        <f t="shared" si="0"/>
        <v>7.4025715398852471E-2</v>
      </c>
      <c r="Y11" s="121">
        <f t="shared" si="0"/>
        <v>6.7856905782281429E-2</v>
      </c>
      <c r="Z11" s="121">
        <f t="shared" si="1"/>
        <v>6.1688096165710395E-2</v>
      </c>
      <c r="AA11" s="121">
        <f t="shared" si="1"/>
        <v>5.5519286549139353E-2</v>
      </c>
      <c r="AB11" s="121">
        <f t="shared" si="1"/>
        <v>4.9350476932568318E-2</v>
      </c>
      <c r="AC11" s="121">
        <f t="shared" si="1"/>
        <v>4.3181667315997277E-2</v>
      </c>
      <c r="AD11" s="121">
        <f t="shared" si="1"/>
        <v>3.7012857699426235E-2</v>
      </c>
      <c r="AE11" s="121">
        <f t="shared" si="1"/>
        <v>3.0844048082855197E-2</v>
      </c>
      <c r="AF11" s="121">
        <f t="shared" si="1"/>
        <v>2.4675238466284159E-2</v>
      </c>
      <c r="AG11" s="121">
        <f t="shared" si="1"/>
        <v>1.8506428849713118E-2</v>
      </c>
      <c r="AH11" s="121">
        <f t="shared" si="1"/>
        <v>1.233761923314208E-2</v>
      </c>
      <c r="AI11" s="121">
        <f t="shared" si="1"/>
        <v>6.1688096165710398E-3</v>
      </c>
      <c r="AJ11" s="121">
        <f t="shared" si="1"/>
        <v>0</v>
      </c>
    </row>
    <row r="12" spans="2:36">
      <c r="B12" s="117" t="s">
        <v>173</v>
      </c>
      <c r="C12" s="122"/>
      <c r="E12" s="117"/>
      <c r="F12" s="121"/>
      <c r="H12" s="117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</row>
    <row r="13" spans="2:36">
      <c r="B13" s="117" t="s">
        <v>173</v>
      </c>
      <c r="C13" s="122"/>
      <c r="E13" s="117"/>
      <c r="F13" s="121"/>
      <c r="H13" s="117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</row>
    <row r="14" spans="2:36">
      <c r="B14" s="117" t="s">
        <v>173</v>
      </c>
      <c r="C14" s="122"/>
      <c r="E14" s="117"/>
      <c r="F14" s="121"/>
      <c r="H14" s="117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</row>
    <row r="15" spans="2:36"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</row>
    <row r="16" spans="2:36">
      <c r="B16" s="113" t="s">
        <v>168</v>
      </c>
      <c r="E16" s="113" t="s">
        <v>267</v>
      </c>
      <c r="H16" s="113" t="s">
        <v>65</v>
      </c>
      <c r="I16" s="115">
        <v>2023</v>
      </c>
      <c r="J16" s="115">
        <v>2024</v>
      </c>
      <c r="K16" s="115">
        <v>2025</v>
      </c>
      <c r="L16" s="115">
        <v>2026</v>
      </c>
      <c r="M16" s="115">
        <v>2027</v>
      </c>
      <c r="N16" s="115">
        <v>2028</v>
      </c>
      <c r="O16" s="115">
        <v>2029</v>
      </c>
      <c r="P16" s="115">
        <v>2030</v>
      </c>
      <c r="Q16" s="115">
        <v>2031</v>
      </c>
      <c r="R16" s="115">
        <v>2032</v>
      </c>
      <c r="S16" s="115">
        <v>2033</v>
      </c>
      <c r="T16" s="115">
        <v>2034</v>
      </c>
      <c r="U16" s="115">
        <v>2035</v>
      </c>
      <c r="V16" s="115">
        <v>2036</v>
      </c>
      <c r="W16" s="115">
        <v>2037</v>
      </c>
      <c r="X16" s="115">
        <v>2038</v>
      </c>
      <c r="Y16" s="115">
        <v>2039</v>
      </c>
      <c r="Z16" s="115">
        <v>2040</v>
      </c>
      <c r="AA16" s="115">
        <v>2041</v>
      </c>
      <c r="AB16" s="115">
        <v>2042</v>
      </c>
      <c r="AC16" s="115">
        <v>2043</v>
      </c>
      <c r="AD16" s="115">
        <v>2044</v>
      </c>
      <c r="AE16" s="115">
        <v>2045</v>
      </c>
      <c r="AF16" s="115">
        <v>2046</v>
      </c>
      <c r="AG16" s="115">
        <v>2047</v>
      </c>
      <c r="AH16" s="115">
        <v>2048</v>
      </c>
      <c r="AI16" s="115">
        <v>2049</v>
      </c>
      <c r="AJ16" s="115">
        <v>2050</v>
      </c>
    </row>
    <row r="17" spans="2:36">
      <c r="B17" s="117" t="s">
        <v>8</v>
      </c>
      <c r="C17" s="124">
        <f>'4.Input data HPCL'!E5</f>
        <v>-54530.9</v>
      </c>
      <c r="E17" s="117" t="s">
        <v>8</v>
      </c>
      <c r="F17" s="119">
        <v>0.5</v>
      </c>
      <c r="H17" s="117" t="s">
        <v>8</v>
      </c>
      <c r="I17" s="125">
        <f>'4.Input data HPCL'!E23</f>
        <v>27.778375814189143</v>
      </c>
      <c r="J17" s="121">
        <f t="shared" ref="J17:AJ17" si="3">$I17*($AJ$16-J$16)/27</f>
        <v>26.749547080330284</v>
      </c>
      <c r="K17" s="121">
        <f t="shared" si="3"/>
        <v>25.720718346471429</v>
      </c>
      <c r="L17" s="121">
        <f t="shared" si="3"/>
        <v>24.69188961261257</v>
      </c>
      <c r="M17" s="121">
        <f t="shared" si="3"/>
        <v>23.663060878753715</v>
      </c>
      <c r="N17" s="121">
        <f t="shared" si="3"/>
        <v>22.634232144894856</v>
      </c>
      <c r="O17" s="121">
        <f t="shared" si="3"/>
        <v>21.605403411035997</v>
      </c>
      <c r="P17" s="121">
        <f t="shared" si="3"/>
        <v>20.576574677177145</v>
      </c>
      <c r="Q17" s="121">
        <f t="shared" si="3"/>
        <v>19.547745943318287</v>
      </c>
      <c r="R17" s="121">
        <f t="shared" si="3"/>
        <v>18.518917209459428</v>
      </c>
      <c r="S17" s="121">
        <f t="shared" si="3"/>
        <v>17.490088475600572</v>
      </c>
      <c r="T17" s="121">
        <f t="shared" si="3"/>
        <v>16.461259741741713</v>
      </c>
      <c r="U17" s="121">
        <f t="shared" si="3"/>
        <v>15.432431007882858</v>
      </c>
      <c r="V17" s="121">
        <f t="shared" si="3"/>
        <v>14.403602274024001</v>
      </c>
      <c r="W17" s="121">
        <f t="shared" si="3"/>
        <v>13.374773540165142</v>
      </c>
      <c r="X17" s="121">
        <f t="shared" si="3"/>
        <v>12.345944806306285</v>
      </c>
      <c r="Y17" s="121">
        <f t="shared" si="3"/>
        <v>11.317116072447428</v>
      </c>
      <c r="Z17" s="121">
        <f t="shared" si="3"/>
        <v>10.288287338588573</v>
      </c>
      <c r="AA17" s="121">
        <f t="shared" si="3"/>
        <v>9.2594586047297138</v>
      </c>
      <c r="AB17" s="121">
        <f t="shared" si="3"/>
        <v>8.2306298708708567</v>
      </c>
      <c r="AC17" s="121">
        <f t="shared" si="3"/>
        <v>7.2018011370120005</v>
      </c>
      <c r="AD17" s="121">
        <f t="shared" si="3"/>
        <v>6.1729724031531426</v>
      </c>
      <c r="AE17" s="121">
        <f t="shared" si="3"/>
        <v>5.1441436692942863</v>
      </c>
      <c r="AF17" s="121">
        <f t="shared" si="3"/>
        <v>4.1153149354354284</v>
      </c>
      <c r="AG17" s="121">
        <f t="shared" si="3"/>
        <v>3.0864862015765713</v>
      </c>
      <c r="AH17" s="121">
        <f t="shared" si="3"/>
        <v>2.0576574677177142</v>
      </c>
      <c r="AI17" s="121">
        <f t="shared" si="3"/>
        <v>1.0288287338588571</v>
      </c>
      <c r="AJ17" s="121">
        <f t="shared" si="3"/>
        <v>0</v>
      </c>
    </row>
    <row r="18" spans="2:36">
      <c r="B18" s="117" t="s">
        <v>173</v>
      </c>
      <c r="C18" s="122"/>
      <c r="E18" s="35" t="s">
        <v>12</v>
      </c>
      <c r="F18" s="121">
        <f>F$17</f>
        <v>0.5</v>
      </c>
      <c r="H18" s="35" t="s">
        <v>12</v>
      </c>
      <c r="I18" s="123">
        <f t="shared" ref="I18:X23" si="4">I$17</f>
        <v>27.778375814189143</v>
      </c>
      <c r="J18" s="121">
        <f t="shared" si="4"/>
        <v>26.749547080330284</v>
      </c>
      <c r="K18" s="121">
        <f t="shared" si="4"/>
        <v>25.720718346471429</v>
      </c>
      <c r="L18" s="121">
        <f t="shared" si="4"/>
        <v>24.69188961261257</v>
      </c>
      <c r="M18" s="121">
        <f t="shared" si="4"/>
        <v>23.663060878753715</v>
      </c>
      <c r="N18" s="121">
        <f t="shared" si="4"/>
        <v>22.634232144894856</v>
      </c>
      <c r="O18" s="121">
        <f t="shared" si="4"/>
        <v>21.605403411035997</v>
      </c>
      <c r="P18" s="121">
        <f t="shared" si="4"/>
        <v>20.576574677177145</v>
      </c>
      <c r="Q18" s="121">
        <f t="shared" si="4"/>
        <v>19.547745943318287</v>
      </c>
      <c r="R18" s="121">
        <f t="shared" si="4"/>
        <v>18.518917209459428</v>
      </c>
      <c r="S18" s="121">
        <f t="shared" si="4"/>
        <v>17.490088475600572</v>
      </c>
      <c r="T18" s="121">
        <f t="shared" si="4"/>
        <v>16.461259741741713</v>
      </c>
      <c r="U18" s="121">
        <f t="shared" si="4"/>
        <v>15.432431007882858</v>
      </c>
      <c r="V18" s="121">
        <f t="shared" si="4"/>
        <v>14.403602274024001</v>
      </c>
      <c r="W18" s="121">
        <f t="shared" si="4"/>
        <v>13.374773540165142</v>
      </c>
      <c r="X18" s="121">
        <f t="shared" si="4"/>
        <v>12.345944806306285</v>
      </c>
      <c r="Y18" s="121">
        <f t="shared" ref="Y18:AJ23" si="5">Y$17</f>
        <v>11.317116072447428</v>
      </c>
      <c r="Z18" s="121">
        <f t="shared" si="5"/>
        <v>10.288287338588573</v>
      </c>
      <c r="AA18" s="121">
        <f t="shared" si="5"/>
        <v>9.2594586047297138</v>
      </c>
      <c r="AB18" s="121">
        <f t="shared" si="5"/>
        <v>8.2306298708708567</v>
      </c>
      <c r="AC18" s="121">
        <f t="shared" si="5"/>
        <v>7.2018011370120005</v>
      </c>
      <c r="AD18" s="121">
        <f t="shared" si="5"/>
        <v>6.1729724031531426</v>
      </c>
      <c r="AE18" s="121">
        <f t="shared" si="5"/>
        <v>5.1441436692942863</v>
      </c>
      <c r="AF18" s="121">
        <f t="shared" si="5"/>
        <v>4.1153149354354284</v>
      </c>
      <c r="AG18" s="121">
        <f t="shared" si="5"/>
        <v>3.0864862015765713</v>
      </c>
      <c r="AH18" s="121">
        <f t="shared" si="5"/>
        <v>2.0576574677177142</v>
      </c>
      <c r="AI18" s="121">
        <f t="shared" si="5"/>
        <v>1.0288287338588571</v>
      </c>
      <c r="AJ18" s="121">
        <f t="shared" si="5"/>
        <v>0</v>
      </c>
    </row>
    <row r="19" spans="2:36">
      <c r="B19" s="117" t="s">
        <v>173</v>
      </c>
      <c r="C19" s="122"/>
      <c r="E19" s="35" t="s">
        <v>15</v>
      </c>
      <c r="F19" s="121">
        <f t="shared" ref="F19:F22" si="6">F$17</f>
        <v>0.5</v>
      </c>
      <c r="H19" s="35" t="s">
        <v>15</v>
      </c>
      <c r="I19" s="123">
        <f t="shared" si="4"/>
        <v>27.778375814189143</v>
      </c>
      <c r="J19" s="121">
        <f t="shared" si="4"/>
        <v>26.749547080330284</v>
      </c>
      <c r="K19" s="121">
        <f t="shared" si="4"/>
        <v>25.720718346471429</v>
      </c>
      <c r="L19" s="121">
        <f t="shared" si="4"/>
        <v>24.69188961261257</v>
      </c>
      <c r="M19" s="121">
        <f t="shared" si="4"/>
        <v>23.663060878753715</v>
      </c>
      <c r="N19" s="121">
        <f t="shared" si="4"/>
        <v>22.634232144894856</v>
      </c>
      <c r="O19" s="121">
        <f t="shared" si="4"/>
        <v>21.605403411035997</v>
      </c>
      <c r="P19" s="121">
        <f t="shared" si="4"/>
        <v>20.576574677177145</v>
      </c>
      <c r="Q19" s="121">
        <f t="shared" si="4"/>
        <v>19.547745943318287</v>
      </c>
      <c r="R19" s="121">
        <f t="shared" si="4"/>
        <v>18.518917209459428</v>
      </c>
      <c r="S19" s="121">
        <f t="shared" si="4"/>
        <v>17.490088475600572</v>
      </c>
      <c r="T19" s="121">
        <f t="shared" si="4"/>
        <v>16.461259741741713</v>
      </c>
      <c r="U19" s="121">
        <f t="shared" si="4"/>
        <v>15.432431007882858</v>
      </c>
      <c r="V19" s="121">
        <f t="shared" si="4"/>
        <v>14.403602274024001</v>
      </c>
      <c r="W19" s="121">
        <f t="shared" si="4"/>
        <v>13.374773540165142</v>
      </c>
      <c r="X19" s="121">
        <f t="shared" si="4"/>
        <v>12.345944806306285</v>
      </c>
      <c r="Y19" s="121">
        <f t="shared" si="5"/>
        <v>11.317116072447428</v>
      </c>
      <c r="Z19" s="121">
        <f t="shared" si="5"/>
        <v>10.288287338588573</v>
      </c>
      <c r="AA19" s="121">
        <f t="shared" si="5"/>
        <v>9.2594586047297138</v>
      </c>
      <c r="AB19" s="121">
        <f t="shared" si="5"/>
        <v>8.2306298708708567</v>
      </c>
      <c r="AC19" s="121">
        <f t="shared" si="5"/>
        <v>7.2018011370120005</v>
      </c>
      <c r="AD19" s="121">
        <f t="shared" si="5"/>
        <v>6.1729724031531426</v>
      </c>
      <c r="AE19" s="121">
        <f t="shared" si="5"/>
        <v>5.1441436692942863</v>
      </c>
      <c r="AF19" s="121">
        <f t="shared" si="5"/>
        <v>4.1153149354354284</v>
      </c>
      <c r="AG19" s="121">
        <f t="shared" si="5"/>
        <v>3.0864862015765713</v>
      </c>
      <c r="AH19" s="121">
        <f t="shared" si="5"/>
        <v>2.0576574677177142</v>
      </c>
      <c r="AI19" s="121">
        <f t="shared" si="5"/>
        <v>1.0288287338588571</v>
      </c>
      <c r="AJ19" s="121">
        <f t="shared" si="5"/>
        <v>0</v>
      </c>
    </row>
    <row r="20" spans="2:36">
      <c r="B20" s="117" t="s">
        <v>173</v>
      </c>
      <c r="C20" s="122"/>
      <c r="E20" s="35" t="s">
        <v>19</v>
      </c>
      <c r="F20" s="121">
        <f t="shared" si="6"/>
        <v>0.5</v>
      </c>
      <c r="H20" s="35" t="s">
        <v>19</v>
      </c>
      <c r="I20" s="123">
        <f t="shared" si="4"/>
        <v>27.778375814189143</v>
      </c>
      <c r="J20" s="121">
        <f t="shared" si="4"/>
        <v>26.749547080330284</v>
      </c>
      <c r="K20" s="121">
        <f t="shared" si="4"/>
        <v>25.720718346471429</v>
      </c>
      <c r="L20" s="121">
        <f t="shared" si="4"/>
        <v>24.69188961261257</v>
      </c>
      <c r="M20" s="121">
        <f t="shared" si="4"/>
        <v>23.663060878753715</v>
      </c>
      <c r="N20" s="121">
        <f t="shared" si="4"/>
        <v>22.634232144894856</v>
      </c>
      <c r="O20" s="121">
        <f t="shared" si="4"/>
        <v>21.605403411035997</v>
      </c>
      <c r="P20" s="121">
        <f t="shared" si="4"/>
        <v>20.576574677177145</v>
      </c>
      <c r="Q20" s="121">
        <f t="shared" si="4"/>
        <v>19.547745943318287</v>
      </c>
      <c r="R20" s="121">
        <f t="shared" si="4"/>
        <v>18.518917209459428</v>
      </c>
      <c r="S20" s="121">
        <f t="shared" si="4"/>
        <v>17.490088475600572</v>
      </c>
      <c r="T20" s="121">
        <f t="shared" si="4"/>
        <v>16.461259741741713</v>
      </c>
      <c r="U20" s="121">
        <f t="shared" si="4"/>
        <v>15.432431007882858</v>
      </c>
      <c r="V20" s="121">
        <f t="shared" si="4"/>
        <v>14.403602274024001</v>
      </c>
      <c r="W20" s="121">
        <f t="shared" si="4"/>
        <v>13.374773540165142</v>
      </c>
      <c r="X20" s="121">
        <f t="shared" si="4"/>
        <v>12.345944806306285</v>
      </c>
      <c r="Y20" s="121">
        <f t="shared" si="5"/>
        <v>11.317116072447428</v>
      </c>
      <c r="Z20" s="121">
        <f t="shared" si="5"/>
        <v>10.288287338588573</v>
      </c>
      <c r="AA20" s="121">
        <f t="shared" si="5"/>
        <v>9.2594586047297138</v>
      </c>
      <c r="AB20" s="121">
        <f t="shared" si="5"/>
        <v>8.2306298708708567</v>
      </c>
      <c r="AC20" s="121">
        <f t="shared" si="5"/>
        <v>7.2018011370120005</v>
      </c>
      <c r="AD20" s="121">
        <f t="shared" si="5"/>
        <v>6.1729724031531426</v>
      </c>
      <c r="AE20" s="121">
        <f t="shared" si="5"/>
        <v>5.1441436692942863</v>
      </c>
      <c r="AF20" s="121">
        <f t="shared" si="5"/>
        <v>4.1153149354354284</v>
      </c>
      <c r="AG20" s="121">
        <f t="shared" si="5"/>
        <v>3.0864862015765713</v>
      </c>
      <c r="AH20" s="121">
        <f t="shared" si="5"/>
        <v>2.0576574677177142</v>
      </c>
      <c r="AI20" s="121">
        <f t="shared" si="5"/>
        <v>1.0288287338588571</v>
      </c>
      <c r="AJ20" s="121">
        <f t="shared" si="5"/>
        <v>0</v>
      </c>
    </row>
    <row r="21" spans="2:36">
      <c r="B21" s="117" t="s">
        <v>173</v>
      </c>
      <c r="C21" s="122"/>
      <c r="E21" s="35" t="s">
        <v>22</v>
      </c>
      <c r="F21" s="121">
        <f t="shared" si="6"/>
        <v>0.5</v>
      </c>
      <c r="H21" s="35" t="s">
        <v>22</v>
      </c>
      <c r="I21" s="123">
        <f t="shared" si="4"/>
        <v>27.778375814189143</v>
      </c>
      <c r="J21" s="121">
        <f t="shared" si="4"/>
        <v>26.749547080330284</v>
      </c>
      <c r="K21" s="121">
        <f t="shared" si="4"/>
        <v>25.720718346471429</v>
      </c>
      <c r="L21" s="121">
        <f t="shared" si="4"/>
        <v>24.69188961261257</v>
      </c>
      <c r="M21" s="121">
        <f t="shared" si="4"/>
        <v>23.663060878753715</v>
      </c>
      <c r="N21" s="121">
        <f t="shared" si="4"/>
        <v>22.634232144894856</v>
      </c>
      <c r="O21" s="121">
        <f t="shared" si="4"/>
        <v>21.605403411035997</v>
      </c>
      <c r="P21" s="121">
        <f t="shared" si="4"/>
        <v>20.576574677177145</v>
      </c>
      <c r="Q21" s="121">
        <f t="shared" si="4"/>
        <v>19.547745943318287</v>
      </c>
      <c r="R21" s="121">
        <f t="shared" si="4"/>
        <v>18.518917209459428</v>
      </c>
      <c r="S21" s="121">
        <f t="shared" si="4"/>
        <v>17.490088475600572</v>
      </c>
      <c r="T21" s="121">
        <f t="shared" si="4"/>
        <v>16.461259741741713</v>
      </c>
      <c r="U21" s="121">
        <f t="shared" si="4"/>
        <v>15.432431007882858</v>
      </c>
      <c r="V21" s="121">
        <f t="shared" si="4"/>
        <v>14.403602274024001</v>
      </c>
      <c r="W21" s="121">
        <f t="shared" si="4"/>
        <v>13.374773540165142</v>
      </c>
      <c r="X21" s="121">
        <f t="shared" si="4"/>
        <v>12.345944806306285</v>
      </c>
      <c r="Y21" s="121">
        <f t="shared" si="5"/>
        <v>11.317116072447428</v>
      </c>
      <c r="Z21" s="121">
        <f t="shared" si="5"/>
        <v>10.288287338588573</v>
      </c>
      <c r="AA21" s="121">
        <f t="shared" si="5"/>
        <v>9.2594586047297138</v>
      </c>
      <c r="AB21" s="121">
        <f t="shared" si="5"/>
        <v>8.2306298708708567</v>
      </c>
      <c r="AC21" s="121">
        <f t="shared" si="5"/>
        <v>7.2018011370120005</v>
      </c>
      <c r="AD21" s="121">
        <f t="shared" si="5"/>
        <v>6.1729724031531426</v>
      </c>
      <c r="AE21" s="121">
        <f t="shared" si="5"/>
        <v>5.1441436692942863</v>
      </c>
      <c r="AF21" s="121">
        <f t="shared" si="5"/>
        <v>4.1153149354354284</v>
      </c>
      <c r="AG21" s="121">
        <f t="shared" si="5"/>
        <v>3.0864862015765713</v>
      </c>
      <c r="AH21" s="121">
        <f t="shared" si="5"/>
        <v>2.0576574677177142</v>
      </c>
      <c r="AI21" s="121">
        <f t="shared" si="5"/>
        <v>1.0288287338588571</v>
      </c>
      <c r="AJ21" s="121">
        <f t="shared" si="5"/>
        <v>0</v>
      </c>
    </row>
    <row r="22" spans="2:36">
      <c r="B22" s="117" t="s">
        <v>173</v>
      </c>
      <c r="C22" s="122"/>
      <c r="E22" s="35" t="s">
        <v>24</v>
      </c>
      <c r="F22" s="121">
        <f t="shared" si="6"/>
        <v>0.5</v>
      </c>
      <c r="H22" s="35" t="s">
        <v>24</v>
      </c>
      <c r="I22" s="123">
        <f t="shared" si="4"/>
        <v>27.778375814189143</v>
      </c>
      <c r="J22" s="121">
        <f t="shared" si="4"/>
        <v>26.749547080330284</v>
      </c>
      <c r="K22" s="121">
        <f t="shared" si="4"/>
        <v>25.720718346471429</v>
      </c>
      <c r="L22" s="121">
        <f t="shared" si="4"/>
        <v>24.69188961261257</v>
      </c>
      <c r="M22" s="121">
        <f t="shared" si="4"/>
        <v>23.663060878753715</v>
      </c>
      <c r="N22" s="121">
        <f t="shared" si="4"/>
        <v>22.634232144894856</v>
      </c>
      <c r="O22" s="121">
        <f t="shared" si="4"/>
        <v>21.605403411035997</v>
      </c>
      <c r="P22" s="121">
        <f t="shared" si="4"/>
        <v>20.576574677177145</v>
      </c>
      <c r="Q22" s="121">
        <f t="shared" si="4"/>
        <v>19.547745943318287</v>
      </c>
      <c r="R22" s="121">
        <f t="shared" si="4"/>
        <v>18.518917209459428</v>
      </c>
      <c r="S22" s="121">
        <f t="shared" si="4"/>
        <v>17.490088475600572</v>
      </c>
      <c r="T22" s="121">
        <f t="shared" si="4"/>
        <v>16.461259741741713</v>
      </c>
      <c r="U22" s="121">
        <f t="shared" si="4"/>
        <v>15.432431007882858</v>
      </c>
      <c r="V22" s="121">
        <f t="shared" si="4"/>
        <v>14.403602274024001</v>
      </c>
      <c r="W22" s="121">
        <f t="shared" si="4"/>
        <v>13.374773540165142</v>
      </c>
      <c r="X22" s="121">
        <f t="shared" si="4"/>
        <v>12.345944806306285</v>
      </c>
      <c r="Y22" s="121">
        <f t="shared" si="5"/>
        <v>11.317116072447428</v>
      </c>
      <c r="Z22" s="121">
        <f t="shared" si="5"/>
        <v>10.288287338588573</v>
      </c>
      <c r="AA22" s="121">
        <f t="shared" si="5"/>
        <v>9.2594586047297138</v>
      </c>
      <c r="AB22" s="121">
        <f t="shared" si="5"/>
        <v>8.2306298708708567</v>
      </c>
      <c r="AC22" s="121">
        <f t="shared" si="5"/>
        <v>7.2018011370120005</v>
      </c>
      <c r="AD22" s="121">
        <f t="shared" si="5"/>
        <v>6.1729724031531426</v>
      </c>
      <c r="AE22" s="121">
        <f t="shared" si="5"/>
        <v>5.1441436692942863</v>
      </c>
      <c r="AF22" s="121">
        <f t="shared" si="5"/>
        <v>4.1153149354354284</v>
      </c>
      <c r="AG22" s="121">
        <f t="shared" si="5"/>
        <v>3.0864862015765713</v>
      </c>
      <c r="AH22" s="121">
        <f t="shared" si="5"/>
        <v>2.0576574677177142</v>
      </c>
      <c r="AI22" s="121">
        <f t="shared" si="5"/>
        <v>1.0288287338588571</v>
      </c>
      <c r="AJ22" s="121">
        <f t="shared" si="5"/>
        <v>0</v>
      </c>
    </row>
    <row r="23" spans="2:36">
      <c r="B23" s="117" t="s">
        <v>173</v>
      </c>
      <c r="C23" s="122"/>
      <c r="E23" s="35" t="s">
        <v>25</v>
      </c>
      <c r="F23" s="121">
        <f>F$17</f>
        <v>0.5</v>
      </c>
      <c r="H23" s="35" t="s">
        <v>25</v>
      </c>
      <c r="I23" s="123">
        <f t="shared" si="4"/>
        <v>27.778375814189143</v>
      </c>
      <c r="J23" s="121">
        <f t="shared" si="4"/>
        <v>26.749547080330284</v>
      </c>
      <c r="K23" s="121">
        <f t="shared" si="4"/>
        <v>25.720718346471429</v>
      </c>
      <c r="L23" s="121">
        <f t="shared" si="4"/>
        <v>24.69188961261257</v>
      </c>
      <c r="M23" s="121">
        <f t="shared" si="4"/>
        <v>23.663060878753715</v>
      </c>
      <c r="N23" s="121">
        <f t="shared" si="4"/>
        <v>22.634232144894856</v>
      </c>
      <c r="O23" s="121">
        <f t="shared" si="4"/>
        <v>21.605403411035997</v>
      </c>
      <c r="P23" s="121">
        <f t="shared" si="4"/>
        <v>20.576574677177145</v>
      </c>
      <c r="Q23" s="121">
        <f t="shared" si="4"/>
        <v>19.547745943318287</v>
      </c>
      <c r="R23" s="121">
        <f t="shared" si="4"/>
        <v>18.518917209459428</v>
      </c>
      <c r="S23" s="121">
        <f t="shared" si="4"/>
        <v>17.490088475600572</v>
      </c>
      <c r="T23" s="121">
        <f t="shared" si="4"/>
        <v>16.461259741741713</v>
      </c>
      <c r="U23" s="121">
        <f t="shared" si="4"/>
        <v>15.432431007882858</v>
      </c>
      <c r="V23" s="121">
        <f t="shared" si="4"/>
        <v>14.403602274024001</v>
      </c>
      <c r="W23" s="121">
        <f t="shared" si="4"/>
        <v>13.374773540165142</v>
      </c>
      <c r="X23" s="121">
        <f t="shared" si="4"/>
        <v>12.345944806306285</v>
      </c>
      <c r="Y23" s="121">
        <f t="shared" si="5"/>
        <v>11.317116072447428</v>
      </c>
      <c r="Z23" s="121">
        <f t="shared" si="5"/>
        <v>10.288287338588573</v>
      </c>
      <c r="AA23" s="121">
        <f t="shared" si="5"/>
        <v>9.2594586047297138</v>
      </c>
      <c r="AB23" s="121">
        <f t="shared" si="5"/>
        <v>8.2306298708708567</v>
      </c>
      <c r="AC23" s="121">
        <f t="shared" si="5"/>
        <v>7.2018011370120005</v>
      </c>
      <c r="AD23" s="121">
        <f t="shared" si="5"/>
        <v>6.1729724031531426</v>
      </c>
      <c r="AE23" s="121">
        <f t="shared" si="5"/>
        <v>5.1441436692942863</v>
      </c>
      <c r="AF23" s="121">
        <f t="shared" si="5"/>
        <v>4.1153149354354284</v>
      </c>
      <c r="AG23" s="121">
        <f t="shared" si="5"/>
        <v>3.0864862015765713</v>
      </c>
      <c r="AH23" s="121">
        <f t="shared" si="5"/>
        <v>2.0576574677177142</v>
      </c>
      <c r="AI23" s="121">
        <f t="shared" si="5"/>
        <v>1.0288287338588571</v>
      </c>
      <c r="AJ23" s="121">
        <f t="shared" si="5"/>
        <v>0</v>
      </c>
    </row>
    <row r="24" spans="2:36">
      <c r="B24" s="117" t="s">
        <v>173</v>
      </c>
      <c r="C24" s="122"/>
      <c r="E24" s="117"/>
      <c r="F24" s="121"/>
      <c r="H24" s="126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</row>
    <row r="25" spans="2:36">
      <c r="B25" s="117" t="s">
        <v>173</v>
      </c>
      <c r="C25" s="122"/>
      <c r="E25" s="117"/>
      <c r="F25" s="121"/>
      <c r="H25" s="117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</row>
    <row r="26" spans="2:36">
      <c r="B26" s="117" t="s">
        <v>173</v>
      </c>
      <c r="C26" s="122"/>
      <c r="E26" s="117"/>
      <c r="F26" s="121"/>
      <c r="H26" s="117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</row>
    <row r="28" spans="2:36">
      <c r="B28" s="113" t="s">
        <v>167</v>
      </c>
      <c r="E28" s="113" t="s">
        <v>268</v>
      </c>
      <c r="H28" s="113" t="s">
        <v>66</v>
      </c>
      <c r="I28" s="115">
        <v>2023</v>
      </c>
      <c r="J28" s="115">
        <v>2024</v>
      </c>
      <c r="K28" s="115">
        <v>2025</v>
      </c>
      <c r="L28" s="115">
        <v>2026</v>
      </c>
      <c r="M28" s="115">
        <v>2027</v>
      </c>
      <c r="N28" s="115">
        <v>2028</v>
      </c>
      <c r="O28" s="115">
        <v>2029</v>
      </c>
      <c r="P28" s="115">
        <v>2030</v>
      </c>
      <c r="Q28" s="115">
        <v>2031</v>
      </c>
      <c r="R28" s="115">
        <v>2032</v>
      </c>
      <c r="S28" s="115">
        <v>2033</v>
      </c>
      <c r="T28" s="115">
        <v>2034</v>
      </c>
      <c r="U28" s="115">
        <v>2035</v>
      </c>
      <c r="V28" s="115">
        <v>2036</v>
      </c>
      <c r="W28" s="115">
        <v>2037</v>
      </c>
      <c r="X28" s="115">
        <v>2038</v>
      </c>
      <c r="Y28" s="115">
        <v>2039</v>
      </c>
      <c r="Z28" s="115">
        <v>2040</v>
      </c>
      <c r="AA28" s="115">
        <v>2041</v>
      </c>
      <c r="AB28" s="115">
        <v>2042</v>
      </c>
      <c r="AC28" s="115">
        <v>2043</v>
      </c>
      <c r="AD28" s="115">
        <v>2044</v>
      </c>
      <c r="AE28" s="115">
        <v>2045</v>
      </c>
      <c r="AF28" s="115">
        <v>2046</v>
      </c>
      <c r="AG28" s="115">
        <v>2047</v>
      </c>
      <c r="AH28" s="115">
        <v>2048</v>
      </c>
      <c r="AI28" s="115">
        <v>2049</v>
      </c>
      <c r="AJ28" s="115">
        <v>2050</v>
      </c>
    </row>
    <row r="29" spans="2:36">
      <c r="B29" s="117" t="s">
        <v>8</v>
      </c>
      <c r="C29" s="124">
        <f>'4.Input data HPCL'!E6</f>
        <v>-97830.6</v>
      </c>
      <c r="E29" s="117" t="s">
        <v>8</v>
      </c>
      <c r="F29" s="121">
        <v>0.5</v>
      </c>
      <c r="H29" s="117" t="s">
        <v>8</v>
      </c>
      <c r="I29" s="124">
        <f>'4.Input data HPCL'!D22</f>
        <v>0.16655785964741807</v>
      </c>
      <c r="J29" s="121">
        <f t="shared" ref="J29:AJ29" si="7">$I29*($AJ$4-J$4)/27</f>
        <v>0.16038905003084702</v>
      </c>
      <c r="K29" s="121">
        <f t="shared" si="7"/>
        <v>0.15422024041427598</v>
      </c>
      <c r="L29" s="121">
        <f t="shared" si="7"/>
        <v>0.14805143079770494</v>
      </c>
      <c r="M29" s="121">
        <f t="shared" si="7"/>
        <v>0.1418826211811339</v>
      </c>
      <c r="N29" s="121">
        <f t="shared" si="7"/>
        <v>0.13571381156456286</v>
      </c>
      <c r="O29" s="121">
        <f t="shared" si="7"/>
        <v>0.12954500194799182</v>
      </c>
      <c r="P29" s="121">
        <f t="shared" si="7"/>
        <v>0.12337619233142079</v>
      </c>
      <c r="Q29" s="121">
        <f t="shared" si="7"/>
        <v>0.11720738271484975</v>
      </c>
      <c r="R29" s="121">
        <f t="shared" si="7"/>
        <v>0.11103857309827871</v>
      </c>
      <c r="S29" s="121">
        <f t="shared" si="7"/>
        <v>0.10486976348170768</v>
      </c>
      <c r="T29" s="121">
        <f t="shared" si="7"/>
        <v>9.8700953865136637E-2</v>
      </c>
      <c r="U29" s="121">
        <f t="shared" si="7"/>
        <v>9.2532144248565582E-2</v>
      </c>
      <c r="V29" s="121">
        <f t="shared" si="7"/>
        <v>8.6363334631994554E-2</v>
      </c>
      <c r="W29" s="121">
        <f t="shared" si="7"/>
        <v>8.0194525015423512E-2</v>
      </c>
      <c r="X29" s="121">
        <f t="shared" si="7"/>
        <v>7.4025715398852471E-2</v>
      </c>
      <c r="Y29" s="121">
        <f t="shared" si="7"/>
        <v>6.7856905782281429E-2</v>
      </c>
      <c r="Z29" s="121">
        <f t="shared" si="7"/>
        <v>6.1688096165710395E-2</v>
      </c>
      <c r="AA29" s="121">
        <f t="shared" si="7"/>
        <v>5.5519286549139353E-2</v>
      </c>
      <c r="AB29" s="121">
        <f t="shared" si="7"/>
        <v>4.9350476932568318E-2</v>
      </c>
      <c r="AC29" s="121">
        <f t="shared" si="7"/>
        <v>4.3181667315997277E-2</v>
      </c>
      <c r="AD29" s="121">
        <f t="shared" si="7"/>
        <v>3.7012857699426235E-2</v>
      </c>
      <c r="AE29" s="121">
        <f t="shared" si="7"/>
        <v>3.0844048082855197E-2</v>
      </c>
      <c r="AF29" s="121">
        <f t="shared" si="7"/>
        <v>2.4675238466284159E-2</v>
      </c>
      <c r="AG29" s="121">
        <f t="shared" si="7"/>
        <v>1.8506428849713118E-2</v>
      </c>
      <c r="AH29" s="121">
        <f t="shared" si="7"/>
        <v>1.233761923314208E-2</v>
      </c>
      <c r="AI29" s="121">
        <f t="shared" si="7"/>
        <v>6.1688096165710398E-3</v>
      </c>
      <c r="AJ29" s="121">
        <f t="shared" si="7"/>
        <v>0</v>
      </c>
    </row>
    <row r="30" spans="2:36">
      <c r="B30" s="117" t="s">
        <v>173</v>
      </c>
      <c r="C30" s="122"/>
      <c r="E30" s="35" t="s">
        <v>12</v>
      </c>
      <c r="F30" s="121">
        <f>F$29</f>
        <v>0.5</v>
      </c>
      <c r="H30" s="35" t="s">
        <v>12</v>
      </c>
      <c r="I30" s="121">
        <f t="shared" ref="I30:X35" si="8">I$29</f>
        <v>0.16655785964741807</v>
      </c>
      <c r="J30" s="121">
        <f t="shared" si="8"/>
        <v>0.16038905003084702</v>
      </c>
      <c r="K30" s="121">
        <f t="shared" si="8"/>
        <v>0.15422024041427598</v>
      </c>
      <c r="L30" s="121">
        <f t="shared" si="8"/>
        <v>0.14805143079770494</v>
      </c>
      <c r="M30" s="121">
        <f t="shared" si="8"/>
        <v>0.1418826211811339</v>
      </c>
      <c r="N30" s="121">
        <f t="shared" si="8"/>
        <v>0.13571381156456286</v>
      </c>
      <c r="O30" s="121">
        <f t="shared" si="8"/>
        <v>0.12954500194799182</v>
      </c>
      <c r="P30" s="121">
        <f t="shared" si="8"/>
        <v>0.12337619233142079</v>
      </c>
      <c r="Q30" s="121">
        <f t="shared" si="8"/>
        <v>0.11720738271484975</v>
      </c>
      <c r="R30" s="121">
        <f t="shared" si="8"/>
        <v>0.11103857309827871</v>
      </c>
      <c r="S30" s="121">
        <f t="shared" si="8"/>
        <v>0.10486976348170768</v>
      </c>
      <c r="T30" s="121">
        <f t="shared" si="8"/>
        <v>9.8700953865136637E-2</v>
      </c>
      <c r="U30" s="121">
        <f t="shared" si="8"/>
        <v>9.2532144248565582E-2</v>
      </c>
      <c r="V30" s="121">
        <f t="shared" si="8"/>
        <v>8.6363334631994554E-2</v>
      </c>
      <c r="W30" s="121">
        <f t="shared" si="8"/>
        <v>8.0194525015423512E-2</v>
      </c>
      <c r="X30" s="121">
        <f t="shared" si="8"/>
        <v>7.4025715398852471E-2</v>
      </c>
      <c r="Y30" s="121">
        <f t="shared" ref="Y30:AJ35" si="9">Y$29</f>
        <v>6.7856905782281429E-2</v>
      </c>
      <c r="Z30" s="121">
        <f t="shared" si="9"/>
        <v>6.1688096165710395E-2</v>
      </c>
      <c r="AA30" s="121">
        <f t="shared" si="9"/>
        <v>5.5519286549139353E-2</v>
      </c>
      <c r="AB30" s="121">
        <f t="shared" si="9"/>
        <v>4.9350476932568318E-2</v>
      </c>
      <c r="AC30" s="121">
        <f t="shared" si="9"/>
        <v>4.3181667315997277E-2</v>
      </c>
      <c r="AD30" s="121">
        <f t="shared" si="9"/>
        <v>3.7012857699426235E-2</v>
      </c>
      <c r="AE30" s="121">
        <f t="shared" si="9"/>
        <v>3.0844048082855197E-2</v>
      </c>
      <c r="AF30" s="121">
        <f t="shared" si="9"/>
        <v>2.4675238466284159E-2</v>
      </c>
      <c r="AG30" s="121">
        <f t="shared" si="9"/>
        <v>1.8506428849713118E-2</v>
      </c>
      <c r="AH30" s="121">
        <f t="shared" si="9"/>
        <v>1.233761923314208E-2</v>
      </c>
      <c r="AI30" s="121">
        <f t="shared" si="9"/>
        <v>6.1688096165710398E-3</v>
      </c>
      <c r="AJ30" s="121">
        <f t="shared" si="9"/>
        <v>0</v>
      </c>
    </row>
    <row r="31" spans="2:36">
      <c r="B31" s="117" t="s">
        <v>173</v>
      </c>
      <c r="C31" s="122"/>
      <c r="E31" s="35" t="s">
        <v>15</v>
      </c>
      <c r="F31" s="121">
        <f t="shared" ref="F31:F35" si="10">F$29</f>
        <v>0.5</v>
      </c>
      <c r="H31" s="35" t="s">
        <v>15</v>
      </c>
      <c r="I31" s="121">
        <f t="shared" si="8"/>
        <v>0.16655785964741807</v>
      </c>
      <c r="J31" s="121">
        <f t="shared" si="8"/>
        <v>0.16038905003084702</v>
      </c>
      <c r="K31" s="121">
        <f t="shared" si="8"/>
        <v>0.15422024041427598</v>
      </c>
      <c r="L31" s="121">
        <f t="shared" si="8"/>
        <v>0.14805143079770494</v>
      </c>
      <c r="M31" s="121">
        <f t="shared" si="8"/>
        <v>0.1418826211811339</v>
      </c>
      <c r="N31" s="121">
        <f t="shared" si="8"/>
        <v>0.13571381156456286</v>
      </c>
      <c r="O31" s="121">
        <f t="shared" si="8"/>
        <v>0.12954500194799182</v>
      </c>
      <c r="P31" s="121">
        <f t="shared" si="8"/>
        <v>0.12337619233142079</v>
      </c>
      <c r="Q31" s="121">
        <f t="shared" si="8"/>
        <v>0.11720738271484975</v>
      </c>
      <c r="R31" s="121">
        <f t="shared" si="8"/>
        <v>0.11103857309827871</v>
      </c>
      <c r="S31" s="121">
        <f t="shared" si="8"/>
        <v>0.10486976348170768</v>
      </c>
      <c r="T31" s="121">
        <f t="shared" si="8"/>
        <v>9.8700953865136637E-2</v>
      </c>
      <c r="U31" s="121">
        <f t="shared" si="8"/>
        <v>9.2532144248565582E-2</v>
      </c>
      <c r="V31" s="121">
        <f t="shared" si="8"/>
        <v>8.6363334631994554E-2</v>
      </c>
      <c r="W31" s="121">
        <f t="shared" si="8"/>
        <v>8.0194525015423512E-2</v>
      </c>
      <c r="X31" s="121">
        <f t="shared" si="8"/>
        <v>7.4025715398852471E-2</v>
      </c>
      <c r="Y31" s="121">
        <f t="shared" si="9"/>
        <v>6.7856905782281429E-2</v>
      </c>
      <c r="Z31" s="121">
        <f t="shared" si="9"/>
        <v>6.1688096165710395E-2</v>
      </c>
      <c r="AA31" s="121">
        <f t="shared" si="9"/>
        <v>5.5519286549139353E-2</v>
      </c>
      <c r="AB31" s="121">
        <f t="shared" si="9"/>
        <v>4.9350476932568318E-2</v>
      </c>
      <c r="AC31" s="121">
        <f t="shared" si="9"/>
        <v>4.3181667315997277E-2</v>
      </c>
      <c r="AD31" s="121">
        <f t="shared" si="9"/>
        <v>3.7012857699426235E-2</v>
      </c>
      <c r="AE31" s="121">
        <f t="shared" si="9"/>
        <v>3.0844048082855197E-2</v>
      </c>
      <c r="AF31" s="121">
        <f t="shared" si="9"/>
        <v>2.4675238466284159E-2</v>
      </c>
      <c r="AG31" s="121">
        <f t="shared" si="9"/>
        <v>1.8506428849713118E-2</v>
      </c>
      <c r="AH31" s="121">
        <f t="shared" si="9"/>
        <v>1.233761923314208E-2</v>
      </c>
      <c r="AI31" s="121">
        <f t="shared" si="9"/>
        <v>6.1688096165710398E-3</v>
      </c>
      <c r="AJ31" s="121">
        <f t="shared" si="9"/>
        <v>0</v>
      </c>
    </row>
    <row r="32" spans="2:36">
      <c r="B32" s="117" t="s">
        <v>173</v>
      </c>
      <c r="C32" s="122"/>
      <c r="E32" s="35" t="s">
        <v>19</v>
      </c>
      <c r="F32" s="121">
        <f t="shared" si="10"/>
        <v>0.5</v>
      </c>
      <c r="H32" s="35" t="s">
        <v>19</v>
      </c>
      <c r="I32" s="121">
        <f t="shared" si="8"/>
        <v>0.16655785964741807</v>
      </c>
      <c r="J32" s="121">
        <f t="shared" si="8"/>
        <v>0.16038905003084702</v>
      </c>
      <c r="K32" s="121">
        <f t="shared" si="8"/>
        <v>0.15422024041427598</v>
      </c>
      <c r="L32" s="121">
        <f t="shared" si="8"/>
        <v>0.14805143079770494</v>
      </c>
      <c r="M32" s="121">
        <f t="shared" si="8"/>
        <v>0.1418826211811339</v>
      </c>
      <c r="N32" s="121">
        <f t="shared" si="8"/>
        <v>0.13571381156456286</v>
      </c>
      <c r="O32" s="121">
        <f t="shared" si="8"/>
        <v>0.12954500194799182</v>
      </c>
      <c r="P32" s="121">
        <f t="shared" si="8"/>
        <v>0.12337619233142079</v>
      </c>
      <c r="Q32" s="121">
        <f t="shared" si="8"/>
        <v>0.11720738271484975</v>
      </c>
      <c r="R32" s="121">
        <f t="shared" si="8"/>
        <v>0.11103857309827871</v>
      </c>
      <c r="S32" s="121">
        <f t="shared" si="8"/>
        <v>0.10486976348170768</v>
      </c>
      <c r="T32" s="121">
        <f t="shared" si="8"/>
        <v>9.8700953865136637E-2</v>
      </c>
      <c r="U32" s="121">
        <f t="shared" si="8"/>
        <v>9.2532144248565582E-2</v>
      </c>
      <c r="V32" s="121">
        <f t="shared" si="8"/>
        <v>8.6363334631994554E-2</v>
      </c>
      <c r="W32" s="121">
        <f t="shared" si="8"/>
        <v>8.0194525015423512E-2</v>
      </c>
      <c r="X32" s="121">
        <f t="shared" si="8"/>
        <v>7.4025715398852471E-2</v>
      </c>
      <c r="Y32" s="121">
        <f t="shared" si="9"/>
        <v>6.7856905782281429E-2</v>
      </c>
      <c r="Z32" s="121">
        <f t="shared" si="9"/>
        <v>6.1688096165710395E-2</v>
      </c>
      <c r="AA32" s="121">
        <f t="shared" si="9"/>
        <v>5.5519286549139353E-2</v>
      </c>
      <c r="AB32" s="121">
        <f t="shared" si="9"/>
        <v>4.9350476932568318E-2</v>
      </c>
      <c r="AC32" s="121">
        <f t="shared" si="9"/>
        <v>4.3181667315997277E-2</v>
      </c>
      <c r="AD32" s="121">
        <f t="shared" si="9"/>
        <v>3.7012857699426235E-2</v>
      </c>
      <c r="AE32" s="121">
        <f t="shared" si="9"/>
        <v>3.0844048082855197E-2</v>
      </c>
      <c r="AF32" s="121">
        <f t="shared" si="9"/>
        <v>2.4675238466284159E-2</v>
      </c>
      <c r="AG32" s="121">
        <f t="shared" si="9"/>
        <v>1.8506428849713118E-2</v>
      </c>
      <c r="AH32" s="121">
        <f t="shared" si="9"/>
        <v>1.233761923314208E-2</v>
      </c>
      <c r="AI32" s="121">
        <f t="shared" si="9"/>
        <v>6.1688096165710398E-3</v>
      </c>
      <c r="AJ32" s="121">
        <f t="shared" si="9"/>
        <v>0</v>
      </c>
    </row>
    <row r="33" spans="1:36">
      <c r="B33" s="117" t="s">
        <v>173</v>
      </c>
      <c r="C33" s="122"/>
      <c r="E33" s="35" t="s">
        <v>22</v>
      </c>
      <c r="F33" s="121">
        <f t="shared" si="10"/>
        <v>0.5</v>
      </c>
      <c r="H33" s="35" t="s">
        <v>22</v>
      </c>
      <c r="I33" s="121">
        <f t="shared" si="8"/>
        <v>0.16655785964741807</v>
      </c>
      <c r="J33" s="121">
        <f t="shared" si="8"/>
        <v>0.16038905003084702</v>
      </c>
      <c r="K33" s="121">
        <f t="shared" si="8"/>
        <v>0.15422024041427598</v>
      </c>
      <c r="L33" s="121">
        <f t="shared" si="8"/>
        <v>0.14805143079770494</v>
      </c>
      <c r="M33" s="121">
        <f t="shared" si="8"/>
        <v>0.1418826211811339</v>
      </c>
      <c r="N33" s="121">
        <f t="shared" si="8"/>
        <v>0.13571381156456286</v>
      </c>
      <c r="O33" s="121">
        <f t="shared" si="8"/>
        <v>0.12954500194799182</v>
      </c>
      <c r="P33" s="121">
        <f t="shared" si="8"/>
        <v>0.12337619233142079</v>
      </c>
      <c r="Q33" s="121">
        <f t="shared" si="8"/>
        <v>0.11720738271484975</v>
      </c>
      <c r="R33" s="121">
        <f t="shared" si="8"/>
        <v>0.11103857309827871</v>
      </c>
      <c r="S33" s="121">
        <f t="shared" si="8"/>
        <v>0.10486976348170768</v>
      </c>
      <c r="T33" s="121">
        <f t="shared" si="8"/>
        <v>9.8700953865136637E-2</v>
      </c>
      <c r="U33" s="121">
        <f t="shared" si="8"/>
        <v>9.2532144248565582E-2</v>
      </c>
      <c r="V33" s="121">
        <f t="shared" si="8"/>
        <v>8.6363334631994554E-2</v>
      </c>
      <c r="W33" s="121">
        <f t="shared" si="8"/>
        <v>8.0194525015423512E-2</v>
      </c>
      <c r="X33" s="121">
        <f t="shared" si="8"/>
        <v>7.4025715398852471E-2</v>
      </c>
      <c r="Y33" s="121">
        <f t="shared" si="9"/>
        <v>6.7856905782281429E-2</v>
      </c>
      <c r="Z33" s="121">
        <f t="shared" si="9"/>
        <v>6.1688096165710395E-2</v>
      </c>
      <c r="AA33" s="121">
        <f t="shared" si="9"/>
        <v>5.5519286549139353E-2</v>
      </c>
      <c r="AB33" s="121">
        <f t="shared" si="9"/>
        <v>4.9350476932568318E-2</v>
      </c>
      <c r="AC33" s="121">
        <f t="shared" si="9"/>
        <v>4.3181667315997277E-2</v>
      </c>
      <c r="AD33" s="121">
        <f t="shared" si="9"/>
        <v>3.7012857699426235E-2</v>
      </c>
      <c r="AE33" s="121">
        <f t="shared" si="9"/>
        <v>3.0844048082855197E-2</v>
      </c>
      <c r="AF33" s="121">
        <f t="shared" si="9"/>
        <v>2.4675238466284159E-2</v>
      </c>
      <c r="AG33" s="121">
        <f t="shared" si="9"/>
        <v>1.8506428849713118E-2</v>
      </c>
      <c r="AH33" s="121">
        <f t="shared" si="9"/>
        <v>1.233761923314208E-2</v>
      </c>
      <c r="AI33" s="121">
        <f t="shared" si="9"/>
        <v>6.1688096165710398E-3</v>
      </c>
      <c r="AJ33" s="121">
        <f t="shared" si="9"/>
        <v>0</v>
      </c>
    </row>
    <row r="34" spans="1:36">
      <c r="B34" s="117" t="s">
        <v>173</v>
      </c>
      <c r="C34" s="122"/>
      <c r="E34" s="35" t="s">
        <v>24</v>
      </c>
      <c r="F34" s="121">
        <f t="shared" si="10"/>
        <v>0.5</v>
      </c>
      <c r="H34" s="35" t="s">
        <v>24</v>
      </c>
      <c r="I34" s="121">
        <f t="shared" si="8"/>
        <v>0.16655785964741807</v>
      </c>
      <c r="J34" s="121">
        <f t="shared" si="8"/>
        <v>0.16038905003084702</v>
      </c>
      <c r="K34" s="121">
        <f t="shared" si="8"/>
        <v>0.15422024041427598</v>
      </c>
      <c r="L34" s="121">
        <f t="shared" si="8"/>
        <v>0.14805143079770494</v>
      </c>
      <c r="M34" s="121">
        <f t="shared" si="8"/>
        <v>0.1418826211811339</v>
      </c>
      <c r="N34" s="121">
        <f t="shared" si="8"/>
        <v>0.13571381156456286</v>
      </c>
      <c r="O34" s="121">
        <f t="shared" si="8"/>
        <v>0.12954500194799182</v>
      </c>
      <c r="P34" s="121">
        <f t="shared" si="8"/>
        <v>0.12337619233142079</v>
      </c>
      <c r="Q34" s="121">
        <f t="shared" si="8"/>
        <v>0.11720738271484975</v>
      </c>
      <c r="R34" s="121">
        <f t="shared" si="8"/>
        <v>0.11103857309827871</v>
      </c>
      <c r="S34" s="121">
        <f t="shared" si="8"/>
        <v>0.10486976348170768</v>
      </c>
      <c r="T34" s="121">
        <f t="shared" si="8"/>
        <v>9.8700953865136637E-2</v>
      </c>
      <c r="U34" s="121">
        <f t="shared" si="8"/>
        <v>9.2532144248565582E-2</v>
      </c>
      <c r="V34" s="121">
        <f t="shared" si="8"/>
        <v>8.6363334631994554E-2</v>
      </c>
      <c r="W34" s="121">
        <f t="shared" si="8"/>
        <v>8.0194525015423512E-2</v>
      </c>
      <c r="X34" s="121">
        <f t="shared" si="8"/>
        <v>7.4025715398852471E-2</v>
      </c>
      <c r="Y34" s="121">
        <f t="shared" si="9"/>
        <v>6.7856905782281429E-2</v>
      </c>
      <c r="Z34" s="121">
        <f t="shared" si="9"/>
        <v>6.1688096165710395E-2</v>
      </c>
      <c r="AA34" s="121">
        <f t="shared" si="9"/>
        <v>5.5519286549139353E-2</v>
      </c>
      <c r="AB34" s="121">
        <f t="shared" si="9"/>
        <v>4.9350476932568318E-2</v>
      </c>
      <c r="AC34" s="121">
        <f t="shared" si="9"/>
        <v>4.3181667315997277E-2</v>
      </c>
      <c r="AD34" s="121">
        <f t="shared" si="9"/>
        <v>3.7012857699426235E-2</v>
      </c>
      <c r="AE34" s="121">
        <f t="shared" si="9"/>
        <v>3.0844048082855197E-2</v>
      </c>
      <c r="AF34" s="121">
        <f t="shared" si="9"/>
        <v>2.4675238466284159E-2</v>
      </c>
      <c r="AG34" s="121">
        <f t="shared" si="9"/>
        <v>1.8506428849713118E-2</v>
      </c>
      <c r="AH34" s="121">
        <f t="shared" si="9"/>
        <v>1.233761923314208E-2</v>
      </c>
      <c r="AI34" s="121">
        <f t="shared" si="9"/>
        <v>6.1688096165710398E-3</v>
      </c>
      <c r="AJ34" s="121">
        <f t="shared" si="9"/>
        <v>0</v>
      </c>
    </row>
    <row r="35" spans="1:36">
      <c r="B35" s="117" t="s">
        <v>173</v>
      </c>
      <c r="C35" s="122"/>
      <c r="E35" s="35" t="s">
        <v>25</v>
      </c>
      <c r="F35" s="121">
        <f t="shared" si="10"/>
        <v>0.5</v>
      </c>
      <c r="H35" s="35" t="s">
        <v>25</v>
      </c>
      <c r="I35" s="121">
        <f t="shared" si="8"/>
        <v>0.16655785964741807</v>
      </c>
      <c r="J35" s="121">
        <f t="shared" si="8"/>
        <v>0.16038905003084702</v>
      </c>
      <c r="K35" s="121">
        <f t="shared" si="8"/>
        <v>0.15422024041427598</v>
      </c>
      <c r="L35" s="121">
        <f t="shared" si="8"/>
        <v>0.14805143079770494</v>
      </c>
      <c r="M35" s="121">
        <f t="shared" si="8"/>
        <v>0.1418826211811339</v>
      </c>
      <c r="N35" s="121">
        <f t="shared" si="8"/>
        <v>0.13571381156456286</v>
      </c>
      <c r="O35" s="121">
        <f t="shared" si="8"/>
        <v>0.12954500194799182</v>
      </c>
      <c r="P35" s="121">
        <f t="shared" si="8"/>
        <v>0.12337619233142079</v>
      </c>
      <c r="Q35" s="121">
        <f t="shared" si="8"/>
        <v>0.11720738271484975</v>
      </c>
      <c r="R35" s="121">
        <f t="shared" si="8"/>
        <v>0.11103857309827871</v>
      </c>
      <c r="S35" s="121">
        <f t="shared" si="8"/>
        <v>0.10486976348170768</v>
      </c>
      <c r="T35" s="121">
        <f t="shared" si="8"/>
        <v>9.8700953865136637E-2</v>
      </c>
      <c r="U35" s="121">
        <f t="shared" si="8"/>
        <v>9.2532144248565582E-2</v>
      </c>
      <c r="V35" s="121">
        <f t="shared" si="8"/>
        <v>8.6363334631994554E-2</v>
      </c>
      <c r="W35" s="121">
        <f t="shared" si="8"/>
        <v>8.0194525015423512E-2</v>
      </c>
      <c r="X35" s="121">
        <f t="shared" si="8"/>
        <v>7.4025715398852471E-2</v>
      </c>
      <c r="Y35" s="121">
        <f t="shared" si="9"/>
        <v>6.7856905782281429E-2</v>
      </c>
      <c r="Z35" s="121">
        <f t="shared" si="9"/>
        <v>6.1688096165710395E-2</v>
      </c>
      <c r="AA35" s="121">
        <f t="shared" si="9"/>
        <v>5.5519286549139353E-2</v>
      </c>
      <c r="AB35" s="121">
        <f t="shared" si="9"/>
        <v>4.9350476932568318E-2</v>
      </c>
      <c r="AC35" s="121">
        <f t="shared" si="9"/>
        <v>4.3181667315997277E-2</v>
      </c>
      <c r="AD35" s="121">
        <f t="shared" si="9"/>
        <v>3.7012857699426235E-2</v>
      </c>
      <c r="AE35" s="121">
        <f t="shared" si="9"/>
        <v>3.0844048082855197E-2</v>
      </c>
      <c r="AF35" s="121">
        <f t="shared" si="9"/>
        <v>2.4675238466284159E-2</v>
      </c>
      <c r="AG35" s="121">
        <f t="shared" si="9"/>
        <v>1.8506428849713118E-2</v>
      </c>
      <c r="AH35" s="121">
        <f t="shared" si="9"/>
        <v>1.233761923314208E-2</v>
      </c>
      <c r="AI35" s="121">
        <f t="shared" si="9"/>
        <v>6.1688096165710398E-3</v>
      </c>
      <c r="AJ35" s="121">
        <f t="shared" si="9"/>
        <v>0</v>
      </c>
    </row>
    <row r="36" spans="1:36" customFormat="1">
      <c r="A36" s="115"/>
      <c r="B36" s="117" t="s">
        <v>173</v>
      </c>
      <c r="C36" s="122"/>
      <c r="D36" s="115"/>
      <c r="E36" s="35"/>
      <c r="F36" s="121"/>
      <c r="G36" s="115"/>
      <c r="H36" s="117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</row>
    <row r="37" spans="1:36" customFormat="1">
      <c r="A37" s="115"/>
      <c r="B37" s="117" t="s">
        <v>173</v>
      </c>
      <c r="C37" s="122"/>
      <c r="D37" s="115"/>
      <c r="E37" s="117"/>
      <c r="F37" s="121"/>
      <c r="G37" s="115"/>
      <c r="H37" s="117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</row>
    <row r="38" spans="1:36">
      <c r="B38" s="117" t="s">
        <v>173</v>
      </c>
      <c r="C38" s="122"/>
      <c r="E38" s="117"/>
      <c r="F38" s="121"/>
      <c r="H38" s="117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</row>
    <row r="39" spans="1:36">
      <c r="F39" s="127"/>
    </row>
    <row r="40" spans="1:36">
      <c r="B40" s="113" t="s">
        <v>40</v>
      </c>
      <c r="E40" s="113" t="s">
        <v>266</v>
      </c>
      <c r="H40" s="113" t="s">
        <v>67</v>
      </c>
      <c r="I40" s="115">
        <v>2023</v>
      </c>
      <c r="J40" s="115">
        <v>2024</v>
      </c>
      <c r="K40" s="115">
        <v>2025</v>
      </c>
      <c r="L40" s="115">
        <v>2026</v>
      </c>
      <c r="M40" s="115">
        <v>2027</v>
      </c>
      <c r="N40" s="115">
        <v>2028</v>
      </c>
      <c r="O40" s="115">
        <v>2029</v>
      </c>
      <c r="P40" s="115">
        <v>2030</v>
      </c>
      <c r="Q40" s="115">
        <v>2031</v>
      </c>
      <c r="R40" s="115">
        <v>2032</v>
      </c>
      <c r="S40" s="115">
        <v>2033</v>
      </c>
      <c r="T40" s="115">
        <v>2034</v>
      </c>
      <c r="U40" s="115">
        <v>2035</v>
      </c>
      <c r="V40" s="115">
        <v>2036</v>
      </c>
      <c r="W40" s="115">
        <v>2037</v>
      </c>
      <c r="X40" s="115">
        <v>2038</v>
      </c>
      <c r="Y40" s="115">
        <v>2039</v>
      </c>
      <c r="Z40" s="115">
        <v>2040</v>
      </c>
      <c r="AA40" s="115">
        <v>2041</v>
      </c>
      <c r="AB40" s="115">
        <v>2042</v>
      </c>
      <c r="AC40" s="115">
        <v>2043</v>
      </c>
      <c r="AD40" s="115">
        <v>2044</v>
      </c>
      <c r="AE40" s="115">
        <v>2045</v>
      </c>
      <c r="AF40" s="115">
        <v>2046</v>
      </c>
      <c r="AG40" s="115">
        <v>2047</v>
      </c>
      <c r="AH40" s="115">
        <v>2048</v>
      </c>
      <c r="AI40" s="115">
        <v>2049</v>
      </c>
      <c r="AJ40" s="115">
        <v>2050</v>
      </c>
    </row>
    <row r="41" spans="1:36">
      <c r="B41" s="117" t="s">
        <v>8</v>
      </c>
      <c r="C41" s="124">
        <f>'4.Input data HPCL'!E7</f>
        <v>-97830.599999999991</v>
      </c>
      <c r="E41" s="117"/>
      <c r="F41" s="121"/>
      <c r="H41" s="117" t="s">
        <v>8</v>
      </c>
      <c r="I41" s="124">
        <f>'4.Input data HPCL'!E23</f>
        <v>27.778375814189143</v>
      </c>
      <c r="J41" s="121">
        <f t="shared" ref="J41:AJ41" si="11">$I41*($AJ$4-J$4)/27</f>
        <v>26.749547080330284</v>
      </c>
      <c r="K41" s="121">
        <f t="shared" si="11"/>
        <v>25.720718346471429</v>
      </c>
      <c r="L41" s="121">
        <f t="shared" si="11"/>
        <v>24.69188961261257</v>
      </c>
      <c r="M41" s="121">
        <f t="shared" si="11"/>
        <v>23.663060878753715</v>
      </c>
      <c r="N41" s="121">
        <f t="shared" si="11"/>
        <v>22.634232144894856</v>
      </c>
      <c r="O41" s="121">
        <f t="shared" si="11"/>
        <v>21.605403411035997</v>
      </c>
      <c r="P41" s="121">
        <f t="shared" si="11"/>
        <v>20.576574677177145</v>
      </c>
      <c r="Q41" s="121">
        <f t="shared" si="11"/>
        <v>19.547745943318287</v>
      </c>
      <c r="R41" s="121">
        <f t="shared" si="11"/>
        <v>18.518917209459428</v>
      </c>
      <c r="S41" s="121">
        <f t="shared" si="11"/>
        <v>17.490088475600572</v>
      </c>
      <c r="T41" s="121">
        <f t="shared" si="11"/>
        <v>16.461259741741713</v>
      </c>
      <c r="U41" s="121">
        <f t="shared" si="11"/>
        <v>15.432431007882858</v>
      </c>
      <c r="V41" s="121">
        <f t="shared" si="11"/>
        <v>14.403602274024001</v>
      </c>
      <c r="W41" s="121">
        <f t="shared" si="11"/>
        <v>13.374773540165142</v>
      </c>
      <c r="X41" s="121">
        <f t="shared" si="11"/>
        <v>12.345944806306285</v>
      </c>
      <c r="Y41" s="121">
        <f t="shared" si="11"/>
        <v>11.317116072447428</v>
      </c>
      <c r="Z41" s="121">
        <f t="shared" si="11"/>
        <v>10.288287338588573</v>
      </c>
      <c r="AA41" s="121">
        <f t="shared" si="11"/>
        <v>9.2594586047297138</v>
      </c>
      <c r="AB41" s="121">
        <f t="shared" si="11"/>
        <v>8.2306298708708567</v>
      </c>
      <c r="AC41" s="121">
        <f t="shared" si="11"/>
        <v>7.2018011370120005</v>
      </c>
      <c r="AD41" s="121">
        <f t="shared" si="11"/>
        <v>6.1729724031531426</v>
      </c>
      <c r="AE41" s="121">
        <f t="shared" si="11"/>
        <v>5.1441436692942863</v>
      </c>
      <c r="AF41" s="121">
        <f t="shared" si="11"/>
        <v>4.1153149354354284</v>
      </c>
      <c r="AG41" s="121">
        <f t="shared" si="11"/>
        <v>3.0864862015765713</v>
      </c>
      <c r="AH41" s="121">
        <f t="shared" si="11"/>
        <v>2.0576574677177142</v>
      </c>
      <c r="AI41" s="121">
        <f t="shared" si="11"/>
        <v>1.0288287338588571</v>
      </c>
      <c r="AJ41" s="121">
        <f t="shared" si="11"/>
        <v>0</v>
      </c>
    </row>
    <row r="42" spans="1:36">
      <c r="B42" s="117" t="s">
        <v>173</v>
      </c>
      <c r="C42" s="122"/>
      <c r="E42" s="117"/>
      <c r="F42" s="121"/>
      <c r="H42" s="35" t="s">
        <v>12</v>
      </c>
      <c r="I42" s="121">
        <f t="shared" ref="I42:X47" si="12">I$41</f>
        <v>27.778375814189143</v>
      </c>
      <c r="J42" s="121">
        <f t="shared" si="12"/>
        <v>26.749547080330284</v>
      </c>
      <c r="K42" s="121">
        <f t="shared" si="12"/>
        <v>25.720718346471429</v>
      </c>
      <c r="L42" s="121">
        <f t="shared" si="12"/>
        <v>24.69188961261257</v>
      </c>
      <c r="M42" s="121">
        <f t="shared" si="12"/>
        <v>23.663060878753715</v>
      </c>
      <c r="N42" s="121">
        <f t="shared" si="12"/>
        <v>22.634232144894856</v>
      </c>
      <c r="O42" s="121">
        <f t="shared" si="12"/>
        <v>21.605403411035997</v>
      </c>
      <c r="P42" s="121">
        <f t="shared" si="12"/>
        <v>20.576574677177145</v>
      </c>
      <c r="Q42" s="121">
        <f t="shared" si="12"/>
        <v>19.547745943318287</v>
      </c>
      <c r="R42" s="121">
        <f t="shared" si="12"/>
        <v>18.518917209459428</v>
      </c>
      <c r="S42" s="121">
        <f t="shared" si="12"/>
        <v>17.490088475600572</v>
      </c>
      <c r="T42" s="121">
        <f t="shared" si="12"/>
        <v>16.461259741741713</v>
      </c>
      <c r="U42" s="121">
        <f t="shared" si="12"/>
        <v>15.432431007882858</v>
      </c>
      <c r="V42" s="121">
        <f t="shared" si="12"/>
        <v>14.403602274024001</v>
      </c>
      <c r="W42" s="121">
        <f t="shared" si="12"/>
        <v>13.374773540165142</v>
      </c>
      <c r="X42" s="121">
        <f t="shared" si="12"/>
        <v>12.345944806306285</v>
      </c>
      <c r="Y42" s="121">
        <f t="shared" ref="Y42:AJ47" si="13">Y$41</f>
        <v>11.317116072447428</v>
      </c>
      <c r="Z42" s="121">
        <f t="shared" si="13"/>
        <v>10.288287338588573</v>
      </c>
      <c r="AA42" s="121">
        <f t="shared" si="13"/>
        <v>9.2594586047297138</v>
      </c>
      <c r="AB42" s="121">
        <f t="shared" si="13"/>
        <v>8.2306298708708567</v>
      </c>
      <c r="AC42" s="121">
        <f t="shared" si="13"/>
        <v>7.2018011370120005</v>
      </c>
      <c r="AD42" s="121">
        <f t="shared" si="13"/>
        <v>6.1729724031531426</v>
      </c>
      <c r="AE42" s="121">
        <f t="shared" si="13"/>
        <v>5.1441436692942863</v>
      </c>
      <c r="AF42" s="121">
        <f t="shared" si="13"/>
        <v>4.1153149354354284</v>
      </c>
      <c r="AG42" s="121">
        <f t="shared" si="13"/>
        <v>3.0864862015765713</v>
      </c>
      <c r="AH42" s="121">
        <f t="shared" si="13"/>
        <v>2.0576574677177142</v>
      </c>
      <c r="AI42" s="121">
        <f t="shared" si="13"/>
        <v>1.0288287338588571</v>
      </c>
      <c r="AJ42" s="121">
        <f t="shared" si="13"/>
        <v>0</v>
      </c>
    </row>
    <row r="43" spans="1:36">
      <c r="B43" s="117" t="s">
        <v>173</v>
      </c>
      <c r="C43" s="122"/>
      <c r="E43" s="117"/>
      <c r="F43" s="121"/>
      <c r="H43" s="35" t="s">
        <v>15</v>
      </c>
      <c r="I43" s="121">
        <f t="shared" si="12"/>
        <v>27.778375814189143</v>
      </c>
      <c r="J43" s="121">
        <f t="shared" si="12"/>
        <v>26.749547080330284</v>
      </c>
      <c r="K43" s="121">
        <f t="shared" si="12"/>
        <v>25.720718346471429</v>
      </c>
      <c r="L43" s="121">
        <f t="shared" si="12"/>
        <v>24.69188961261257</v>
      </c>
      <c r="M43" s="121">
        <f t="shared" si="12"/>
        <v>23.663060878753715</v>
      </c>
      <c r="N43" s="121">
        <f t="shared" si="12"/>
        <v>22.634232144894856</v>
      </c>
      <c r="O43" s="121">
        <f t="shared" si="12"/>
        <v>21.605403411035997</v>
      </c>
      <c r="P43" s="121">
        <f t="shared" si="12"/>
        <v>20.576574677177145</v>
      </c>
      <c r="Q43" s="121">
        <f t="shared" si="12"/>
        <v>19.547745943318287</v>
      </c>
      <c r="R43" s="121">
        <f t="shared" si="12"/>
        <v>18.518917209459428</v>
      </c>
      <c r="S43" s="121">
        <f t="shared" si="12"/>
        <v>17.490088475600572</v>
      </c>
      <c r="T43" s="121">
        <f t="shared" si="12"/>
        <v>16.461259741741713</v>
      </c>
      <c r="U43" s="121">
        <f t="shared" si="12"/>
        <v>15.432431007882858</v>
      </c>
      <c r="V43" s="121">
        <f t="shared" si="12"/>
        <v>14.403602274024001</v>
      </c>
      <c r="W43" s="121">
        <f t="shared" si="12"/>
        <v>13.374773540165142</v>
      </c>
      <c r="X43" s="121">
        <f t="shared" si="12"/>
        <v>12.345944806306285</v>
      </c>
      <c r="Y43" s="121">
        <f t="shared" si="13"/>
        <v>11.317116072447428</v>
      </c>
      <c r="Z43" s="121">
        <f t="shared" si="13"/>
        <v>10.288287338588573</v>
      </c>
      <c r="AA43" s="121">
        <f t="shared" si="13"/>
        <v>9.2594586047297138</v>
      </c>
      <c r="AB43" s="121">
        <f t="shared" si="13"/>
        <v>8.2306298708708567</v>
      </c>
      <c r="AC43" s="121">
        <f t="shared" si="13"/>
        <v>7.2018011370120005</v>
      </c>
      <c r="AD43" s="121">
        <f t="shared" si="13"/>
        <v>6.1729724031531426</v>
      </c>
      <c r="AE43" s="121">
        <f t="shared" si="13"/>
        <v>5.1441436692942863</v>
      </c>
      <c r="AF43" s="121">
        <f t="shared" si="13"/>
        <v>4.1153149354354284</v>
      </c>
      <c r="AG43" s="121">
        <f t="shared" si="13"/>
        <v>3.0864862015765713</v>
      </c>
      <c r="AH43" s="121">
        <f t="shared" si="13"/>
        <v>2.0576574677177142</v>
      </c>
      <c r="AI43" s="121">
        <f t="shared" si="13"/>
        <v>1.0288287338588571</v>
      </c>
      <c r="AJ43" s="121">
        <f t="shared" si="13"/>
        <v>0</v>
      </c>
    </row>
    <row r="44" spans="1:36">
      <c r="B44" s="117" t="s">
        <v>173</v>
      </c>
      <c r="C44" s="122"/>
      <c r="E44" s="117"/>
      <c r="F44" s="121"/>
      <c r="H44" s="35" t="s">
        <v>19</v>
      </c>
      <c r="I44" s="121">
        <f t="shared" si="12"/>
        <v>27.778375814189143</v>
      </c>
      <c r="J44" s="121">
        <f t="shared" si="12"/>
        <v>26.749547080330284</v>
      </c>
      <c r="K44" s="121">
        <f t="shared" si="12"/>
        <v>25.720718346471429</v>
      </c>
      <c r="L44" s="121">
        <f t="shared" si="12"/>
        <v>24.69188961261257</v>
      </c>
      <c r="M44" s="121">
        <f t="shared" si="12"/>
        <v>23.663060878753715</v>
      </c>
      <c r="N44" s="121">
        <f t="shared" si="12"/>
        <v>22.634232144894856</v>
      </c>
      <c r="O44" s="121">
        <f t="shared" si="12"/>
        <v>21.605403411035997</v>
      </c>
      <c r="P44" s="121">
        <f t="shared" si="12"/>
        <v>20.576574677177145</v>
      </c>
      <c r="Q44" s="121">
        <f t="shared" si="12"/>
        <v>19.547745943318287</v>
      </c>
      <c r="R44" s="121">
        <f t="shared" si="12"/>
        <v>18.518917209459428</v>
      </c>
      <c r="S44" s="121">
        <f t="shared" si="12"/>
        <v>17.490088475600572</v>
      </c>
      <c r="T44" s="121">
        <f t="shared" si="12"/>
        <v>16.461259741741713</v>
      </c>
      <c r="U44" s="121">
        <f t="shared" si="12"/>
        <v>15.432431007882858</v>
      </c>
      <c r="V44" s="121">
        <f t="shared" si="12"/>
        <v>14.403602274024001</v>
      </c>
      <c r="W44" s="121">
        <f t="shared" si="12"/>
        <v>13.374773540165142</v>
      </c>
      <c r="X44" s="121">
        <f t="shared" si="12"/>
        <v>12.345944806306285</v>
      </c>
      <c r="Y44" s="121">
        <f t="shared" si="13"/>
        <v>11.317116072447428</v>
      </c>
      <c r="Z44" s="121">
        <f t="shared" si="13"/>
        <v>10.288287338588573</v>
      </c>
      <c r="AA44" s="121">
        <f t="shared" si="13"/>
        <v>9.2594586047297138</v>
      </c>
      <c r="AB44" s="121">
        <f t="shared" si="13"/>
        <v>8.2306298708708567</v>
      </c>
      <c r="AC44" s="121">
        <f t="shared" si="13"/>
        <v>7.2018011370120005</v>
      </c>
      <c r="AD44" s="121">
        <f t="shared" si="13"/>
        <v>6.1729724031531426</v>
      </c>
      <c r="AE44" s="121">
        <f t="shared" si="13"/>
        <v>5.1441436692942863</v>
      </c>
      <c r="AF44" s="121">
        <f t="shared" si="13"/>
        <v>4.1153149354354284</v>
      </c>
      <c r="AG44" s="121">
        <f t="shared" si="13"/>
        <v>3.0864862015765713</v>
      </c>
      <c r="AH44" s="121">
        <f t="shared" si="13"/>
        <v>2.0576574677177142</v>
      </c>
      <c r="AI44" s="121">
        <f t="shared" si="13"/>
        <v>1.0288287338588571</v>
      </c>
      <c r="AJ44" s="121">
        <f t="shared" si="13"/>
        <v>0</v>
      </c>
    </row>
    <row r="45" spans="1:36">
      <c r="B45" s="117" t="s">
        <v>173</v>
      </c>
      <c r="C45" s="122"/>
      <c r="E45" s="117"/>
      <c r="F45" s="121"/>
      <c r="H45" s="35" t="s">
        <v>22</v>
      </c>
      <c r="I45" s="121">
        <f t="shared" si="12"/>
        <v>27.778375814189143</v>
      </c>
      <c r="J45" s="121">
        <f t="shared" si="12"/>
        <v>26.749547080330284</v>
      </c>
      <c r="K45" s="121">
        <f t="shared" si="12"/>
        <v>25.720718346471429</v>
      </c>
      <c r="L45" s="121">
        <f t="shared" si="12"/>
        <v>24.69188961261257</v>
      </c>
      <c r="M45" s="121">
        <f t="shared" si="12"/>
        <v>23.663060878753715</v>
      </c>
      <c r="N45" s="121">
        <f t="shared" si="12"/>
        <v>22.634232144894856</v>
      </c>
      <c r="O45" s="121">
        <f t="shared" si="12"/>
        <v>21.605403411035997</v>
      </c>
      <c r="P45" s="121">
        <f t="shared" si="12"/>
        <v>20.576574677177145</v>
      </c>
      <c r="Q45" s="121">
        <f t="shared" si="12"/>
        <v>19.547745943318287</v>
      </c>
      <c r="R45" s="121">
        <f t="shared" si="12"/>
        <v>18.518917209459428</v>
      </c>
      <c r="S45" s="121">
        <f t="shared" si="12"/>
        <v>17.490088475600572</v>
      </c>
      <c r="T45" s="121">
        <f t="shared" si="12"/>
        <v>16.461259741741713</v>
      </c>
      <c r="U45" s="121">
        <f t="shared" si="12"/>
        <v>15.432431007882858</v>
      </c>
      <c r="V45" s="121">
        <f t="shared" si="12"/>
        <v>14.403602274024001</v>
      </c>
      <c r="W45" s="121">
        <f t="shared" si="12"/>
        <v>13.374773540165142</v>
      </c>
      <c r="X45" s="121">
        <f t="shared" si="12"/>
        <v>12.345944806306285</v>
      </c>
      <c r="Y45" s="121">
        <f t="shared" si="13"/>
        <v>11.317116072447428</v>
      </c>
      <c r="Z45" s="121">
        <f t="shared" si="13"/>
        <v>10.288287338588573</v>
      </c>
      <c r="AA45" s="121">
        <f t="shared" si="13"/>
        <v>9.2594586047297138</v>
      </c>
      <c r="AB45" s="121">
        <f t="shared" si="13"/>
        <v>8.2306298708708567</v>
      </c>
      <c r="AC45" s="121">
        <f t="shared" si="13"/>
        <v>7.2018011370120005</v>
      </c>
      <c r="AD45" s="121">
        <f t="shared" si="13"/>
        <v>6.1729724031531426</v>
      </c>
      <c r="AE45" s="121">
        <f t="shared" si="13"/>
        <v>5.1441436692942863</v>
      </c>
      <c r="AF45" s="121">
        <f t="shared" si="13"/>
        <v>4.1153149354354284</v>
      </c>
      <c r="AG45" s="121">
        <f t="shared" si="13"/>
        <v>3.0864862015765713</v>
      </c>
      <c r="AH45" s="121">
        <f t="shared" si="13"/>
        <v>2.0576574677177142</v>
      </c>
      <c r="AI45" s="121">
        <f t="shared" si="13"/>
        <v>1.0288287338588571</v>
      </c>
      <c r="AJ45" s="121">
        <f t="shared" si="13"/>
        <v>0</v>
      </c>
    </row>
    <row r="46" spans="1:36">
      <c r="B46" s="117" t="s">
        <v>173</v>
      </c>
      <c r="C46" s="122"/>
      <c r="E46" s="117"/>
      <c r="F46" s="121"/>
      <c r="H46" s="35" t="s">
        <v>24</v>
      </c>
      <c r="I46" s="121">
        <f t="shared" si="12"/>
        <v>27.778375814189143</v>
      </c>
      <c r="J46" s="121">
        <f t="shared" si="12"/>
        <v>26.749547080330284</v>
      </c>
      <c r="K46" s="121">
        <f t="shared" si="12"/>
        <v>25.720718346471429</v>
      </c>
      <c r="L46" s="121">
        <f t="shared" si="12"/>
        <v>24.69188961261257</v>
      </c>
      <c r="M46" s="121">
        <f t="shared" si="12"/>
        <v>23.663060878753715</v>
      </c>
      <c r="N46" s="121">
        <f t="shared" si="12"/>
        <v>22.634232144894856</v>
      </c>
      <c r="O46" s="121">
        <f t="shared" si="12"/>
        <v>21.605403411035997</v>
      </c>
      <c r="P46" s="121">
        <f t="shared" si="12"/>
        <v>20.576574677177145</v>
      </c>
      <c r="Q46" s="121">
        <f t="shared" si="12"/>
        <v>19.547745943318287</v>
      </c>
      <c r="R46" s="121">
        <f t="shared" si="12"/>
        <v>18.518917209459428</v>
      </c>
      <c r="S46" s="121">
        <f t="shared" si="12"/>
        <v>17.490088475600572</v>
      </c>
      <c r="T46" s="121">
        <f t="shared" si="12"/>
        <v>16.461259741741713</v>
      </c>
      <c r="U46" s="121">
        <f t="shared" si="12"/>
        <v>15.432431007882858</v>
      </c>
      <c r="V46" s="121">
        <f t="shared" si="12"/>
        <v>14.403602274024001</v>
      </c>
      <c r="W46" s="121">
        <f t="shared" si="12"/>
        <v>13.374773540165142</v>
      </c>
      <c r="X46" s="121">
        <f t="shared" si="12"/>
        <v>12.345944806306285</v>
      </c>
      <c r="Y46" s="121">
        <f t="shared" si="13"/>
        <v>11.317116072447428</v>
      </c>
      <c r="Z46" s="121">
        <f t="shared" si="13"/>
        <v>10.288287338588573</v>
      </c>
      <c r="AA46" s="121">
        <f t="shared" si="13"/>
        <v>9.2594586047297138</v>
      </c>
      <c r="AB46" s="121">
        <f t="shared" si="13"/>
        <v>8.2306298708708567</v>
      </c>
      <c r="AC46" s="121">
        <f t="shared" si="13"/>
        <v>7.2018011370120005</v>
      </c>
      <c r="AD46" s="121">
        <f t="shared" si="13"/>
        <v>6.1729724031531426</v>
      </c>
      <c r="AE46" s="121">
        <f t="shared" si="13"/>
        <v>5.1441436692942863</v>
      </c>
      <c r="AF46" s="121">
        <f t="shared" si="13"/>
        <v>4.1153149354354284</v>
      </c>
      <c r="AG46" s="121">
        <f t="shared" si="13"/>
        <v>3.0864862015765713</v>
      </c>
      <c r="AH46" s="121">
        <f t="shared" si="13"/>
        <v>2.0576574677177142</v>
      </c>
      <c r="AI46" s="121">
        <f t="shared" si="13"/>
        <v>1.0288287338588571</v>
      </c>
      <c r="AJ46" s="121">
        <f t="shared" si="13"/>
        <v>0</v>
      </c>
    </row>
    <row r="47" spans="1:36">
      <c r="B47" s="117" t="s">
        <v>173</v>
      </c>
      <c r="C47" s="122"/>
      <c r="E47" s="117"/>
      <c r="F47" s="121"/>
      <c r="H47" s="35" t="s">
        <v>25</v>
      </c>
      <c r="I47" s="121">
        <f t="shared" si="12"/>
        <v>27.778375814189143</v>
      </c>
      <c r="J47" s="121">
        <f t="shared" si="12"/>
        <v>26.749547080330284</v>
      </c>
      <c r="K47" s="121">
        <f t="shared" si="12"/>
        <v>25.720718346471429</v>
      </c>
      <c r="L47" s="121">
        <f t="shared" si="12"/>
        <v>24.69188961261257</v>
      </c>
      <c r="M47" s="121">
        <f t="shared" si="12"/>
        <v>23.663060878753715</v>
      </c>
      <c r="N47" s="121">
        <f t="shared" si="12"/>
        <v>22.634232144894856</v>
      </c>
      <c r="O47" s="121">
        <f t="shared" si="12"/>
        <v>21.605403411035997</v>
      </c>
      <c r="P47" s="121">
        <f t="shared" si="12"/>
        <v>20.576574677177145</v>
      </c>
      <c r="Q47" s="121">
        <f t="shared" si="12"/>
        <v>19.547745943318287</v>
      </c>
      <c r="R47" s="121">
        <f t="shared" si="12"/>
        <v>18.518917209459428</v>
      </c>
      <c r="S47" s="121">
        <f t="shared" si="12"/>
        <v>17.490088475600572</v>
      </c>
      <c r="T47" s="121">
        <f t="shared" si="12"/>
        <v>16.461259741741713</v>
      </c>
      <c r="U47" s="121">
        <f t="shared" si="12"/>
        <v>15.432431007882858</v>
      </c>
      <c r="V47" s="121">
        <f t="shared" si="12"/>
        <v>14.403602274024001</v>
      </c>
      <c r="W47" s="121">
        <f t="shared" si="12"/>
        <v>13.374773540165142</v>
      </c>
      <c r="X47" s="121">
        <f t="shared" si="12"/>
        <v>12.345944806306285</v>
      </c>
      <c r="Y47" s="121">
        <f t="shared" si="13"/>
        <v>11.317116072447428</v>
      </c>
      <c r="Z47" s="121">
        <f t="shared" si="13"/>
        <v>10.288287338588573</v>
      </c>
      <c r="AA47" s="121">
        <f t="shared" si="13"/>
        <v>9.2594586047297138</v>
      </c>
      <c r="AB47" s="121">
        <f t="shared" si="13"/>
        <v>8.2306298708708567</v>
      </c>
      <c r="AC47" s="121">
        <f t="shared" si="13"/>
        <v>7.2018011370120005</v>
      </c>
      <c r="AD47" s="121">
        <f t="shared" si="13"/>
        <v>6.1729724031531426</v>
      </c>
      <c r="AE47" s="121">
        <f t="shared" si="13"/>
        <v>5.1441436692942863</v>
      </c>
      <c r="AF47" s="121">
        <f t="shared" si="13"/>
        <v>4.1153149354354284</v>
      </c>
      <c r="AG47" s="121">
        <f t="shared" si="13"/>
        <v>3.0864862015765713</v>
      </c>
      <c r="AH47" s="121">
        <f t="shared" si="13"/>
        <v>2.0576574677177142</v>
      </c>
      <c r="AI47" s="121">
        <f t="shared" si="13"/>
        <v>1.0288287338588571</v>
      </c>
      <c r="AJ47" s="121">
        <f t="shared" si="13"/>
        <v>0</v>
      </c>
    </row>
    <row r="48" spans="1:36">
      <c r="B48" s="117" t="s">
        <v>173</v>
      </c>
      <c r="C48" s="122"/>
      <c r="E48" s="117"/>
      <c r="F48" s="121"/>
      <c r="H48" s="117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</row>
    <row r="49" spans="2:36">
      <c r="B49" s="117" t="s">
        <v>173</v>
      </c>
      <c r="C49" s="122"/>
      <c r="E49" s="117"/>
      <c r="F49" s="121"/>
      <c r="H49" s="117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</row>
    <row r="50" spans="2:36">
      <c r="B50" s="117" t="s">
        <v>173</v>
      </c>
      <c r="C50" s="122"/>
      <c r="E50" s="117"/>
      <c r="F50" s="121"/>
      <c r="H50" s="117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</row>
    <row r="51" spans="2:36"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</row>
    <row r="52" spans="2:36">
      <c r="B52" s="113" t="s">
        <v>41</v>
      </c>
      <c r="E52" s="113" t="s">
        <v>65</v>
      </c>
      <c r="H52" s="113" t="s">
        <v>68</v>
      </c>
      <c r="I52" s="115">
        <v>2023</v>
      </c>
      <c r="J52" s="115">
        <v>2024</v>
      </c>
      <c r="K52" s="115">
        <v>2025</v>
      </c>
      <c r="L52" s="115">
        <v>2026</v>
      </c>
      <c r="M52" s="115">
        <v>2027</v>
      </c>
      <c r="N52" s="115">
        <v>2028</v>
      </c>
      <c r="O52" s="115">
        <v>2029</v>
      </c>
      <c r="P52" s="115">
        <v>2030</v>
      </c>
      <c r="Q52" s="115">
        <v>2031</v>
      </c>
      <c r="R52" s="115">
        <v>2032</v>
      </c>
      <c r="S52" s="115">
        <v>2033</v>
      </c>
      <c r="T52" s="115">
        <v>2034</v>
      </c>
      <c r="U52" s="115">
        <v>2035</v>
      </c>
      <c r="V52" s="115">
        <v>2036</v>
      </c>
      <c r="W52" s="115">
        <v>2037</v>
      </c>
      <c r="X52" s="115">
        <v>2038</v>
      </c>
      <c r="Y52" s="115">
        <v>2039</v>
      </c>
      <c r="Z52" s="115">
        <v>2040</v>
      </c>
      <c r="AA52" s="115">
        <v>2041</v>
      </c>
      <c r="AB52" s="115">
        <v>2042</v>
      </c>
      <c r="AC52" s="115">
        <v>2043</v>
      </c>
      <c r="AD52" s="115">
        <v>2044</v>
      </c>
      <c r="AE52" s="115">
        <v>2045</v>
      </c>
      <c r="AF52" s="115">
        <v>2046</v>
      </c>
      <c r="AG52" s="115">
        <v>2047</v>
      </c>
      <c r="AH52" s="115">
        <v>2048</v>
      </c>
      <c r="AI52" s="115">
        <v>2049</v>
      </c>
      <c r="AJ52" s="115">
        <v>2050</v>
      </c>
    </row>
    <row r="53" spans="2:36">
      <c r="B53" s="117" t="s">
        <v>8</v>
      </c>
      <c r="C53" s="80">
        <f>'4.Input data HPCL'!E8</f>
        <v>21318.5</v>
      </c>
      <c r="E53" s="117"/>
      <c r="F53" s="121"/>
      <c r="H53" s="117" t="s">
        <v>8</v>
      </c>
      <c r="I53" s="121">
        <f>I137</f>
        <v>10.684819934898</v>
      </c>
      <c r="J53" s="121">
        <f t="shared" ref="J53:AJ53" si="14">J137</f>
        <v>10.522418050588</v>
      </c>
      <c r="K53" s="121">
        <f t="shared" si="14"/>
        <v>10.360016166277999</v>
      </c>
      <c r="L53" s="121">
        <f t="shared" si="14"/>
        <v>10.197614281968001</v>
      </c>
      <c r="M53" s="121">
        <f t="shared" si="14"/>
        <v>10.048064596531201</v>
      </c>
      <c r="N53" s="121">
        <f t="shared" si="14"/>
        <v>9.8985149110944022</v>
      </c>
      <c r="O53" s="121">
        <f t="shared" si="14"/>
        <v>9.7489652256576029</v>
      </c>
      <c r="P53" s="121">
        <f t="shared" si="14"/>
        <v>9.5994155402208037</v>
      </c>
      <c r="Q53" s="121">
        <f t="shared" si="14"/>
        <v>9.4498658547840009</v>
      </c>
      <c r="R53" s="121">
        <f t="shared" si="14"/>
        <v>9.3289080907968014</v>
      </c>
      <c r="S53" s="121">
        <f t="shared" si="14"/>
        <v>9.2079503268096019</v>
      </c>
      <c r="T53" s="121">
        <f t="shared" si="14"/>
        <v>9.0869925628224024</v>
      </c>
      <c r="U53" s="121">
        <f t="shared" si="14"/>
        <v>8.9660347988352029</v>
      </c>
      <c r="V53" s="121">
        <f t="shared" si="14"/>
        <v>8.8450770348480017</v>
      </c>
      <c r="W53" s="121">
        <f t="shared" si="14"/>
        <v>8.7615659120004015</v>
      </c>
      <c r="X53" s="121">
        <f t="shared" si="14"/>
        <v>8.6780547891528013</v>
      </c>
      <c r="Y53" s="121">
        <f t="shared" si="14"/>
        <v>8.5945436663052011</v>
      </c>
      <c r="Z53" s="121">
        <f t="shared" si="14"/>
        <v>8.5110325434576009</v>
      </c>
      <c r="AA53" s="121">
        <f t="shared" si="14"/>
        <v>8.4275214206099971</v>
      </c>
      <c r="AB53" s="121">
        <f t="shared" si="14"/>
        <v>8.3774795319675981</v>
      </c>
      <c r="AC53" s="121">
        <f t="shared" si="14"/>
        <v>8.3274376433251991</v>
      </c>
      <c r="AD53" s="121">
        <f t="shared" si="14"/>
        <v>8.2773957546828001</v>
      </c>
      <c r="AE53" s="121">
        <f t="shared" si="14"/>
        <v>8.2273538660404011</v>
      </c>
      <c r="AF53" s="121">
        <f t="shared" si="14"/>
        <v>8.1773119773979985</v>
      </c>
      <c r="AG53" s="121">
        <f t="shared" si="14"/>
        <v>8.156843246297198</v>
      </c>
      <c r="AH53" s="121">
        <f t="shared" si="14"/>
        <v>8.1363745151963975</v>
      </c>
      <c r="AI53" s="121">
        <f t="shared" si="14"/>
        <v>8.115905784095597</v>
      </c>
      <c r="AJ53" s="121">
        <f t="shared" si="14"/>
        <v>8.0954370529947965</v>
      </c>
    </row>
    <row r="54" spans="2:36">
      <c r="B54" s="117" t="s">
        <v>173</v>
      </c>
      <c r="C54" s="122"/>
      <c r="E54" s="117"/>
      <c r="F54" s="121"/>
      <c r="H54" s="35" t="s">
        <v>12</v>
      </c>
      <c r="I54" s="121">
        <f t="shared" ref="I54:AJ59" si="15">I138</f>
        <v>25.0414200753724</v>
      </c>
      <c r="J54" s="121">
        <f t="shared" si="15"/>
        <v>32.057318261299599</v>
      </c>
      <c r="K54" s="121">
        <f t="shared" si="15"/>
        <v>39.073216447226798</v>
      </c>
      <c r="L54" s="121">
        <f t="shared" si="15"/>
        <v>46.089114633153997</v>
      </c>
      <c r="M54" s="121">
        <f t="shared" si="15"/>
        <v>48.072200152634402</v>
      </c>
      <c r="N54" s="121">
        <f t="shared" si="15"/>
        <v>50.055285672114806</v>
      </c>
      <c r="O54" s="121">
        <f t="shared" si="15"/>
        <v>52.038371191595211</v>
      </c>
      <c r="P54" s="121">
        <f t="shared" si="15"/>
        <v>54.021456711075615</v>
      </c>
      <c r="Q54" s="121">
        <f t="shared" si="15"/>
        <v>56.004542230556012</v>
      </c>
      <c r="R54" s="121">
        <f t="shared" si="15"/>
        <v>58.561105124668011</v>
      </c>
      <c r="S54" s="121">
        <f t="shared" si="15"/>
        <v>61.117668018780009</v>
      </c>
      <c r="T54" s="121">
        <f t="shared" si="15"/>
        <v>63.674230912892007</v>
      </c>
      <c r="U54" s="121">
        <f t="shared" si="15"/>
        <v>66.230793807004005</v>
      </c>
      <c r="V54" s="121">
        <f t="shared" si="15"/>
        <v>68.787356701116011</v>
      </c>
      <c r="W54" s="121">
        <f t="shared" si="15"/>
        <v>71.680261317830414</v>
      </c>
      <c r="X54" s="121">
        <f t="shared" si="15"/>
        <v>74.573165934544818</v>
      </c>
      <c r="Y54" s="121">
        <f t="shared" si="15"/>
        <v>77.466070551259222</v>
      </c>
      <c r="Z54" s="121">
        <f t="shared" si="15"/>
        <v>80.358975167973625</v>
      </c>
      <c r="AA54" s="121">
        <f t="shared" si="15"/>
        <v>83.251879784688001</v>
      </c>
      <c r="AB54" s="121">
        <f t="shared" si="15"/>
        <v>86.7434979985468</v>
      </c>
      <c r="AC54" s="121">
        <f t="shared" si="15"/>
        <v>90.2351162124056</v>
      </c>
      <c r="AD54" s="121">
        <f t="shared" si="15"/>
        <v>93.7267344262644</v>
      </c>
      <c r="AE54" s="121">
        <f t="shared" si="15"/>
        <v>97.2183526401232</v>
      </c>
      <c r="AF54" s="121">
        <f t="shared" si="15"/>
        <v>100.709970853982</v>
      </c>
      <c r="AG54" s="121">
        <f t="shared" si="15"/>
        <v>104.9548035272808</v>
      </c>
      <c r="AH54" s="121">
        <f t="shared" si="15"/>
        <v>109.1996362005796</v>
      </c>
      <c r="AI54" s="121">
        <f t="shared" si="15"/>
        <v>113.44446887387841</v>
      </c>
      <c r="AJ54" s="121">
        <f t="shared" si="15"/>
        <v>117.68930154717721</v>
      </c>
    </row>
    <row r="55" spans="2:36">
      <c r="B55" s="117" t="s">
        <v>173</v>
      </c>
      <c r="C55" s="122"/>
      <c r="E55" s="117"/>
      <c r="F55" s="121"/>
      <c r="H55" s="35" t="s">
        <v>15</v>
      </c>
      <c r="I55" s="121">
        <f t="shared" si="15"/>
        <v>10.684819934898</v>
      </c>
      <c r="J55" s="121">
        <f t="shared" si="15"/>
        <v>10.522418050588</v>
      </c>
      <c r="K55" s="121">
        <f t="shared" si="15"/>
        <v>10.360016166277999</v>
      </c>
      <c r="L55" s="121">
        <f t="shared" si="15"/>
        <v>10.197614281968001</v>
      </c>
      <c r="M55" s="121">
        <f t="shared" si="15"/>
        <v>10.048064596531201</v>
      </c>
      <c r="N55" s="121">
        <f t="shared" si="15"/>
        <v>9.8985149110944022</v>
      </c>
      <c r="O55" s="121">
        <f t="shared" si="15"/>
        <v>9.7489652256576029</v>
      </c>
      <c r="P55" s="121">
        <f t="shared" si="15"/>
        <v>9.5994155402208037</v>
      </c>
      <c r="Q55" s="121">
        <f t="shared" si="15"/>
        <v>9.4498658547840009</v>
      </c>
      <c r="R55" s="121">
        <f t="shared" si="15"/>
        <v>9.3289080907968014</v>
      </c>
      <c r="S55" s="121">
        <f t="shared" si="15"/>
        <v>9.2079503268096019</v>
      </c>
      <c r="T55" s="121">
        <f t="shared" si="15"/>
        <v>9.0869925628224024</v>
      </c>
      <c r="U55" s="121">
        <f t="shared" si="15"/>
        <v>8.9660347988352029</v>
      </c>
      <c r="V55" s="121">
        <f t="shared" si="15"/>
        <v>8.8450770348480017</v>
      </c>
      <c r="W55" s="121">
        <f t="shared" si="15"/>
        <v>8.7615659120004015</v>
      </c>
      <c r="X55" s="121">
        <f t="shared" si="15"/>
        <v>8.6780547891528013</v>
      </c>
      <c r="Y55" s="121">
        <f t="shared" si="15"/>
        <v>8.5945436663052011</v>
      </c>
      <c r="Z55" s="121">
        <f t="shared" si="15"/>
        <v>8.5110325434576009</v>
      </c>
      <c r="AA55" s="121">
        <f t="shared" si="15"/>
        <v>8.4275214206099971</v>
      </c>
      <c r="AB55" s="121">
        <f t="shared" si="15"/>
        <v>8.3774795319675981</v>
      </c>
      <c r="AC55" s="121">
        <f t="shared" si="15"/>
        <v>8.3274376433251991</v>
      </c>
      <c r="AD55" s="121">
        <f t="shared" si="15"/>
        <v>8.2773957546828001</v>
      </c>
      <c r="AE55" s="121">
        <f t="shared" si="15"/>
        <v>8.2273538660404011</v>
      </c>
      <c r="AF55" s="121">
        <f t="shared" si="15"/>
        <v>8.1773119773979985</v>
      </c>
      <c r="AG55" s="121">
        <f t="shared" si="15"/>
        <v>8.156843246297198</v>
      </c>
      <c r="AH55" s="121">
        <f t="shared" si="15"/>
        <v>8.1363745151963975</v>
      </c>
      <c r="AI55" s="121">
        <f t="shared" si="15"/>
        <v>8.115905784095597</v>
      </c>
      <c r="AJ55" s="121">
        <f t="shared" si="15"/>
        <v>8.0954370529947965</v>
      </c>
    </row>
    <row r="56" spans="2:36">
      <c r="B56" s="117" t="s">
        <v>173</v>
      </c>
      <c r="C56" s="122"/>
      <c r="E56" s="117"/>
      <c r="F56" s="121"/>
      <c r="H56" s="35" t="s">
        <v>19</v>
      </c>
      <c r="I56" s="121">
        <f t="shared" si="15"/>
        <v>10.683416029531601</v>
      </c>
      <c r="J56" s="121">
        <f t="shared" si="15"/>
        <v>10.520312192538402</v>
      </c>
      <c r="K56" s="121">
        <f t="shared" si="15"/>
        <v>10.357208355545202</v>
      </c>
      <c r="L56" s="121">
        <f t="shared" si="15"/>
        <v>10.194104518552001</v>
      </c>
      <c r="M56" s="121">
        <f t="shared" si="15"/>
        <v>10.044331579195601</v>
      </c>
      <c r="N56" s="121">
        <f t="shared" si="15"/>
        <v>9.894558639839202</v>
      </c>
      <c r="O56" s="121">
        <f t="shared" si="15"/>
        <v>9.7447857004828027</v>
      </c>
      <c r="P56" s="121">
        <f t="shared" si="15"/>
        <v>9.5950127611264033</v>
      </c>
      <c r="Q56" s="121">
        <f t="shared" si="15"/>
        <v>9.4452398217700004</v>
      </c>
      <c r="R56" s="121">
        <f t="shared" si="15"/>
        <v>32.6149095809008</v>
      </c>
      <c r="S56" s="121">
        <f t="shared" si="15"/>
        <v>55.784579340031598</v>
      </c>
      <c r="T56" s="121">
        <f t="shared" si="15"/>
        <v>78.954249099162396</v>
      </c>
      <c r="U56" s="121">
        <f t="shared" si="15"/>
        <v>102.12391885829319</v>
      </c>
      <c r="V56" s="121">
        <f t="shared" si="15"/>
        <v>125.29358861742401</v>
      </c>
      <c r="W56" s="121">
        <f t="shared" si="15"/>
        <v>137.87139825438243</v>
      </c>
      <c r="X56" s="121">
        <f t="shared" si="15"/>
        <v>150.44920789134085</v>
      </c>
      <c r="Y56" s="121">
        <f t="shared" si="15"/>
        <v>163.02701752829927</v>
      </c>
      <c r="Z56" s="121">
        <f t="shared" si="15"/>
        <v>175.60482716525769</v>
      </c>
      <c r="AA56" s="121">
        <f t="shared" si="15"/>
        <v>188.18263680221611</v>
      </c>
      <c r="AB56" s="121">
        <f t="shared" si="15"/>
        <v>202.39666240802129</v>
      </c>
      <c r="AC56" s="121">
        <f t="shared" si="15"/>
        <v>216.61068801382646</v>
      </c>
      <c r="AD56" s="121">
        <f t="shared" si="15"/>
        <v>230.82471361963164</v>
      </c>
      <c r="AE56" s="121">
        <f t="shared" si="15"/>
        <v>245.03873922543681</v>
      </c>
      <c r="AF56" s="121">
        <f t="shared" si="15"/>
        <v>259.25276483124202</v>
      </c>
      <c r="AG56" s="121">
        <f t="shared" si="15"/>
        <v>274.66921805831521</v>
      </c>
      <c r="AH56" s="121">
        <f t="shared" si="15"/>
        <v>290.0856712853884</v>
      </c>
      <c r="AI56" s="121">
        <f t="shared" si="15"/>
        <v>305.50212451246159</v>
      </c>
      <c r="AJ56" s="121">
        <f t="shared" si="15"/>
        <v>320.91857773953478</v>
      </c>
    </row>
    <row r="57" spans="2:36">
      <c r="B57" s="117" t="s">
        <v>173</v>
      </c>
      <c r="C57" s="122"/>
      <c r="E57" s="117"/>
      <c r="F57" s="121"/>
      <c r="H57" s="35" t="s">
        <v>22</v>
      </c>
      <c r="I57" s="121">
        <f t="shared" si="15"/>
        <v>10.683416029531601</v>
      </c>
      <c r="J57" s="121">
        <f t="shared" si="15"/>
        <v>10.520312192538402</v>
      </c>
      <c r="K57" s="121">
        <f t="shared" si="15"/>
        <v>10.357208355545202</v>
      </c>
      <c r="L57" s="121">
        <f t="shared" si="15"/>
        <v>10.194104518552001</v>
      </c>
      <c r="M57" s="121">
        <f t="shared" si="15"/>
        <v>10.044331579195601</v>
      </c>
      <c r="N57" s="121">
        <f t="shared" si="15"/>
        <v>9.894558639839202</v>
      </c>
      <c r="O57" s="121">
        <f t="shared" si="15"/>
        <v>9.7447857004828027</v>
      </c>
      <c r="P57" s="121">
        <f t="shared" si="15"/>
        <v>9.5950127611264033</v>
      </c>
      <c r="Q57" s="121">
        <f t="shared" si="15"/>
        <v>9.4452398217700004</v>
      </c>
      <c r="R57" s="121">
        <f t="shared" si="15"/>
        <v>27.039689652890402</v>
      </c>
      <c r="S57" s="121">
        <f t="shared" si="15"/>
        <v>44.634139484010802</v>
      </c>
      <c r="T57" s="121">
        <f t="shared" si="15"/>
        <v>62.228589315131202</v>
      </c>
      <c r="U57" s="121">
        <f t="shared" si="15"/>
        <v>79.823039146251602</v>
      </c>
      <c r="V57" s="121">
        <f t="shared" si="15"/>
        <v>97.417488977372017</v>
      </c>
      <c r="W57" s="121">
        <f t="shared" si="15"/>
        <v>101.47175893300961</v>
      </c>
      <c r="X57" s="121">
        <f t="shared" si="15"/>
        <v>105.5260288886472</v>
      </c>
      <c r="Y57" s="121">
        <f t="shared" si="15"/>
        <v>109.5802988442848</v>
      </c>
      <c r="Z57" s="121">
        <f t="shared" si="15"/>
        <v>113.63456879992239</v>
      </c>
      <c r="AA57" s="121">
        <f t="shared" si="15"/>
        <v>117.68883875556</v>
      </c>
      <c r="AB57" s="121">
        <f t="shared" si="15"/>
        <v>121.4130372400912</v>
      </c>
      <c r="AC57" s="121">
        <f t="shared" si="15"/>
        <v>125.1372357246224</v>
      </c>
      <c r="AD57" s="121">
        <f t="shared" si="15"/>
        <v>128.8614342091536</v>
      </c>
      <c r="AE57" s="121">
        <f t="shared" si="15"/>
        <v>132.5856326936848</v>
      </c>
      <c r="AF57" s="121">
        <f t="shared" si="15"/>
        <v>136.309831178216</v>
      </c>
      <c r="AG57" s="121">
        <f t="shared" si="15"/>
        <v>139.9807007772028</v>
      </c>
      <c r="AH57" s="121">
        <f t="shared" si="15"/>
        <v>143.6515703761896</v>
      </c>
      <c r="AI57" s="121">
        <f t="shared" si="15"/>
        <v>147.32243997517639</v>
      </c>
      <c r="AJ57" s="121">
        <f t="shared" si="15"/>
        <v>150.99330957416319</v>
      </c>
    </row>
    <row r="58" spans="2:36">
      <c r="B58" s="117" t="s">
        <v>173</v>
      </c>
      <c r="C58" s="122"/>
      <c r="E58" s="117"/>
      <c r="F58" s="121"/>
      <c r="H58" s="35" t="s">
        <v>24</v>
      </c>
      <c r="I58" s="121">
        <f t="shared" si="15"/>
        <v>19.173481846293999</v>
      </c>
      <c r="J58" s="121">
        <f t="shared" si="15"/>
        <v>23.255410917681999</v>
      </c>
      <c r="K58" s="121">
        <f t="shared" si="15"/>
        <v>27.337339989069999</v>
      </c>
      <c r="L58" s="121">
        <f t="shared" si="15"/>
        <v>31.419269060457999</v>
      </c>
      <c r="M58" s="121">
        <f t="shared" si="15"/>
        <v>34.9382503797844</v>
      </c>
      <c r="N58" s="121">
        <f t="shared" si="15"/>
        <v>38.4572316991108</v>
      </c>
      <c r="O58" s="121">
        <f t="shared" si="15"/>
        <v>41.9762130184372</v>
      </c>
      <c r="P58" s="121">
        <f t="shared" si="15"/>
        <v>45.4951943377636</v>
      </c>
      <c r="Q58" s="121">
        <f t="shared" si="15"/>
        <v>49.014175657089993</v>
      </c>
      <c r="R58" s="121">
        <f t="shared" si="15"/>
        <v>49.260799456695992</v>
      </c>
      <c r="S58" s="121">
        <f t="shared" si="15"/>
        <v>49.50742325630199</v>
      </c>
      <c r="T58" s="121">
        <f t="shared" si="15"/>
        <v>49.754047055907989</v>
      </c>
      <c r="U58" s="121">
        <f t="shared" si="15"/>
        <v>50.000670855513988</v>
      </c>
      <c r="V58" s="121">
        <f t="shared" si="15"/>
        <v>50.247294655119987</v>
      </c>
      <c r="W58" s="121">
        <f t="shared" si="15"/>
        <v>50.783110597825988</v>
      </c>
      <c r="X58" s="121">
        <f t="shared" si="15"/>
        <v>51.31892654053199</v>
      </c>
      <c r="Y58" s="121">
        <f t="shared" si="15"/>
        <v>51.854742483237992</v>
      </c>
      <c r="Z58" s="121">
        <f t="shared" si="15"/>
        <v>52.390558425943993</v>
      </c>
      <c r="AA58" s="121">
        <f t="shared" si="15"/>
        <v>52.926374368650002</v>
      </c>
      <c r="AB58" s="121">
        <f t="shared" si="15"/>
        <v>53.642654937641602</v>
      </c>
      <c r="AC58" s="121">
        <f t="shared" si="15"/>
        <v>54.358935506633202</v>
      </c>
      <c r="AD58" s="121">
        <f t="shared" si="15"/>
        <v>55.075216075624802</v>
      </c>
      <c r="AE58" s="121">
        <f t="shared" si="15"/>
        <v>55.791496644616402</v>
      </c>
      <c r="AF58" s="121">
        <f t="shared" si="15"/>
        <v>56.507777213607987</v>
      </c>
      <c r="AG58" s="121">
        <f t="shared" si="15"/>
        <v>57.263574656870389</v>
      </c>
      <c r="AH58" s="121">
        <f t="shared" si="15"/>
        <v>58.019372100132792</v>
      </c>
      <c r="AI58" s="121">
        <f t="shared" si="15"/>
        <v>58.775169543395194</v>
      </c>
      <c r="AJ58" s="121">
        <f t="shared" si="15"/>
        <v>59.530966986657596</v>
      </c>
    </row>
    <row r="59" spans="2:36">
      <c r="B59" s="117" t="s">
        <v>173</v>
      </c>
      <c r="C59" s="122"/>
      <c r="E59" s="117"/>
      <c r="F59" s="121"/>
      <c r="H59" s="35" t="s">
        <v>25</v>
      </c>
      <c r="I59" s="121">
        <f t="shared" si="15"/>
        <v>65.469516307497202</v>
      </c>
      <c r="J59" s="121">
        <f t="shared" si="15"/>
        <v>92.699462609486801</v>
      </c>
      <c r="K59" s="121">
        <f t="shared" si="15"/>
        <v>119.9294089114764</v>
      </c>
      <c r="L59" s="121">
        <f t="shared" si="15"/>
        <v>147.159355213466</v>
      </c>
      <c r="M59" s="121">
        <f t="shared" si="15"/>
        <v>156.13345781564999</v>
      </c>
      <c r="N59" s="121">
        <f t="shared" si="15"/>
        <v>165.10756041783398</v>
      </c>
      <c r="O59" s="121">
        <f t="shared" si="15"/>
        <v>174.08166302001797</v>
      </c>
      <c r="P59" s="121">
        <f t="shared" si="15"/>
        <v>183.05576562220196</v>
      </c>
      <c r="Q59" s="121">
        <f t="shared" si="15"/>
        <v>192.02986822438601</v>
      </c>
      <c r="R59" s="121">
        <f t="shared" si="15"/>
        <v>205.74762901307679</v>
      </c>
      <c r="S59" s="121">
        <f t="shared" si="15"/>
        <v>219.46538980176757</v>
      </c>
      <c r="T59" s="121">
        <f t="shared" si="15"/>
        <v>233.18315059045835</v>
      </c>
      <c r="U59" s="121">
        <f t="shared" si="15"/>
        <v>246.90091137914914</v>
      </c>
      <c r="V59" s="121">
        <f t="shared" si="15"/>
        <v>260.61867216783997</v>
      </c>
      <c r="W59" s="121">
        <f t="shared" si="15"/>
        <v>276.92654087641876</v>
      </c>
      <c r="X59" s="121">
        <f t="shared" si="15"/>
        <v>293.23440958499754</v>
      </c>
      <c r="Y59" s="121">
        <f t="shared" si="15"/>
        <v>309.54227829357632</v>
      </c>
      <c r="Z59" s="121">
        <f t="shared" si="15"/>
        <v>325.8501470021551</v>
      </c>
      <c r="AA59" s="121">
        <f t="shared" si="15"/>
        <v>342.15801571073399</v>
      </c>
      <c r="AB59" s="121">
        <f t="shared" si="15"/>
        <v>362.56755237622519</v>
      </c>
      <c r="AC59" s="121">
        <f t="shared" si="15"/>
        <v>382.9770890417164</v>
      </c>
      <c r="AD59" s="121">
        <f t="shared" si="15"/>
        <v>403.3866257072076</v>
      </c>
      <c r="AE59" s="121">
        <f t="shared" si="15"/>
        <v>423.7961623726988</v>
      </c>
      <c r="AF59" s="121">
        <f t="shared" si="15"/>
        <v>444.20569903818989</v>
      </c>
      <c r="AG59" s="121">
        <f t="shared" si="15"/>
        <v>469.32704171267989</v>
      </c>
      <c r="AH59" s="121">
        <f t="shared" si="15"/>
        <v>494.44838438716988</v>
      </c>
      <c r="AI59" s="121">
        <f t="shared" si="15"/>
        <v>519.56972706165993</v>
      </c>
      <c r="AJ59" s="121">
        <f t="shared" si="15"/>
        <v>544.69106973614998</v>
      </c>
    </row>
    <row r="60" spans="2:36">
      <c r="B60" s="117" t="s">
        <v>173</v>
      </c>
      <c r="C60" s="122"/>
      <c r="E60" s="117"/>
      <c r="F60" s="121"/>
      <c r="H60" s="117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</row>
    <row r="61" spans="2:36">
      <c r="B61" s="117" t="s">
        <v>173</v>
      </c>
      <c r="C61" s="122"/>
      <c r="E61" s="117"/>
      <c r="F61" s="121"/>
      <c r="H61" s="117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</row>
    <row r="62" spans="2:36">
      <c r="B62" s="117" t="s">
        <v>173</v>
      </c>
      <c r="C62" s="122"/>
      <c r="E62" s="117"/>
      <c r="F62" s="121"/>
      <c r="H62" s="117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</row>
    <row r="64" spans="2:36">
      <c r="B64" s="113" t="s">
        <v>269</v>
      </c>
      <c r="E64" s="113" t="s">
        <v>66</v>
      </c>
      <c r="H64" s="113" t="s">
        <v>69</v>
      </c>
      <c r="I64" s="115">
        <v>2023</v>
      </c>
      <c r="J64" s="115">
        <v>2024</v>
      </c>
      <c r="K64" s="115">
        <v>2025</v>
      </c>
      <c r="L64" s="115">
        <v>2026</v>
      </c>
      <c r="M64" s="115">
        <v>2027</v>
      </c>
      <c r="N64" s="115">
        <v>2028</v>
      </c>
      <c r="O64" s="115">
        <v>2029</v>
      </c>
      <c r="P64" s="115">
        <v>2030</v>
      </c>
      <c r="Q64" s="115">
        <v>2031</v>
      </c>
      <c r="R64" s="115">
        <v>2032</v>
      </c>
      <c r="S64" s="115">
        <v>2033</v>
      </c>
      <c r="T64" s="115">
        <v>2034</v>
      </c>
      <c r="U64" s="115">
        <v>2035</v>
      </c>
      <c r="V64" s="115">
        <v>2036</v>
      </c>
      <c r="W64" s="115">
        <v>2037</v>
      </c>
      <c r="X64" s="115">
        <v>2038</v>
      </c>
      <c r="Y64" s="115">
        <v>2039</v>
      </c>
      <c r="Z64" s="115">
        <v>2040</v>
      </c>
      <c r="AA64" s="115">
        <v>2041</v>
      </c>
      <c r="AB64" s="115">
        <v>2042</v>
      </c>
      <c r="AC64" s="115">
        <v>2043</v>
      </c>
      <c r="AD64" s="115">
        <v>2044</v>
      </c>
      <c r="AE64" s="115">
        <v>2045</v>
      </c>
      <c r="AF64" s="115">
        <v>2046</v>
      </c>
      <c r="AG64" s="115">
        <v>2047</v>
      </c>
      <c r="AH64" s="115">
        <v>2048</v>
      </c>
      <c r="AI64" s="115">
        <v>2049</v>
      </c>
      <c r="AJ64" s="115">
        <v>2050</v>
      </c>
    </row>
    <row r="65" spans="2:36">
      <c r="B65" s="117" t="s">
        <v>173</v>
      </c>
      <c r="C65" s="122"/>
      <c r="E65" s="117"/>
      <c r="F65" s="121"/>
      <c r="H65" s="117" t="s">
        <v>8</v>
      </c>
      <c r="I65" s="121">
        <f>I137</f>
        <v>10.684819934898</v>
      </c>
      <c r="J65" s="121">
        <f t="shared" ref="J65:AJ65" si="16">J137</f>
        <v>10.522418050588</v>
      </c>
      <c r="K65" s="121">
        <f t="shared" si="16"/>
        <v>10.360016166277999</v>
      </c>
      <c r="L65" s="121">
        <f t="shared" si="16"/>
        <v>10.197614281968001</v>
      </c>
      <c r="M65" s="121">
        <f t="shared" si="16"/>
        <v>10.048064596531201</v>
      </c>
      <c r="N65" s="121">
        <f t="shared" si="16"/>
        <v>9.8985149110944022</v>
      </c>
      <c r="O65" s="121">
        <f t="shared" si="16"/>
        <v>9.7489652256576029</v>
      </c>
      <c r="P65" s="121">
        <f t="shared" si="16"/>
        <v>9.5994155402208037</v>
      </c>
      <c r="Q65" s="121">
        <f t="shared" si="16"/>
        <v>9.4498658547840009</v>
      </c>
      <c r="R65" s="121">
        <f t="shared" si="16"/>
        <v>9.3289080907968014</v>
      </c>
      <c r="S65" s="121">
        <f t="shared" si="16"/>
        <v>9.2079503268096019</v>
      </c>
      <c r="T65" s="121">
        <f t="shared" si="16"/>
        <v>9.0869925628224024</v>
      </c>
      <c r="U65" s="121">
        <f t="shared" si="16"/>
        <v>8.9660347988352029</v>
      </c>
      <c r="V65" s="121">
        <f t="shared" si="16"/>
        <v>8.8450770348480017</v>
      </c>
      <c r="W65" s="121">
        <f t="shared" si="16"/>
        <v>8.7615659120004015</v>
      </c>
      <c r="X65" s="121">
        <f t="shared" si="16"/>
        <v>8.6780547891528013</v>
      </c>
      <c r="Y65" s="121">
        <f t="shared" si="16"/>
        <v>8.5945436663052011</v>
      </c>
      <c r="Z65" s="121">
        <f t="shared" si="16"/>
        <v>8.5110325434576009</v>
      </c>
      <c r="AA65" s="121">
        <f t="shared" si="16"/>
        <v>8.4275214206099971</v>
      </c>
      <c r="AB65" s="121">
        <f t="shared" si="16"/>
        <v>8.3774795319675981</v>
      </c>
      <c r="AC65" s="121">
        <f t="shared" si="16"/>
        <v>8.3274376433251991</v>
      </c>
      <c r="AD65" s="121">
        <f t="shared" si="16"/>
        <v>8.2773957546828001</v>
      </c>
      <c r="AE65" s="121">
        <f t="shared" si="16"/>
        <v>8.2273538660404011</v>
      </c>
      <c r="AF65" s="121">
        <f t="shared" si="16"/>
        <v>8.1773119773979985</v>
      </c>
      <c r="AG65" s="121">
        <f t="shared" si="16"/>
        <v>8.156843246297198</v>
      </c>
      <c r="AH65" s="121">
        <f t="shared" si="16"/>
        <v>8.1363745151963975</v>
      </c>
      <c r="AI65" s="121">
        <f t="shared" si="16"/>
        <v>8.115905784095597</v>
      </c>
      <c r="AJ65" s="121">
        <f t="shared" si="16"/>
        <v>8.0954370529947965</v>
      </c>
    </row>
    <row r="66" spans="2:36">
      <c r="B66" s="117" t="s">
        <v>173</v>
      </c>
      <c r="C66" s="122"/>
      <c r="E66" s="117"/>
      <c r="F66" s="121"/>
      <c r="H66" s="35" t="s">
        <v>12</v>
      </c>
      <c r="I66" s="121">
        <f t="shared" ref="I66:AJ71" si="17">I138</f>
        <v>25.0414200753724</v>
      </c>
      <c r="J66" s="121">
        <f t="shared" si="17"/>
        <v>32.057318261299599</v>
      </c>
      <c r="K66" s="121">
        <f t="shared" si="17"/>
        <v>39.073216447226798</v>
      </c>
      <c r="L66" s="121">
        <f t="shared" si="17"/>
        <v>46.089114633153997</v>
      </c>
      <c r="M66" s="121">
        <f t="shared" si="17"/>
        <v>48.072200152634402</v>
      </c>
      <c r="N66" s="121">
        <f t="shared" si="17"/>
        <v>50.055285672114806</v>
      </c>
      <c r="O66" s="121">
        <f t="shared" si="17"/>
        <v>52.038371191595211</v>
      </c>
      <c r="P66" s="121">
        <f t="shared" si="17"/>
        <v>54.021456711075615</v>
      </c>
      <c r="Q66" s="121">
        <f t="shared" si="17"/>
        <v>56.004542230556012</v>
      </c>
      <c r="R66" s="121">
        <f t="shared" si="17"/>
        <v>58.561105124668011</v>
      </c>
      <c r="S66" s="121">
        <f t="shared" si="17"/>
        <v>61.117668018780009</v>
      </c>
      <c r="T66" s="121">
        <f t="shared" si="17"/>
        <v>63.674230912892007</v>
      </c>
      <c r="U66" s="121">
        <f t="shared" si="17"/>
        <v>66.230793807004005</v>
      </c>
      <c r="V66" s="121">
        <f t="shared" si="17"/>
        <v>68.787356701116011</v>
      </c>
      <c r="W66" s="121">
        <f t="shared" si="17"/>
        <v>71.680261317830414</v>
      </c>
      <c r="X66" s="121">
        <f t="shared" si="17"/>
        <v>74.573165934544818</v>
      </c>
      <c r="Y66" s="121">
        <f t="shared" si="17"/>
        <v>77.466070551259222</v>
      </c>
      <c r="Z66" s="121">
        <f t="shared" si="17"/>
        <v>80.358975167973625</v>
      </c>
      <c r="AA66" s="121">
        <f t="shared" si="17"/>
        <v>83.251879784688001</v>
      </c>
      <c r="AB66" s="121">
        <f t="shared" si="17"/>
        <v>86.7434979985468</v>
      </c>
      <c r="AC66" s="121">
        <f t="shared" si="17"/>
        <v>90.2351162124056</v>
      </c>
      <c r="AD66" s="121">
        <f t="shared" si="17"/>
        <v>93.7267344262644</v>
      </c>
      <c r="AE66" s="121">
        <f t="shared" si="17"/>
        <v>97.2183526401232</v>
      </c>
      <c r="AF66" s="121">
        <f t="shared" si="17"/>
        <v>100.709970853982</v>
      </c>
      <c r="AG66" s="121">
        <f t="shared" si="17"/>
        <v>104.9548035272808</v>
      </c>
      <c r="AH66" s="121">
        <f t="shared" si="17"/>
        <v>109.1996362005796</v>
      </c>
      <c r="AI66" s="121">
        <f t="shared" si="17"/>
        <v>113.44446887387841</v>
      </c>
      <c r="AJ66" s="121">
        <f t="shared" si="17"/>
        <v>117.68930154717721</v>
      </c>
    </row>
    <row r="67" spans="2:36">
      <c r="B67" s="117" t="s">
        <v>173</v>
      </c>
      <c r="C67" s="122"/>
      <c r="E67" s="117"/>
      <c r="F67" s="121"/>
      <c r="H67" s="35" t="s">
        <v>15</v>
      </c>
      <c r="I67" s="121">
        <f t="shared" si="17"/>
        <v>10.684819934898</v>
      </c>
      <c r="J67" s="121">
        <f t="shared" si="17"/>
        <v>10.522418050588</v>
      </c>
      <c r="K67" s="121">
        <f t="shared" si="17"/>
        <v>10.360016166277999</v>
      </c>
      <c r="L67" s="121">
        <f t="shared" si="17"/>
        <v>10.197614281968001</v>
      </c>
      <c r="M67" s="121">
        <f t="shared" si="17"/>
        <v>10.048064596531201</v>
      </c>
      <c r="N67" s="121">
        <f t="shared" si="17"/>
        <v>9.8985149110944022</v>
      </c>
      <c r="O67" s="121">
        <f t="shared" si="17"/>
        <v>9.7489652256576029</v>
      </c>
      <c r="P67" s="121">
        <f t="shared" si="17"/>
        <v>9.5994155402208037</v>
      </c>
      <c r="Q67" s="121">
        <f t="shared" si="17"/>
        <v>9.4498658547840009</v>
      </c>
      <c r="R67" s="121">
        <f t="shared" si="17"/>
        <v>9.3289080907968014</v>
      </c>
      <c r="S67" s="121">
        <f t="shared" si="17"/>
        <v>9.2079503268096019</v>
      </c>
      <c r="T67" s="121">
        <f t="shared" si="17"/>
        <v>9.0869925628224024</v>
      </c>
      <c r="U67" s="121">
        <f t="shared" si="17"/>
        <v>8.9660347988352029</v>
      </c>
      <c r="V67" s="121">
        <f t="shared" si="17"/>
        <v>8.8450770348480017</v>
      </c>
      <c r="W67" s="121">
        <f t="shared" si="17"/>
        <v>8.7615659120004015</v>
      </c>
      <c r="X67" s="121">
        <f t="shared" si="17"/>
        <v>8.6780547891528013</v>
      </c>
      <c r="Y67" s="121">
        <f t="shared" si="17"/>
        <v>8.5945436663052011</v>
      </c>
      <c r="Z67" s="121">
        <f t="shared" si="17"/>
        <v>8.5110325434576009</v>
      </c>
      <c r="AA67" s="121">
        <f t="shared" si="17"/>
        <v>8.4275214206099971</v>
      </c>
      <c r="AB67" s="121">
        <f t="shared" si="17"/>
        <v>8.3774795319675981</v>
      </c>
      <c r="AC67" s="121">
        <f t="shared" si="17"/>
        <v>8.3274376433251991</v>
      </c>
      <c r="AD67" s="121">
        <f t="shared" si="17"/>
        <v>8.2773957546828001</v>
      </c>
      <c r="AE67" s="121">
        <f t="shared" si="17"/>
        <v>8.2273538660404011</v>
      </c>
      <c r="AF67" s="121">
        <f t="shared" si="17"/>
        <v>8.1773119773979985</v>
      </c>
      <c r="AG67" s="121">
        <f t="shared" si="17"/>
        <v>8.156843246297198</v>
      </c>
      <c r="AH67" s="121">
        <f t="shared" si="17"/>
        <v>8.1363745151963975</v>
      </c>
      <c r="AI67" s="121">
        <f t="shared" si="17"/>
        <v>8.115905784095597</v>
      </c>
      <c r="AJ67" s="121">
        <f t="shared" si="17"/>
        <v>8.0954370529947965</v>
      </c>
    </row>
    <row r="68" spans="2:36">
      <c r="B68" s="117" t="s">
        <v>173</v>
      </c>
      <c r="C68" s="122"/>
      <c r="E68" s="117"/>
      <c r="F68" s="121"/>
      <c r="H68" s="35" t="s">
        <v>19</v>
      </c>
      <c r="I68" s="121">
        <f t="shared" si="17"/>
        <v>10.683416029531601</v>
      </c>
      <c r="J68" s="121">
        <f t="shared" si="17"/>
        <v>10.520312192538402</v>
      </c>
      <c r="K68" s="121">
        <f t="shared" si="17"/>
        <v>10.357208355545202</v>
      </c>
      <c r="L68" s="121">
        <f t="shared" si="17"/>
        <v>10.194104518552001</v>
      </c>
      <c r="M68" s="121">
        <f t="shared" si="17"/>
        <v>10.044331579195601</v>
      </c>
      <c r="N68" s="121">
        <f t="shared" si="17"/>
        <v>9.894558639839202</v>
      </c>
      <c r="O68" s="121">
        <f t="shared" si="17"/>
        <v>9.7447857004828027</v>
      </c>
      <c r="P68" s="121">
        <f t="shared" si="17"/>
        <v>9.5950127611264033</v>
      </c>
      <c r="Q68" s="121">
        <f t="shared" si="17"/>
        <v>9.4452398217700004</v>
      </c>
      <c r="R68" s="121">
        <f t="shared" si="17"/>
        <v>32.6149095809008</v>
      </c>
      <c r="S68" s="121">
        <f t="shared" si="17"/>
        <v>55.784579340031598</v>
      </c>
      <c r="T68" s="121">
        <f t="shared" si="17"/>
        <v>78.954249099162396</v>
      </c>
      <c r="U68" s="121">
        <f t="shared" si="17"/>
        <v>102.12391885829319</v>
      </c>
      <c r="V68" s="121">
        <f t="shared" si="17"/>
        <v>125.29358861742401</v>
      </c>
      <c r="W68" s="121">
        <f t="shared" si="17"/>
        <v>137.87139825438243</v>
      </c>
      <c r="X68" s="121">
        <f t="shared" si="17"/>
        <v>150.44920789134085</v>
      </c>
      <c r="Y68" s="121">
        <f t="shared" si="17"/>
        <v>163.02701752829927</v>
      </c>
      <c r="Z68" s="121">
        <f t="shared" si="17"/>
        <v>175.60482716525769</v>
      </c>
      <c r="AA68" s="121">
        <f t="shared" si="17"/>
        <v>188.18263680221611</v>
      </c>
      <c r="AB68" s="121">
        <f t="shared" si="17"/>
        <v>202.39666240802129</v>
      </c>
      <c r="AC68" s="121">
        <f t="shared" si="17"/>
        <v>216.61068801382646</v>
      </c>
      <c r="AD68" s="121">
        <f t="shared" si="17"/>
        <v>230.82471361963164</v>
      </c>
      <c r="AE68" s="121">
        <f t="shared" si="17"/>
        <v>245.03873922543681</v>
      </c>
      <c r="AF68" s="121">
        <f t="shared" si="17"/>
        <v>259.25276483124202</v>
      </c>
      <c r="AG68" s="121">
        <f t="shared" si="17"/>
        <v>274.66921805831521</v>
      </c>
      <c r="AH68" s="121">
        <f t="shared" si="17"/>
        <v>290.0856712853884</v>
      </c>
      <c r="AI68" s="121">
        <f t="shared" si="17"/>
        <v>305.50212451246159</v>
      </c>
      <c r="AJ68" s="121">
        <f t="shared" si="17"/>
        <v>320.91857773953478</v>
      </c>
    </row>
    <row r="69" spans="2:36">
      <c r="B69" s="117" t="s">
        <v>173</v>
      </c>
      <c r="C69" s="122"/>
      <c r="E69" s="117"/>
      <c r="F69" s="121"/>
      <c r="H69" s="35" t="s">
        <v>22</v>
      </c>
      <c r="I69" s="121">
        <f t="shared" si="17"/>
        <v>10.683416029531601</v>
      </c>
      <c r="J69" s="121">
        <f t="shared" si="17"/>
        <v>10.520312192538402</v>
      </c>
      <c r="K69" s="121">
        <f t="shared" si="17"/>
        <v>10.357208355545202</v>
      </c>
      <c r="L69" s="121">
        <f t="shared" si="17"/>
        <v>10.194104518552001</v>
      </c>
      <c r="M69" s="121">
        <f t="shared" si="17"/>
        <v>10.044331579195601</v>
      </c>
      <c r="N69" s="121">
        <f t="shared" si="17"/>
        <v>9.894558639839202</v>
      </c>
      <c r="O69" s="121">
        <f t="shared" si="17"/>
        <v>9.7447857004828027</v>
      </c>
      <c r="P69" s="121">
        <f t="shared" si="17"/>
        <v>9.5950127611264033</v>
      </c>
      <c r="Q69" s="121">
        <f t="shared" si="17"/>
        <v>9.4452398217700004</v>
      </c>
      <c r="R69" s="121">
        <f t="shared" si="17"/>
        <v>27.039689652890402</v>
      </c>
      <c r="S69" s="121">
        <f t="shared" si="17"/>
        <v>44.634139484010802</v>
      </c>
      <c r="T69" s="121">
        <f t="shared" si="17"/>
        <v>62.228589315131202</v>
      </c>
      <c r="U69" s="121">
        <f t="shared" si="17"/>
        <v>79.823039146251602</v>
      </c>
      <c r="V69" s="121">
        <f t="shared" si="17"/>
        <v>97.417488977372017</v>
      </c>
      <c r="W69" s="121">
        <f t="shared" si="17"/>
        <v>101.47175893300961</v>
      </c>
      <c r="X69" s="121">
        <f t="shared" si="17"/>
        <v>105.5260288886472</v>
      </c>
      <c r="Y69" s="121">
        <f t="shared" si="17"/>
        <v>109.5802988442848</v>
      </c>
      <c r="Z69" s="121">
        <f t="shared" si="17"/>
        <v>113.63456879992239</v>
      </c>
      <c r="AA69" s="121">
        <f t="shared" si="17"/>
        <v>117.68883875556</v>
      </c>
      <c r="AB69" s="121">
        <f t="shared" si="17"/>
        <v>121.4130372400912</v>
      </c>
      <c r="AC69" s="121">
        <f t="shared" si="17"/>
        <v>125.1372357246224</v>
      </c>
      <c r="AD69" s="121">
        <f t="shared" si="17"/>
        <v>128.8614342091536</v>
      </c>
      <c r="AE69" s="121">
        <f t="shared" si="17"/>
        <v>132.5856326936848</v>
      </c>
      <c r="AF69" s="121">
        <f t="shared" si="17"/>
        <v>136.309831178216</v>
      </c>
      <c r="AG69" s="121">
        <f t="shared" si="17"/>
        <v>139.9807007772028</v>
      </c>
      <c r="AH69" s="121">
        <f t="shared" si="17"/>
        <v>143.6515703761896</v>
      </c>
      <c r="AI69" s="121">
        <f t="shared" si="17"/>
        <v>147.32243997517639</v>
      </c>
      <c r="AJ69" s="121">
        <f t="shared" si="17"/>
        <v>150.99330957416319</v>
      </c>
    </row>
    <row r="70" spans="2:36">
      <c r="B70" s="117" t="s">
        <v>173</v>
      </c>
      <c r="C70" s="122"/>
      <c r="E70" s="117"/>
      <c r="F70" s="121"/>
      <c r="H70" s="35" t="s">
        <v>24</v>
      </c>
      <c r="I70" s="121">
        <f t="shared" si="17"/>
        <v>19.173481846293999</v>
      </c>
      <c r="J70" s="121">
        <f t="shared" si="17"/>
        <v>23.255410917681999</v>
      </c>
      <c r="K70" s="121">
        <f t="shared" si="17"/>
        <v>27.337339989069999</v>
      </c>
      <c r="L70" s="121">
        <f t="shared" si="17"/>
        <v>31.419269060457999</v>
      </c>
      <c r="M70" s="121">
        <f t="shared" si="17"/>
        <v>34.9382503797844</v>
      </c>
      <c r="N70" s="121">
        <f t="shared" si="17"/>
        <v>38.4572316991108</v>
      </c>
      <c r="O70" s="121">
        <f t="shared" si="17"/>
        <v>41.9762130184372</v>
      </c>
      <c r="P70" s="121">
        <f t="shared" si="17"/>
        <v>45.4951943377636</v>
      </c>
      <c r="Q70" s="121">
        <f t="shared" si="17"/>
        <v>49.014175657089993</v>
      </c>
      <c r="R70" s="121">
        <f t="shared" si="17"/>
        <v>49.260799456695992</v>
      </c>
      <c r="S70" s="121">
        <f t="shared" si="17"/>
        <v>49.50742325630199</v>
      </c>
      <c r="T70" s="121">
        <f t="shared" si="17"/>
        <v>49.754047055907989</v>
      </c>
      <c r="U70" s="121">
        <f t="shared" si="17"/>
        <v>50.000670855513988</v>
      </c>
      <c r="V70" s="121">
        <f t="shared" si="17"/>
        <v>50.247294655119987</v>
      </c>
      <c r="W70" s="121">
        <f t="shared" si="17"/>
        <v>50.783110597825988</v>
      </c>
      <c r="X70" s="121">
        <f t="shared" si="17"/>
        <v>51.31892654053199</v>
      </c>
      <c r="Y70" s="121">
        <f t="shared" si="17"/>
        <v>51.854742483237992</v>
      </c>
      <c r="Z70" s="121">
        <f t="shared" si="17"/>
        <v>52.390558425943993</v>
      </c>
      <c r="AA70" s="121">
        <f t="shared" si="17"/>
        <v>52.926374368650002</v>
      </c>
      <c r="AB70" s="121">
        <f t="shared" si="17"/>
        <v>53.642654937641602</v>
      </c>
      <c r="AC70" s="121">
        <f t="shared" si="17"/>
        <v>54.358935506633202</v>
      </c>
      <c r="AD70" s="121">
        <f t="shared" si="17"/>
        <v>55.075216075624802</v>
      </c>
      <c r="AE70" s="121">
        <f t="shared" si="17"/>
        <v>55.791496644616402</v>
      </c>
      <c r="AF70" s="121">
        <f t="shared" si="17"/>
        <v>56.507777213607987</v>
      </c>
      <c r="AG70" s="121">
        <f t="shared" si="17"/>
        <v>57.263574656870389</v>
      </c>
      <c r="AH70" s="121">
        <f t="shared" si="17"/>
        <v>58.019372100132792</v>
      </c>
      <c r="AI70" s="121">
        <f t="shared" si="17"/>
        <v>58.775169543395194</v>
      </c>
      <c r="AJ70" s="121">
        <f t="shared" si="17"/>
        <v>59.530966986657596</v>
      </c>
    </row>
    <row r="71" spans="2:36">
      <c r="B71" s="117" t="s">
        <v>173</v>
      </c>
      <c r="C71" s="122"/>
      <c r="E71" s="117"/>
      <c r="F71" s="121"/>
      <c r="H71" s="35" t="s">
        <v>25</v>
      </c>
      <c r="I71" s="121">
        <f t="shared" si="17"/>
        <v>65.469516307497202</v>
      </c>
      <c r="J71" s="121">
        <f t="shared" si="17"/>
        <v>92.699462609486801</v>
      </c>
      <c r="K71" s="121">
        <f t="shared" si="17"/>
        <v>119.9294089114764</v>
      </c>
      <c r="L71" s="121">
        <f t="shared" si="17"/>
        <v>147.159355213466</v>
      </c>
      <c r="M71" s="121">
        <f t="shared" si="17"/>
        <v>156.13345781564999</v>
      </c>
      <c r="N71" s="121">
        <f t="shared" si="17"/>
        <v>165.10756041783398</v>
      </c>
      <c r="O71" s="121">
        <f t="shared" si="17"/>
        <v>174.08166302001797</v>
      </c>
      <c r="P71" s="121">
        <f t="shared" si="17"/>
        <v>183.05576562220196</v>
      </c>
      <c r="Q71" s="121">
        <f t="shared" si="17"/>
        <v>192.02986822438601</v>
      </c>
      <c r="R71" s="121">
        <f t="shared" si="17"/>
        <v>205.74762901307679</v>
      </c>
      <c r="S71" s="121">
        <f t="shared" si="17"/>
        <v>219.46538980176757</v>
      </c>
      <c r="T71" s="121">
        <f t="shared" si="17"/>
        <v>233.18315059045835</v>
      </c>
      <c r="U71" s="121">
        <f t="shared" si="17"/>
        <v>246.90091137914914</v>
      </c>
      <c r="V71" s="121">
        <f t="shared" si="17"/>
        <v>260.61867216783997</v>
      </c>
      <c r="W71" s="121">
        <f t="shared" si="17"/>
        <v>276.92654087641876</v>
      </c>
      <c r="X71" s="121">
        <f t="shared" si="17"/>
        <v>293.23440958499754</v>
      </c>
      <c r="Y71" s="121">
        <f t="shared" si="17"/>
        <v>309.54227829357632</v>
      </c>
      <c r="Z71" s="121">
        <f t="shared" si="17"/>
        <v>325.8501470021551</v>
      </c>
      <c r="AA71" s="121">
        <f t="shared" si="17"/>
        <v>342.15801571073399</v>
      </c>
      <c r="AB71" s="121">
        <f t="shared" si="17"/>
        <v>362.56755237622519</v>
      </c>
      <c r="AC71" s="121">
        <f t="shared" si="17"/>
        <v>382.9770890417164</v>
      </c>
      <c r="AD71" s="121">
        <f t="shared" si="17"/>
        <v>403.3866257072076</v>
      </c>
      <c r="AE71" s="121">
        <f t="shared" si="17"/>
        <v>423.7961623726988</v>
      </c>
      <c r="AF71" s="121">
        <f t="shared" si="17"/>
        <v>444.20569903818989</v>
      </c>
      <c r="AG71" s="121">
        <f t="shared" si="17"/>
        <v>469.32704171267989</v>
      </c>
      <c r="AH71" s="121">
        <f t="shared" si="17"/>
        <v>494.44838438716988</v>
      </c>
      <c r="AI71" s="121">
        <f t="shared" si="17"/>
        <v>519.56972706165993</v>
      </c>
      <c r="AJ71" s="121">
        <f t="shared" si="17"/>
        <v>544.69106973614998</v>
      </c>
    </row>
    <row r="72" spans="2:36">
      <c r="B72" s="117" t="s">
        <v>173</v>
      </c>
      <c r="C72" s="122"/>
      <c r="E72" s="117"/>
      <c r="F72" s="121"/>
      <c r="H72" s="117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</row>
    <row r="73" spans="2:36">
      <c r="B73" s="117" t="s">
        <v>173</v>
      </c>
      <c r="C73" s="122"/>
      <c r="E73" s="117"/>
      <c r="F73" s="121"/>
      <c r="H73" s="117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</row>
    <row r="74" spans="2:36">
      <c r="B74" s="117" t="s">
        <v>173</v>
      </c>
      <c r="C74" s="122"/>
      <c r="E74" s="117"/>
      <c r="F74" s="121"/>
      <c r="H74" s="117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</row>
    <row r="76" spans="2:36">
      <c r="B76" s="113" t="s">
        <v>270</v>
      </c>
      <c r="E76" s="113" t="s">
        <v>67</v>
      </c>
      <c r="H76" s="113" t="s">
        <v>70</v>
      </c>
      <c r="I76" s="115">
        <v>2023</v>
      </c>
      <c r="J76" s="115">
        <v>2024</v>
      </c>
      <c r="K76" s="115">
        <v>2025</v>
      </c>
      <c r="L76" s="115">
        <v>2026</v>
      </c>
      <c r="M76" s="115">
        <v>2027</v>
      </c>
      <c r="N76" s="115">
        <v>2028</v>
      </c>
      <c r="O76" s="115">
        <v>2029</v>
      </c>
      <c r="P76" s="115">
        <v>2030</v>
      </c>
      <c r="Q76" s="115">
        <v>2031</v>
      </c>
      <c r="R76" s="115">
        <v>2032</v>
      </c>
      <c r="S76" s="115">
        <v>2033</v>
      </c>
      <c r="T76" s="115">
        <v>2034</v>
      </c>
      <c r="U76" s="115">
        <v>2035</v>
      </c>
      <c r="V76" s="115">
        <v>2036</v>
      </c>
      <c r="W76" s="115">
        <v>2037</v>
      </c>
      <c r="X76" s="115">
        <v>2038</v>
      </c>
      <c r="Y76" s="115">
        <v>2039</v>
      </c>
      <c r="Z76" s="115">
        <v>2040</v>
      </c>
      <c r="AA76" s="115">
        <v>2041</v>
      </c>
      <c r="AB76" s="115">
        <v>2042</v>
      </c>
      <c r="AC76" s="115">
        <v>2043</v>
      </c>
      <c r="AD76" s="115">
        <v>2044</v>
      </c>
      <c r="AE76" s="115">
        <v>2045</v>
      </c>
      <c r="AF76" s="115">
        <v>2046</v>
      </c>
      <c r="AG76" s="115">
        <v>2047</v>
      </c>
      <c r="AH76" s="115">
        <v>2048</v>
      </c>
      <c r="AI76" s="115">
        <v>2049</v>
      </c>
      <c r="AJ76" s="115">
        <v>2050</v>
      </c>
    </row>
    <row r="77" spans="2:36">
      <c r="B77" s="117" t="s">
        <v>173</v>
      </c>
      <c r="C77" s="122"/>
      <c r="E77" s="117"/>
      <c r="F77" s="121"/>
      <c r="H77" s="117" t="s">
        <v>8</v>
      </c>
      <c r="I77" s="121">
        <f>I101</f>
        <v>1.2274021734379998</v>
      </c>
      <c r="J77" s="121">
        <f t="shared" ref="J77:AJ83" si="18">J101</f>
        <v>1.2872419559159998</v>
      </c>
      <c r="K77" s="121">
        <f t="shared" si="18"/>
        <v>1.3470817383939997</v>
      </c>
      <c r="L77" s="121">
        <f t="shared" si="18"/>
        <v>1.4069215208720001</v>
      </c>
      <c r="M77" s="121">
        <f t="shared" si="18"/>
        <v>1.4762026156796</v>
      </c>
      <c r="N77" s="121">
        <f t="shared" si="18"/>
        <v>1.5454837104871999</v>
      </c>
      <c r="O77" s="121">
        <f t="shared" si="18"/>
        <v>1.6147648052947998</v>
      </c>
      <c r="P77" s="121">
        <f t="shared" si="18"/>
        <v>1.6840459001023997</v>
      </c>
      <c r="Q77" s="121">
        <f t="shared" si="18"/>
        <v>1.7533269949100001</v>
      </c>
      <c r="R77" s="121">
        <f t="shared" si="18"/>
        <v>1.8328976871844</v>
      </c>
      <c r="S77" s="121">
        <f t="shared" si="18"/>
        <v>1.9124683794588</v>
      </c>
      <c r="T77" s="121">
        <f t="shared" si="18"/>
        <v>1.9920390717331999</v>
      </c>
      <c r="U77" s="121">
        <f t="shared" si="18"/>
        <v>2.0716097640075999</v>
      </c>
      <c r="V77" s="121">
        <f t="shared" si="18"/>
        <v>2.1511804562819998</v>
      </c>
      <c r="W77" s="121">
        <f t="shared" si="18"/>
        <v>2.2421281479167998</v>
      </c>
      <c r="X77" s="121">
        <f t="shared" si="18"/>
        <v>2.3330758395515998</v>
      </c>
      <c r="Y77" s="121">
        <f t="shared" si="18"/>
        <v>2.4240235311863998</v>
      </c>
      <c r="Z77" s="121">
        <f t="shared" si="18"/>
        <v>2.5149712228211998</v>
      </c>
      <c r="AA77" s="121">
        <f t="shared" si="18"/>
        <v>2.6059189144560002</v>
      </c>
      <c r="AB77" s="121">
        <f t="shared" si="18"/>
        <v>2.7092753544872004</v>
      </c>
      <c r="AC77" s="121">
        <f t="shared" si="18"/>
        <v>2.8126317945184005</v>
      </c>
      <c r="AD77" s="121">
        <f t="shared" si="18"/>
        <v>2.9159882345496007</v>
      </c>
      <c r="AE77" s="121">
        <f t="shared" si="18"/>
        <v>3.0193446745808008</v>
      </c>
      <c r="AF77" s="121">
        <f t="shared" si="18"/>
        <v>3.1227011146120001</v>
      </c>
      <c r="AG77" s="121">
        <f t="shared" si="18"/>
        <v>3.2396168904228002</v>
      </c>
      <c r="AH77" s="121">
        <f t="shared" si="18"/>
        <v>3.3565326662336004</v>
      </c>
      <c r="AI77" s="121">
        <f t="shared" si="18"/>
        <v>3.4734484420444005</v>
      </c>
      <c r="AJ77" s="121">
        <f t="shared" si="18"/>
        <v>3.5903642178552007</v>
      </c>
    </row>
    <row r="78" spans="2:36">
      <c r="B78" s="117" t="s">
        <v>173</v>
      </c>
      <c r="C78" s="122"/>
      <c r="E78" s="117"/>
      <c r="F78" s="121"/>
      <c r="H78" s="35" t="s">
        <v>12</v>
      </c>
      <c r="I78" s="121">
        <f t="shared" ref="I78:X83" si="19">I102</f>
        <v>13.458131390376399</v>
      </c>
      <c r="J78" s="121">
        <f t="shared" si="19"/>
        <v>19.633335781323598</v>
      </c>
      <c r="K78" s="121">
        <f t="shared" si="19"/>
        <v>25.808540172270799</v>
      </c>
      <c r="L78" s="121">
        <f t="shared" si="19"/>
        <v>31.983744563218</v>
      </c>
      <c r="M78" s="121">
        <f t="shared" si="19"/>
        <v>33.368109551101597</v>
      </c>
      <c r="N78" s="121">
        <f t="shared" si="19"/>
        <v>34.752474538985197</v>
      </c>
      <c r="O78" s="121">
        <f t="shared" si="19"/>
        <v>36.136839526868798</v>
      </c>
      <c r="P78" s="121">
        <f t="shared" si="19"/>
        <v>37.521204514752398</v>
      </c>
      <c r="Q78" s="121">
        <f t="shared" si="19"/>
        <v>38.905569502635991</v>
      </c>
      <c r="R78" s="121">
        <f t="shared" si="19"/>
        <v>41.067194329817596</v>
      </c>
      <c r="S78" s="121">
        <f t="shared" si="19"/>
        <v>43.228819156999201</v>
      </c>
      <c r="T78" s="121">
        <f t="shared" si="19"/>
        <v>45.390443984180806</v>
      </c>
      <c r="U78" s="121">
        <f t="shared" si="19"/>
        <v>47.55206881136241</v>
      </c>
      <c r="V78" s="121">
        <f t="shared" si="19"/>
        <v>49.713693638544001</v>
      </c>
      <c r="W78" s="121">
        <f t="shared" si="19"/>
        <v>52.840679425011601</v>
      </c>
      <c r="X78" s="121">
        <f t="shared" si="19"/>
        <v>55.967665211479201</v>
      </c>
      <c r="Y78" s="121">
        <f t="shared" si="18"/>
        <v>59.0946509979468</v>
      </c>
      <c r="Z78" s="121">
        <f t="shared" si="18"/>
        <v>62.2216367844144</v>
      </c>
      <c r="AA78" s="121">
        <f t="shared" si="18"/>
        <v>65.348622570882</v>
      </c>
      <c r="AB78" s="121">
        <f t="shared" si="18"/>
        <v>69.779332531809203</v>
      </c>
      <c r="AC78" s="121">
        <f t="shared" si="18"/>
        <v>74.210042492736406</v>
      </c>
      <c r="AD78" s="121">
        <f t="shared" si="18"/>
        <v>78.640752453663609</v>
      </c>
      <c r="AE78" s="121">
        <f t="shared" si="18"/>
        <v>83.071462414590812</v>
      </c>
      <c r="AF78" s="121">
        <f t="shared" si="18"/>
        <v>87.502172375517986</v>
      </c>
      <c r="AG78" s="121">
        <f t="shared" si="18"/>
        <v>93.495521084597186</v>
      </c>
      <c r="AH78" s="121">
        <f t="shared" si="18"/>
        <v>99.488869793676386</v>
      </c>
      <c r="AI78" s="121">
        <f t="shared" si="18"/>
        <v>105.48221850275559</v>
      </c>
      <c r="AJ78" s="121">
        <f t="shared" si="18"/>
        <v>111.47556721183479</v>
      </c>
    </row>
    <row r="79" spans="2:36">
      <c r="B79" s="117" t="s">
        <v>173</v>
      </c>
      <c r="C79" s="122"/>
      <c r="E79" s="117"/>
      <c r="F79" s="121"/>
      <c r="H79" s="35" t="s">
        <v>15</v>
      </c>
      <c r="I79" s="121">
        <f t="shared" si="19"/>
        <v>1.2274021734379998</v>
      </c>
      <c r="J79" s="121">
        <f t="shared" si="18"/>
        <v>1.2872419559159998</v>
      </c>
      <c r="K79" s="121">
        <f t="shared" si="18"/>
        <v>1.3470817383939997</v>
      </c>
      <c r="L79" s="121">
        <f t="shared" si="18"/>
        <v>1.4069215208720001</v>
      </c>
      <c r="M79" s="121">
        <f t="shared" si="18"/>
        <v>1.4762026156796</v>
      </c>
      <c r="N79" s="121">
        <f t="shared" si="18"/>
        <v>1.5454837104871999</v>
      </c>
      <c r="O79" s="121">
        <f t="shared" si="18"/>
        <v>1.6147648052947998</v>
      </c>
      <c r="P79" s="121">
        <f t="shared" si="18"/>
        <v>1.6840459001023997</v>
      </c>
      <c r="Q79" s="121">
        <f t="shared" si="18"/>
        <v>1.7533269949100001</v>
      </c>
      <c r="R79" s="121">
        <f t="shared" si="18"/>
        <v>1.8328976871844</v>
      </c>
      <c r="S79" s="121">
        <f t="shared" si="18"/>
        <v>1.9124683794588</v>
      </c>
      <c r="T79" s="121">
        <f t="shared" si="18"/>
        <v>1.9920390717331999</v>
      </c>
      <c r="U79" s="121">
        <f t="shared" si="18"/>
        <v>2.0716097640075999</v>
      </c>
      <c r="V79" s="121">
        <f t="shared" si="18"/>
        <v>2.1511804562819998</v>
      </c>
      <c r="W79" s="121">
        <f t="shared" si="18"/>
        <v>2.2421281479167998</v>
      </c>
      <c r="X79" s="121">
        <f t="shared" si="18"/>
        <v>2.3330758395515998</v>
      </c>
      <c r="Y79" s="121">
        <f t="shared" si="18"/>
        <v>2.4240235311863998</v>
      </c>
      <c r="Z79" s="121">
        <f t="shared" si="18"/>
        <v>2.5149712228211998</v>
      </c>
      <c r="AA79" s="121">
        <f t="shared" si="18"/>
        <v>2.6059189144560002</v>
      </c>
      <c r="AB79" s="121">
        <f t="shared" si="18"/>
        <v>2.7092753544872004</v>
      </c>
      <c r="AC79" s="121">
        <f t="shared" si="18"/>
        <v>2.8126317945184005</v>
      </c>
      <c r="AD79" s="121">
        <f t="shared" si="18"/>
        <v>2.9159882345496007</v>
      </c>
      <c r="AE79" s="121">
        <f t="shared" si="18"/>
        <v>3.0193446745808008</v>
      </c>
      <c r="AF79" s="121">
        <f t="shared" si="18"/>
        <v>3.1227011146120001</v>
      </c>
      <c r="AG79" s="121">
        <f t="shared" si="18"/>
        <v>3.2396168904228002</v>
      </c>
      <c r="AH79" s="121">
        <f t="shared" si="18"/>
        <v>3.3565326662336004</v>
      </c>
      <c r="AI79" s="121">
        <f t="shared" si="18"/>
        <v>3.4734484420444005</v>
      </c>
      <c r="AJ79" s="121">
        <f t="shared" si="18"/>
        <v>3.5903642178552007</v>
      </c>
    </row>
    <row r="80" spans="2:36">
      <c r="B80" s="117" t="s">
        <v>173</v>
      </c>
      <c r="C80" s="122"/>
      <c r="E80" s="117"/>
      <c r="F80" s="121"/>
      <c r="H80" s="35" t="s">
        <v>19</v>
      </c>
      <c r="I80" s="121">
        <f t="shared" si="19"/>
        <v>1.2273726189348</v>
      </c>
      <c r="J80" s="121">
        <f t="shared" si="18"/>
        <v>1.2871976241612</v>
      </c>
      <c r="K80" s="121">
        <f t="shared" si="18"/>
        <v>1.3470226293876</v>
      </c>
      <c r="L80" s="121">
        <f t="shared" si="18"/>
        <v>1.406847634614</v>
      </c>
      <c r="M80" s="121">
        <f t="shared" si="18"/>
        <v>1.4761205986099999</v>
      </c>
      <c r="N80" s="121">
        <f t="shared" si="18"/>
        <v>1.5453935626059998</v>
      </c>
      <c r="O80" s="121">
        <f t="shared" si="18"/>
        <v>1.6146665266019997</v>
      </c>
      <c r="P80" s="121">
        <f t="shared" si="18"/>
        <v>1.6839394905979996</v>
      </c>
      <c r="Q80" s="121">
        <f t="shared" si="18"/>
        <v>1.753212454594</v>
      </c>
      <c r="R80" s="121">
        <f t="shared" si="18"/>
        <v>16.179528256277997</v>
      </c>
      <c r="S80" s="121">
        <f t="shared" si="18"/>
        <v>30.605844057961995</v>
      </c>
      <c r="T80" s="121">
        <f t="shared" si="18"/>
        <v>45.032159859645994</v>
      </c>
      <c r="U80" s="121">
        <f t="shared" si="18"/>
        <v>59.458475661329992</v>
      </c>
      <c r="V80" s="121">
        <f t="shared" si="18"/>
        <v>73.884791463013997</v>
      </c>
      <c r="W80" s="121">
        <f t="shared" si="18"/>
        <v>83.243135617449994</v>
      </c>
      <c r="X80" s="121">
        <f t="shared" si="18"/>
        <v>92.601479771885991</v>
      </c>
      <c r="Y80" s="121">
        <f t="shared" si="18"/>
        <v>101.95982392632199</v>
      </c>
      <c r="Z80" s="121">
        <f t="shared" si="18"/>
        <v>111.31816808075799</v>
      </c>
      <c r="AA80" s="121">
        <f t="shared" si="18"/>
        <v>120.676512235194</v>
      </c>
      <c r="AB80" s="121">
        <f t="shared" si="18"/>
        <v>133.572178825994</v>
      </c>
      <c r="AC80" s="121">
        <f t="shared" si="18"/>
        <v>146.46784541679401</v>
      </c>
      <c r="AD80" s="121">
        <f t="shared" si="18"/>
        <v>159.36351200759401</v>
      </c>
      <c r="AE80" s="121">
        <f t="shared" si="18"/>
        <v>172.25917859839402</v>
      </c>
      <c r="AF80" s="121">
        <f t="shared" si="18"/>
        <v>185.15484518919399</v>
      </c>
      <c r="AG80" s="121">
        <f t="shared" si="18"/>
        <v>200.136609963474</v>
      </c>
      <c r="AH80" s="121">
        <f t="shared" si="18"/>
        <v>215.11837473775401</v>
      </c>
      <c r="AI80" s="121">
        <f t="shared" si="18"/>
        <v>230.10013951203402</v>
      </c>
      <c r="AJ80" s="121">
        <f t="shared" si="18"/>
        <v>245.08190428631403</v>
      </c>
    </row>
    <row r="81" spans="2:36">
      <c r="B81" s="117" t="s">
        <v>173</v>
      </c>
      <c r="C81" s="122"/>
      <c r="E81" s="117"/>
      <c r="F81" s="121"/>
      <c r="H81" s="35" t="s">
        <v>22</v>
      </c>
      <c r="I81" s="121">
        <f t="shared" si="19"/>
        <v>1.2273726189348</v>
      </c>
      <c r="J81" s="121">
        <f t="shared" si="18"/>
        <v>1.2871976241612</v>
      </c>
      <c r="K81" s="121">
        <f t="shared" si="18"/>
        <v>1.3470226293876</v>
      </c>
      <c r="L81" s="121">
        <f t="shared" si="18"/>
        <v>1.406847634614</v>
      </c>
      <c r="M81" s="121">
        <f t="shared" si="18"/>
        <v>1.4761205986099999</v>
      </c>
      <c r="N81" s="121">
        <f t="shared" si="18"/>
        <v>1.5453935626059998</v>
      </c>
      <c r="O81" s="121">
        <f t="shared" si="18"/>
        <v>1.6146665266019997</v>
      </c>
      <c r="P81" s="121">
        <f t="shared" si="18"/>
        <v>1.6839394905979996</v>
      </c>
      <c r="Q81" s="121">
        <f t="shared" si="18"/>
        <v>1.753212454594</v>
      </c>
      <c r="R81" s="121">
        <f t="shared" si="18"/>
        <v>17.616792503824399</v>
      </c>
      <c r="S81" s="121">
        <f t="shared" si="18"/>
        <v>33.480372553054799</v>
      </c>
      <c r="T81" s="121">
        <f t="shared" si="18"/>
        <v>49.343952602285199</v>
      </c>
      <c r="U81" s="121">
        <f t="shared" si="18"/>
        <v>65.207532651515592</v>
      </c>
      <c r="V81" s="121">
        <f t="shared" si="18"/>
        <v>81.071112700745999</v>
      </c>
      <c r="W81" s="121">
        <f t="shared" si="18"/>
        <v>86.933679432099993</v>
      </c>
      <c r="X81" s="121">
        <f t="shared" si="18"/>
        <v>92.796246163453986</v>
      </c>
      <c r="Y81" s="121">
        <f t="shared" si="18"/>
        <v>98.65881289480798</v>
      </c>
      <c r="Z81" s="121">
        <f t="shared" si="18"/>
        <v>104.52137962616197</v>
      </c>
      <c r="AA81" s="121">
        <f t="shared" si="18"/>
        <v>110.383946357516</v>
      </c>
      <c r="AB81" s="121">
        <f t="shared" si="18"/>
        <v>117.24192417638679</v>
      </c>
      <c r="AC81" s="121">
        <f t="shared" si="18"/>
        <v>124.09990199525758</v>
      </c>
      <c r="AD81" s="121">
        <f t="shared" si="18"/>
        <v>130.95787981412838</v>
      </c>
      <c r="AE81" s="121">
        <f t="shared" si="18"/>
        <v>137.81585763299918</v>
      </c>
      <c r="AF81" s="121">
        <f t="shared" si="18"/>
        <v>144.67383545186999</v>
      </c>
      <c r="AG81" s="121">
        <f t="shared" si="18"/>
        <v>151.8096594976648</v>
      </c>
      <c r="AH81" s="121">
        <f t="shared" si="18"/>
        <v>158.9454835434596</v>
      </c>
      <c r="AI81" s="121">
        <f t="shared" si="18"/>
        <v>166.08130758925441</v>
      </c>
      <c r="AJ81" s="121">
        <f t="shared" si="18"/>
        <v>173.21713163504921</v>
      </c>
    </row>
    <row r="82" spans="2:36">
      <c r="B82" s="117" t="s">
        <v>173</v>
      </c>
      <c r="C82" s="122"/>
      <c r="E82" s="117"/>
      <c r="F82" s="121"/>
      <c r="H82" s="35" t="s">
        <v>24</v>
      </c>
      <c r="I82" s="121">
        <f t="shared" si="19"/>
        <v>6.5387898932644006</v>
      </c>
      <c r="J82" s="121">
        <f t="shared" si="18"/>
        <v>9.2543235356556011</v>
      </c>
      <c r="K82" s="121">
        <f t="shared" si="18"/>
        <v>11.969857178046801</v>
      </c>
      <c r="L82" s="121">
        <f t="shared" si="18"/>
        <v>14.685390820438</v>
      </c>
      <c r="M82" s="121">
        <f t="shared" si="18"/>
        <v>17.400866528027198</v>
      </c>
      <c r="N82" s="121">
        <f t="shared" si="18"/>
        <v>20.116342235616397</v>
      </c>
      <c r="O82" s="121">
        <f t="shared" si="18"/>
        <v>22.831817943205596</v>
      </c>
      <c r="P82" s="121">
        <f t="shared" si="18"/>
        <v>25.547293650794796</v>
      </c>
      <c r="Q82" s="121">
        <f t="shared" si="18"/>
        <v>28.262769358383991</v>
      </c>
      <c r="R82" s="121">
        <f t="shared" si="18"/>
        <v>28.776114485022791</v>
      </c>
      <c r="S82" s="121">
        <f t="shared" si="18"/>
        <v>29.289459611661592</v>
      </c>
      <c r="T82" s="121">
        <f t="shared" si="18"/>
        <v>29.802804738300392</v>
      </c>
      <c r="U82" s="121">
        <f t="shared" si="18"/>
        <v>30.316149864939192</v>
      </c>
      <c r="V82" s="121">
        <f t="shared" si="18"/>
        <v>30.829494991577999</v>
      </c>
      <c r="W82" s="121">
        <f t="shared" si="18"/>
        <v>31.388516204125999</v>
      </c>
      <c r="X82" s="121">
        <f t="shared" si="18"/>
        <v>31.947537416673999</v>
      </c>
      <c r="Y82" s="121">
        <f t="shared" si="18"/>
        <v>32.506558629221999</v>
      </c>
      <c r="Z82" s="121">
        <f t="shared" si="18"/>
        <v>33.065579841769996</v>
      </c>
      <c r="AA82" s="121">
        <f t="shared" si="18"/>
        <v>33.624601054317992</v>
      </c>
      <c r="AB82" s="121">
        <f t="shared" si="18"/>
        <v>34.232998470232793</v>
      </c>
      <c r="AC82" s="121">
        <f t="shared" si="18"/>
        <v>34.841395886147595</v>
      </c>
      <c r="AD82" s="121">
        <f t="shared" si="18"/>
        <v>35.449793302062396</v>
      </c>
      <c r="AE82" s="121">
        <f t="shared" si="18"/>
        <v>36.058190717977197</v>
      </c>
      <c r="AF82" s="121">
        <f t="shared" si="18"/>
        <v>36.666588133891999</v>
      </c>
      <c r="AG82" s="121">
        <f t="shared" si="18"/>
        <v>37.328936985231202</v>
      </c>
      <c r="AH82" s="121">
        <f t="shared" si="18"/>
        <v>37.991285836570405</v>
      </c>
      <c r="AI82" s="121">
        <f t="shared" si="18"/>
        <v>38.653634687909609</v>
      </c>
      <c r="AJ82" s="121">
        <f t="shared" si="18"/>
        <v>39.315983539248812</v>
      </c>
    </row>
    <row r="83" spans="2:36">
      <c r="B83" s="117" t="s">
        <v>173</v>
      </c>
      <c r="C83" s="122"/>
      <c r="E83" s="117"/>
      <c r="F83" s="121"/>
      <c r="H83" s="35" t="s">
        <v>25</v>
      </c>
      <c r="I83" s="121">
        <f t="shared" si="19"/>
        <v>25.389440745104398</v>
      </c>
      <c r="J83" s="121">
        <f t="shared" si="18"/>
        <v>37.530299813415596</v>
      </c>
      <c r="K83" s="121">
        <f t="shared" si="18"/>
        <v>49.671158881726797</v>
      </c>
      <c r="L83" s="121">
        <f t="shared" si="18"/>
        <v>61.812017950037998</v>
      </c>
      <c r="M83" s="121">
        <f t="shared" si="18"/>
        <v>67.143963640499592</v>
      </c>
      <c r="N83" s="121">
        <f t="shared" si="18"/>
        <v>72.475909330961187</v>
      </c>
      <c r="O83" s="121">
        <f t="shared" si="18"/>
        <v>77.807855021422782</v>
      </c>
      <c r="P83" s="121">
        <f t="shared" si="18"/>
        <v>83.139800711884376</v>
      </c>
      <c r="Q83" s="121">
        <f t="shared" si="18"/>
        <v>88.471746402346</v>
      </c>
      <c r="R83" s="121">
        <f t="shared" si="18"/>
        <v>98.112007994063603</v>
      </c>
      <c r="S83" s="121">
        <f t="shared" si="18"/>
        <v>107.75226958578121</v>
      </c>
      <c r="T83" s="121">
        <f t="shared" si="18"/>
        <v>117.39253117749881</v>
      </c>
      <c r="U83" s="121">
        <f t="shared" si="18"/>
        <v>127.03279276921641</v>
      </c>
      <c r="V83" s="121">
        <f t="shared" si="18"/>
        <v>136.673054360934</v>
      </c>
      <c r="W83" s="121">
        <f t="shared" si="18"/>
        <v>152.3950284390416</v>
      </c>
      <c r="X83" s="121">
        <f t="shared" si="18"/>
        <v>168.11700251714919</v>
      </c>
      <c r="Y83" s="121">
        <f t="shared" si="18"/>
        <v>183.83897659525678</v>
      </c>
      <c r="Z83" s="121">
        <f t="shared" si="18"/>
        <v>199.56095067336437</v>
      </c>
      <c r="AA83" s="121">
        <f t="shared" si="18"/>
        <v>215.282924751472</v>
      </c>
      <c r="AB83" s="121">
        <f t="shared" si="18"/>
        <v>238.91711118915001</v>
      </c>
      <c r="AC83" s="121">
        <f t="shared" si="18"/>
        <v>262.55129762682799</v>
      </c>
      <c r="AD83" s="121">
        <f t="shared" si="18"/>
        <v>286.185484064506</v>
      </c>
      <c r="AE83" s="121">
        <f t="shared" si="18"/>
        <v>309.81967050218401</v>
      </c>
      <c r="AF83" s="121">
        <f t="shared" si="18"/>
        <v>333.45385693986202</v>
      </c>
      <c r="AG83" s="121">
        <f t="shared" si="18"/>
        <v>366.77473710987164</v>
      </c>
      <c r="AH83" s="121">
        <f t="shared" si="18"/>
        <v>400.09561727988125</v>
      </c>
      <c r="AI83" s="121">
        <f t="shared" si="18"/>
        <v>433.41649744989087</v>
      </c>
      <c r="AJ83" s="121">
        <f t="shared" si="18"/>
        <v>466.73737761990049</v>
      </c>
    </row>
    <row r="84" spans="2:36">
      <c r="B84" s="117" t="s">
        <v>173</v>
      </c>
      <c r="C84" s="122"/>
      <c r="E84" s="117"/>
      <c r="F84" s="121"/>
      <c r="H84" s="117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</row>
    <row r="85" spans="2:36">
      <c r="B85" s="117" t="s">
        <v>173</v>
      </c>
      <c r="C85" s="122"/>
      <c r="E85" s="117"/>
      <c r="F85" s="121"/>
      <c r="H85" s="117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</row>
    <row r="86" spans="2:36">
      <c r="B86" s="117" t="s">
        <v>173</v>
      </c>
      <c r="C86" s="122"/>
      <c r="E86" s="117"/>
      <c r="F86" s="121"/>
      <c r="H86" s="117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</row>
    <row r="87" spans="2:36">
      <c r="F87" s="127"/>
    </row>
    <row r="88" spans="2:36">
      <c r="B88" s="113" t="s">
        <v>271</v>
      </c>
      <c r="E88" s="113" t="s">
        <v>68</v>
      </c>
      <c r="H88" s="113" t="s">
        <v>71</v>
      </c>
      <c r="I88" s="115">
        <v>2023</v>
      </c>
      <c r="J88" s="115">
        <v>2024</v>
      </c>
      <c r="K88" s="115">
        <v>2025</v>
      </c>
      <c r="L88" s="115">
        <v>2026</v>
      </c>
      <c r="M88" s="115">
        <v>2027</v>
      </c>
      <c r="N88" s="115">
        <v>2028</v>
      </c>
      <c r="O88" s="115">
        <v>2029</v>
      </c>
      <c r="P88" s="115">
        <v>2030</v>
      </c>
      <c r="Q88" s="115">
        <v>2031</v>
      </c>
      <c r="R88" s="115">
        <v>2032</v>
      </c>
      <c r="S88" s="115">
        <v>2033</v>
      </c>
      <c r="T88" s="115">
        <v>2034</v>
      </c>
      <c r="U88" s="115">
        <v>2035</v>
      </c>
      <c r="V88" s="115">
        <v>2036</v>
      </c>
      <c r="W88" s="115">
        <v>2037</v>
      </c>
      <c r="X88" s="115">
        <v>2038</v>
      </c>
      <c r="Y88" s="115">
        <v>2039</v>
      </c>
      <c r="Z88" s="115">
        <v>2040</v>
      </c>
      <c r="AA88" s="115">
        <v>2041</v>
      </c>
      <c r="AB88" s="115">
        <v>2042</v>
      </c>
      <c r="AC88" s="115">
        <v>2043</v>
      </c>
      <c r="AD88" s="115">
        <v>2044</v>
      </c>
      <c r="AE88" s="115">
        <v>2045</v>
      </c>
      <c r="AF88" s="115">
        <v>2046</v>
      </c>
      <c r="AG88" s="115">
        <v>2047</v>
      </c>
      <c r="AH88" s="115">
        <v>2048</v>
      </c>
      <c r="AI88" s="115">
        <v>2049</v>
      </c>
      <c r="AJ88" s="115">
        <v>2050</v>
      </c>
    </row>
    <row r="89" spans="2:36">
      <c r="B89" s="117" t="s">
        <v>173</v>
      </c>
      <c r="C89" s="122"/>
      <c r="E89" s="117"/>
      <c r="F89" s="121"/>
      <c r="H89" s="117" t="s">
        <v>8</v>
      </c>
      <c r="I89" s="121">
        <f>I101</f>
        <v>1.2274021734379998</v>
      </c>
      <c r="J89" s="121">
        <f t="shared" ref="J89:AJ89" si="20">J101</f>
        <v>1.2872419559159998</v>
      </c>
      <c r="K89" s="121">
        <f t="shared" si="20"/>
        <v>1.3470817383939997</v>
      </c>
      <c r="L89" s="121">
        <f t="shared" si="20"/>
        <v>1.4069215208720001</v>
      </c>
      <c r="M89" s="121">
        <f t="shared" si="20"/>
        <v>1.4762026156796</v>
      </c>
      <c r="N89" s="121">
        <f t="shared" si="20"/>
        <v>1.5454837104871999</v>
      </c>
      <c r="O89" s="121">
        <f t="shared" si="20"/>
        <v>1.6147648052947998</v>
      </c>
      <c r="P89" s="121">
        <f t="shared" si="20"/>
        <v>1.6840459001023997</v>
      </c>
      <c r="Q89" s="121">
        <f t="shared" si="20"/>
        <v>1.7533269949100001</v>
      </c>
      <c r="R89" s="121">
        <f t="shared" si="20"/>
        <v>1.8328976871844</v>
      </c>
      <c r="S89" s="121">
        <f t="shared" si="20"/>
        <v>1.9124683794588</v>
      </c>
      <c r="T89" s="121">
        <f t="shared" si="20"/>
        <v>1.9920390717331999</v>
      </c>
      <c r="U89" s="121">
        <f t="shared" si="20"/>
        <v>2.0716097640075999</v>
      </c>
      <c r="V89" s="121">
        <f t="shared" si="20"/>
        <v>2.1511804562819998</v>
      </c>
      <c r="W89" s="121">
        <f t="shared" si="20"/>
        <v>2.2421281479167998</v>
      </c>
      <c r="X89" s="121">
        <f t="shared" si="20"/>
        <v>2.3330758395515998</v>
      </c>
      <c r="Y89" s="121">
        <f t="shared" si="20"/>
        <v>2.4240235311863998</v>
      </c>
      <c r="Z89" s="121">
        <f t="shared" si="20"/>
        <v>2.5149712228211998</v>
      </c>
      <c r="AA89" s="121">
        <f t="shared" si="20"/>
        <v>2.6059189144560002</v>
      </c>
      <c r="AB89" s="121">
        <f t="shared" si="20"/>
        <v>2.7092753544872004</v>
      </c>
      <c r="AC89" s="121">
        <f t="shared" si="20"/>
        <v>2.8126317945184005</v>
      </c>
      <c r="AD89" s="121">
        <f t="shared" si="20"/>
        <v>2.9159882345496007</v>
      </c>
      <c r="AE89" s="121">
        <f t="shared" si="20"/>
        <v>3.0193446745808008</v>
      </c>
      <c r="AF89" s="121">
        <f t="shared" si="20"/>
        <v>3.1227011146120001</v>
      </c>
      <c r="AG89" s="121">
        <f t="shared" si="20"/>
        <v>3.2396168904228002</v>
      </c>
      <c r="AH89" s="121">
        <f t="shared" si="20"/>
        <v>3.3565326662336004</v>
      </c>
      <c r="AI89" s="121">
        <f t="shared" si="20"/>
        <v>3.4734484420444005</v>
      </c>
      <c r="AJ89" s="121">
        <f t="shared" si="20"/>
        <v>3.5903642178552007</v>
      </c>
    </row>
    <row r="90" spans="2:36">
      <c r="B90" s="117" t="s">
        <v>173</v>
      </c>
      <c r="C90" s="122"/>
      <c r="E90" s="117"/>
      <c r="F90" s="121"/>
      <c r="H90" s="35" t="s">
        <v>12</v>
      </c>
      <c r="I90" s="121">
        <f t="shared" ref="I90:AJ94" si="21">I102</f>
        <v>13.458131390376399</v>
      </c>
      <c r="J90" s="121">
        <f t="shared" si="21"/>
        <v>19.633335781323598</v>
      </c>
      <c r="K90" s="121">
        <f t="shared" si="21"/>
        <v>25.808540172270799</v>
      </c>
      <c r="L90" s="121">
        <f t="shared" si="21"/>
        <v>31.983744563218</v>
      </c>
      <c r="M90" s="121">
        <f t="shared" si="21"/>
        <v>33.368109551101597</v>
      </c>
      <c r="N90" s="121">
        <f t="shared" si="21"/>
        <v>34.752474538985197</v>
      </c>
      <c r="O90" s="121">
        <f t="shared" si="21"/>
        <v>36.136839526868798</v>
      </c>
      <c r="P90" s="121">
        <f t="shared" si="21"/>
        <v>37.521204514752398</v>
      </c>
      <c r="Q90" s="121">
        <f t="shared" si="21"/>
        <v>38.905569502635991</v>
      </c>
      <c r="R90" s="121">
        <f t="shared" si="21"/>
        <v>41.067194329817596</v>
      </c>
      <c r="S90" s="121">
        <f t="shared" si="21"/>
        <v>43.228819156999201</v>
      </c>
      <c r="T90" s="121">
        <f t="shared" si="21"/>
        <v>45.390443984180806</v>
      </c>
      <c r="U90" s="121">
        <f t="shared" si="21"/>
        <v>47.55206881136241</v>
      </c>
      <c r="V90" s="121">
        <f t="shared" si="21"/>
        <v>49.713693638544001</v>
      </c>
      <c r="W90" s="121">
        <f t="shared" si="21"/>
        <v>52.840679425011601</v>
      </c>
      <c r="X90" s="121">
        <f t="shared" si="21"/>
        <v>55.967665211479201</v>
      </c>
      <c r="Y90" s="121">
        <f t="shared" si="21"/>
        <v>59.0946509979468</v>
      </c>
      <c r="Z90" s="121">
        <f t="shared" si="21"/>
        <v>62.2216367844144</v>
      </c>
      <c r="AA90" s="121">
        <f t="shared" si="21"/>
        <v>65.348622570882</v>
      </c>
      <c r="AB90" s="121">
        <f t="shared" si="21"/>
        <v>69.779332531809203</v>
      </c>
      <c r="AC90" s="121">
        <f t="shared" si="21"/>
        <v>74.210042492736406</v>
      </c>
      <c r="AD90" s="121">
        <f t="shared" si="21"/>
        <v>78.640752453663609</v>
      </c>
      <c r="AE90" s="121">
        <f t="shared" si="21"/>
        <v>83.071462414590812</v>
      </c>
      <c r="AF90" s="121">
        <f t="shared" si="21"/>
        <v>87.502172375517986</v>
      </c>
      <c r="AG90" s="121">
        <f t="shared" si="21"/>
        <v>93.495521084597186</v>
      </c>
      <c r="AH90" s="121">
        <f t="shared" si="21"/>
        <v>99.488869793676386</v>
      </c>
      <c r="AI90" s="121">
        <f t="shared" si="21"/>
        <v>105.48221850275559</v>
      </c>
      <c r="AJ90" s="121">
        <f t="shared" si="21"/>
        <v>111.47556721183479</v>
      </c>
    </row>
    <row r="91" spans="2:36">
      <c r="B91" s="117" t="s">
        <v>173</v>
      </c>
      <c r="C91" s="122"/>
      <c r="E91" s="117"/>
      <c r="F91" s="121"/>
      <c r="H91" s="35" t="s">
        <v>15</v>
      </c>
      <c r="I91" s="121">
        <f t="shared" si="21"/>
        <v>1.2274021734379998</v>
      </c>
      <c r="J91" s="121">
        <f t="shared" si="21"/>
        <v>1.2872419559159998</v>
      </c>
      <c r="K91" s="121">
        <f t="shared" si="21"/>
        <v>1.3470817383939997</v>
      </c>
      <c r="L91" s="121">
        <f t="shared" si="21"/>
        <v>1.4069215208720001</v>
      </c>
      <c r="M91" s="121">
        <f t="shared" si="21"/>
        <v>1.4762026156796</v>
      </c>
      <c r="N91" s="121">
        <f t="shared" si="21"/>
        <v>1.5454837104871999</v>
      </c>
      <c r="O91" s="121">
        <f t="shared" si="21"/>
        <v>1.6147648052947998</v>
      </c>
      <c r="P91" s="121">
        <f t="shared" si="21"/>
        <v>1.6840459001023997</v>
      </c>
      <c r="Q91" s="121">
        <f t="shared" si="21"/>
        <v>1.7533269949100001</v>
      </c>
      <c r="R91" s="121">
        <f t="shared" si="21"/>
        <v>1.8328976871844</v>
      </c>
      <c r="S91" s="121">
        <f t="shared" si="21"/>
        <v>1.9124683794588</v>
      </c>
      <c r="T91" s="121">
        <f t="shared" si="21"/>
        <v>1.9920390717331999</v>
      </c>
      <c r="U91" s="121">
        <f t="shared" si="21"/>
        <v>2.0716097640075999</v>
      </c>
      <c r="V91" s="121">
        <f t="shared" si="21"/>
        <v>2.1511804562819998</v>
      </c>
      <c r="W91" s="121">
        <f t="shared" si="21"/>
        <v>2.2421281479167998</v>
      </c>
      <c r="X91" s="121">
        <f t="shared" si="21"/>
        <v>2.3330758395515998</v>
      </c>
      <c r="Y91" s="121">
        <f t="shared" si="21"/>
        <v>2.4240235311863998</v>
      </c>
      <c r="Z91" s="121">
        <f t="shared" si="21"/>
        <v>2.5149712228211998</v>
      </c>
      <c r="AA91" s="121">
        <f t="shared" si="21"/>
        <v>2.6059189144560002</v>
      </c>
      <c r="AB91" s="121">
        <f t="shared" si="21"/>
        <v>2.7092753544872004</v>
      </c>
      <c r="AC91" s="121">
        <f t="shared" si="21"/>
        <v>2.8126317945184005</v>
      </c>
      <c r="AD91" s="121">
        <f t="shared" si="21"/>
        <v>2.9159882345496007</v>
      </c>
      <c r="AE91" s="121">
        <f t="shared" si="21"/>
        <v>3.0193446745808008</v>
      </c>
      <c r="AF91" s="121">
        <f t="shared" si="21"/>
        <v>3.1227011146120001</v>
      </c>
      <c r="AG91" s="121">
        <f t="shared" si="21"/>
        <v>3.2396168904228002</v>
      </c>
      <c r="AH91" s="121">
        <f t="shared" si="21"/>
        <v>3.3565326662336004</v>
      </c>
      <c r="AI91" s="121">
        <f t="shared" si="21"/>
        <v>3.4734484420444005</v>
      </c>
      <c r="AJ91" s="121">
        <f t="shared" si="21"/>
        <v>3.5903642178552007</v>
      </c>
    </row>
    <row r="92" spans="2:36">
      <c r="B92" s="117" t="s">
        <v>173</v>
      </c>
      <c r="C92" s="122"/>
      <c r="E92" s="117"/>
      <c r="F92" s="121"/>
      <c r="H92" s="35" t="s">
        <v>19</v>
      </c>
      <c r="I92" s="121">
        <f t="shared" si="21"/>
        <v>1.2273726189348</v>
      </c>
      <c r="J92" s="121">
        <f t="shared" si="21"/>
        <v>1.2871976241612</v>
      </c>
      <c r="K92" s="121">
        <f t="shared" si="21"/>
        <v>1.3470226293876</v>
      </c>
      <c r="L92" s="121">
        <f t="shared" si="21"/>
        <v>1.406847634614</v>
      </c>
      <c r="M92" s="121">
        <f t="shared" si="21"/>
        <v>1.4761205986099999</v>
      </c>
      <c r="N92" s="121">
        <f t="shared" si="21"/>
        <v>1.5453935626059998</v>
      </c>
      <c r="O92" s="121">
        <f t="shared" si="21"/>
        <v>1.6146665266019997</v>
      </c>
      <c r="P92" s="121">
        <f t="shared" si="21"/>
        <v>1.6839394905979996</v>
      </c>
      <c r="Q92" s="121">
        <f t="shared" si="21"/>
        <v>1.753212454594</v>
      </c>
      <c r="R92" s="121">
        <f t="shared" si="21"/>
        <v>16.179528256277997</v>
      </c>
      <c r="S92" s="121">
        <f t="shared" si="21"/>
        <v>30.605844057961995</v>
      </c>
      <c r="T92" s="121">
        <f t="shared" si="21"/>
        <v>45.032159859645994</v>
      </c>
      <c r="U92" s="121">
        <f t="shared" si="21"/>
        <v>59.458475661329992</v>
      </c>
      <c r="V92" s="121">
        <f t="shared" si="21"/>
        <v>73.884791463013997</v>
      </c>
      <c r="W92" s="121">
        <f t="shared" si="21"/>
        <v>83.243135617449994</v>
      </c>
      <c r="X92" s="121">
        <f t="shared" si="21"/>
        <v>92.601479771885991</v>
      </c>
      <c r="Y92" s="121">
        <f t="shared" si="21"/>
        <v>101.95982392632199</v>
      </c>
      <c r="Z92" s="121">
        <f t="shared" si="21"/>
        <v>111.31816808075799</v>
      </c>
      <c r="AA92" s="121">
        <f t="shared" si="21"/>
        <v>120.676512235194</v>
      </c>
      <c r="AB92" s="121">
        <f t="shared" si="21"/>
        <v>133.572178825994</v>
      </c>
      <c r="AC92" s="121">
        <f t="shared" si="21"/>
        <v>146.46784541679401</v>
      </c>
      <c r="AD92" s="121">
        <f t="shared" si="21"/>
        <v>159.36351200759401</v>
      </c>
      <c r="AE92" s="121">
        <f t="shared" si="21"/>
        <v>172.25917859839402</v>
      </c>
      <c r="AF92" s="121">
        <f t="shared" si="21"/>
        <v>185.15484518919399</v>
      </c>
      <c r="AG92" s="121">
        <f t="shared" si="21"/>
        <v>200.136609963474</v>
      </c>
      <c r="AH92" s="121">
        <f t="shared" si="21"/>
        <v>215.11837473775401</v>
      </c>
      <c r="AI92" s="121">
        <f t="shared" si="21"/>
        <v>230.10013951203402</v>
      </c>
      <c r="AJ92" s="121">
        <f t="shared" si="21"/>
        <v>245.08190428631403</v>
      </c>
    </row>
    <row r="93" spans="2:36">
      <c r="B93" s="117" t="s">
        <v>173</v>
      </c>
      <c r="C93" s="122"/>
      <c r="E93" s="117"/>
      <c r="F93" s="121"/>
      <c r="H93" s="35" t="s">
        <v>22</v>
      </c>
      <c r="I93" s="121">
        <f t="shared" si="21"/>
        <v>1.2273726189348</v>
      </c>
      <c r="J93" s="121">
        <f t="shared" si="21"/>
        <v>1.2871976241612</v>
      </c>
      <c r="K93" s="121">
        <f t="shared" si="21"/>
        <v>1.3470226293876</v>
      </c>
      <c r="L93" s="121">
        <f t="shared" si="21"/>
        <v>1.406847634614</v>
      </c>
      <c r="M93" s="121">
        <f t="shared" si="21"/>
        <v>1.4761205986099999</v>
      </c>
      <c r="N93" s="121">
        <f t="shared" si="21"/>
        <v>1.5453935626059998</v>
      </c>
      <c r="O93" s="121">
        <f t="shared" si="21"/>
        <v>1.6146665266019997</v>
      </c>
      <c r="P93" s="121">
        <f t="shared" si="21"/>
        <v>1.6839394905979996</v>
      </c>
      <c r="Q93" s="121">
        <f t="shared" si="21"/>
        <v>1.753212454594</v>
      </c>
      <c r="R93" s="121">
        <f t="shared" si="21"/>
        <v>17.616792503824399</v>
      </c>
      <c r="S93" s="121">
        <f t="shared" si="21"/>
        <v>33.480372553054799</v>
      </c>
      <c r="T93" s="121">
        <f t="shared" si="21"/>
        <v>49.343952602285199</v>
      </c>
      <c r="U93" s="121">
        <f t="shared" si="21"/>
        <v>65.207532651515592</v>
      </c>
      <c r="V93" s="121">
        <f t="shared" si="21"/>
        <v>81.071112700745999</v>
      </c>
      <c r="W93" s="121">
        <f t="shared" si="21"/>
        <v>86.933679432099993</v>
      </c>
      <c r="X93" s="121">
        <f t="shared" si="21"/>
        <v>92.796246163453986</v>
      </c>
      <c r="Y93" s="121">
        <f t="shared" si="21"/>
        <v>98.65881289480798</v>
      </c>
      <c r="Z93" s="121">
        <f t="shared" si="21"/>
        <v>104.52137962616197</v>
      </c>
      <c r="AA93" s="121">
        <f t="shared" si="21"/>
        <v>110.383946357516</v>
      </c>
      <c r="AB93" s="121">
        <f t="shared" si="21"/>
        <v>117.24192417638679</v>
      </c>
      <c r="AC93" s="121">
        <f t="shared" si="21"/>
        <v>124.09990199525758</v>
      </c>
      <c r="AD93" s="121">
        <f t="shared" si="21"/>
        <v>130.95787981412838</v>
      </c>
      <c r="AE93" s="121">
        <f t="shared" si="21"/>
        <v>137.81585763299918</v>
      </c>
      <c r="AF93" s="121">
        <f t="shared" si="21"/>
        <v>144.67383545186999</v>
      </c>
      <c r="AG93" s="121">
        <f t="shared" si="21"/>
        <v>151.8096594976648</v>
      </c>
      <c r="AH93" s="121">
        <f t="shared" si="21"/>
        <v>158.9454835434596</v>
      </c>
      <c r="AI93" s="121">
        <f t="shared" si="21"/>
        <v>166.08130758925441</v>
      </c>
      <c r="AJ93" s="121">
        <f t="shared" si="21"/>
        <v>173.21713163504921</v>
      </c>
    </row>
    <row r="94" spans="2:36">
      <c r="B94" s="117" t="s">
        <v>173</v>
      </c>
      <c r="C94" s="122"/>
      <c r="E94" s="117"/>
      <c r="F94" s="121"/>
      <c r="H94" s="35" t="s">
        <v>24</v>
      </c>
      <c r="I94" s="121">
        <f>I106</f>
        <v>6.5387898932644006</v>
      </c>
      <c r="J94" s="121">
        <f t="shared" si="21"/>
        <v>9.2543235356556011</v>
      </c>
      <c r="K94" s="121">
        <f t="shared" si="21"/>
        <v>11.969857178046801</v>
      </c>
      <c r="L94" s="121">
        <f t="shared" si="21"/>
        <v>14.685390820438</v>
      </c>
      <c r="M94" s="121">
        <f t="shared" si="21"/>
        <v>17.400866528027198</v>
      </c>
      <c r="N94" s="121">
        <f t="shared" si="21"/>
        <v>20.116342235616397</v>
      </c>
      <c r="O94" s="121">
        <f t="shared" si="21"/>
        <v>22.831817943205596</v>
      </c>
      <c r="P94" s="121">
        <f t="shared" si="21"/>
        <v>25.547293650794796</v>
      </c>
      <c r="Q94" s="121">
        <f t="shared" si="21"/>
        <v>28.262769358383991</v>
      </c>
      <c r="R94" s="121">
        <f t="shared" si="21"/>
        <v>28.776114485022791</v>
      </c>
      <c r="S94" s="121">
        <f t="shared" si="21"/>
        <v>29.289459611661592</v>
      </c>
      <c r="T94" s="121">
        <f t="shared" si="21"/>
        <v>29.802804738300392</v>
      </c>
      <c r="U94" s="121">
        <f t="shared" si="21"/>
        <v>30.316149864939192</v>
      </c>
      <c r="V94" s="121">
        <f t="shared" si="21"/>
        <v>30.829494991577999</v>
      </c>
      <c r="W94" s="121">
        <f t="shared" si="21"/>
        <v>31.388516204125999</v>
      </c>
      <c r="X94" s="121">
        <f t="shared" si="21"/>
        <v>31.947537416673999</v>
      </c>
      <c r="Y94" s="121">
        <f t="shared" si="21"/>
        <v>32.506558629221999</v>
      </c>
      <c r="Z94" s="121">
        <f t="shared" si="21"/>
        <v>33.065579841769996</v>
      </c>
      <c r="AA94" s="121">
        <f t="shared" si="21"/>
        <v>33.624601054317992</v>
      </c>
      <c r="AB94" s="121">
        <f t="shared" si="21"/>
        <v>34.232998470232793</v>
      </c>
      <c r="AC94" s="121">
        <f t="shared" si="21"/>
        <v>34.841395886147595</v>
      </c>
      <c r="AD94" s="121">
        <f t="shared" si="21"/>
        <v>35.449793302062396</v>
      </c>
      <c r="AE94" s="121">
        <f t="shared" si="21"/>
        <v>36.058190717977197</v>
      </c>
      <c r="AF94" s="121">
        <f t="shared" si="21"/>
        <v>36.666588133891999</v>
      </c>
      <c r="AG94" s="121">
        <f t="shared" si="21"/>
        <v>37.328936985231202</v>
      </c>
      <c r="AH94" s="121">
        <f t="shared" si="21"/>
        <v>37.991285836570405</v>
      </c>
      <c r="AI94" s="121">
        <f t="shared" si="21"/>
        <v>38.653634687909609</v>
      </c>
      <c r="AJ94" s="121">
        <f t="shared" si="21"/>
        <v>39.315983539248812</v>
      </c>
    </row>
    <row r="95" spans="2:36">
      <c r="B95" s="117" t="s">
        <v>173</v>
      </c>
      <c r="C95" s="122"/>
      <c r="E95" s="117"/>
      <c r="F95" s="121"/>
      <c r="H95" s="35" t="s">
        <v>25</v>
      </c>
      <c r="I95" s="121">
        <f t="shared" ref="I95:AJ95" si="22">I107</f>
        <v>25.389440745104398</v>
      </c>
      <c r="J95" s="121">
        <f t="shared" si="22"/>
        <v>37.530299813415596</v>
      </c>
      <c r="K95" s="121">
        <f t="shared" si="22"/>
        <v>49.671158881726797</v>
      </c>
      <c r="L95" s="121">
        <f t="shared" si="22"/>
        <v>61.812017950037998</v>
      </c>
      <c r="M95" s="121">
        <f t="shared" si="22"/>
        <v>67.143963640499592</v>
      </c>
      <c r="N95" s="121">
        <f t="shared" si="22"/>
        <v>72.475909330961187</v>
      </c>
      <c r="O95" s="121">
        <f t="shared" si="22"/>
        <v>77.807855021422782</v>
      </c>
      <c r="P95" s="121">
        <f t="shared" si="22"/>
        <v>83.139800711884376</v>
      </c>
      <c r="Q95" s="121">
        <f t="shared" si="22"/>
        <v>88.471746402346</v>
      </c>
      <c r="R95" s="121">
        <f t="shared" si="22"/>
        <v>98.112007994063603</v>
      </c>
      <c r="S95" s="121">
        <f t="shared" si="22"/>
        <v>107.75226958578121</v>
      </c>
      <c r="T95" s="121">
        <f t="shared" si="22"/>
        <v>117.39253117749881</v>
      </c>
      <c r="U95" s="121">
        <f t="shared" si="22"/>
        <v>127.03279276921641</v>
      </c>
      <c r="V95" s="121">
        <f t="shared" si="22"/>
        <v>136.673054360934</v>
      </c>
      <c r="W95" s="121">
        <f t="shared" si="22"/>
        <v>152.3950284390416</v>
      </c>
      <c r="X95" s="121">
        <f t="shared" si="22"/>
        <v>168.11700251714919</v>
      </c>
      <c r="Y95" s="121">
        <f t="shared" si="22"/>
        <v>183.83897659525678</v>
      </c>
      <c r="Z95" s="121">
        <f t="shared" si="22"/>
        <v>199.56095067336437</v>
      </c>
      <c r="AA95" s="121">
        <f t="shared" si="22"/>
        <v>215.282924751472</v>
      </c>
      <c r="AB95" s="121">
        <f t="shared" si="22"/>
        <v>238.91711118915001</v>
      </c>
      <c r="AC95" s="121">
        <f t="shared" si="22"/>
        <v>262.55129762682799</v>
      </c>
      <c r="AD95" s="121">
        <f t="shared" si="22"/>
        <v>286.185484064506</v>
      </c>
      <c r="AE95" s="121">
        <f t="shared" si="22"/>
        <v>309.81967050218401</v>
      </c>
      <c r="AF95" s="121">
        <f t="shared" si="22"/>
        <v>333.45385693986202</v>
      </c>
      <c r="AG95" s="121">
        <f t="shared" si="22"/>
        <v>366.77473710987164</v>
      </c>
      <c r="AH95" s="121">
        <f t="shared" si="22"/>
        <v>400.09561727988125</v>
      </c>
      <c r="AI95" s="121">
        <f t="shared" si="22"/>
        <v>433.41649744989087</v>
      </c>
      <c r="AJ95" s="121">
        <f t="shared" si="22"/>
        <v>466.73737761990049</v>
      </c>
    </row>
    <row r="96" spans="2:36">
      <c r="B96" s="117" t="s">
        <v>173</v>
      </c>
      <c r="C96" s="122"/>
      <c r="E96" s="117"/>
      <c r="F96" s="121"/>
      <c r="H96" s="117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</row>
    <row r="97" spans="1:42">
      <c r="B97" s="117" t="s">
        <v>173</v>
      </c>
      <c r="C97" s="122"/>
      <c r="E97" s="117"/>
      <c r="F97" s="121"/>
      <c r="H97" s="117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</row>
    <row r="98" spans="1:42">
      <c r="B98" s="117" t="s">
        <v>173</v>
      </c>
      <c r="C98" s="122"/>
      <c r="E98" s="117"/>
      <c r="F98" s="121"/>
      <c r="H98" s="117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</row>
    <row r="100" spans="1:42">
      <c r="B100" s="113" t="s">
        <v>272</v>
      </c>
      <c r="E100" s="113" t="s">
        <v>69</v>
      </c>
      <c r="H100" s="113" t="s">
        <v>72</v>
      </c>
      <c r="I100" s="115">
        <v>2023</v>
      </c>
      <c r="J100" s="115">
        <v>2024</v>
      </c>
      <c r="K100" s="115">
        <v>2025</v>
      </c>
      <c r="L100" s="115">
        <v>2026</v>
      </c>
      <c r="M100" s="115">
        <v>2027</v>
      </c>
      <c r="N100" s="115">
        <v>2028</v>
      </c>
      <c r="O100" s="115">
        <v>2029</v>
      </c>
      <c r="P100" s="115">
        <v>2030</v>
      </c>
      <c r="Q100" s="115">
        <v>2031</v>
      </c>
      <c r="R100" s="115">
        <v>2032</v>
      </c>
      <c r="S100" s="115">
        <v>2033</v>
      </c>
      <c r="T100" s="115">
        <v>2034</v>
      </c>
      <c r="U100" s="115">
        <v>2035</v>
      </c>
      <c r="V100" s="115">
        <v>2036</v>
      </c>
      <c r="W100" s="115">
        <v>2037</v>
      </c>
      <c r="X100" s="115">
        <v>2038</v>
      </c>
      <c r="Y100" s="115">
        <v>2039</v>
      </c>
      <c r="Z100" s="115">
        <v>2040</v>
      </c>
      <c r="AA100" s="115">
        <v>2041</v>
      </c>
      <c r="AB100" s="115">
        <v>2042</v>
      </c>
      <c r="AC100" s="115">
        <v>2043</v>
      </c>
      <c r="AD100" s="115">
        <v>2044</v>
      </c>
      <c r="AE100" s="115">
        <v>2045</v>
      </c>
      <c r="AF100" s="115">
        <v>2046</v>
      </c>
      <c r="AG100" s="115">
        <v>2047</v>
      </c>
      <c r="AH100" s="115">
        <v>2048</v>
      </c>
      <c r="AI100" s="115">
        <v>2049</v>
      </c>
      <c r="AJ100" s="115">
        <v>2050</v>
      </c>
    </row>
    <row r="101" spans="1:42">
      <c r="B101" s="117" t="s">
        <v>173</v>
      </c>
      <c r="C101" s="122"/>
      <c r="E101" s="117"/>
      <c r="F101" s="121"/>
      <c r="H101" s="117" t="s">
        <v>8</v>
      </c>
      <c r="I101" s="121">
        <f>I103</f>
        <v>1.2274021734379998</v>
      </c>
      <c r="J101" s="121">
        <f t="shared" ref="J101:AJ101" si="23">J103</f>
        <v>1.2872419559159998</v>
      </c>
      <c r="K101" s="121">
        <f t="shared" si="23"/>
        <v>1.3470817383939997</v>
      </c>
      <c r="L101" s="121">
        <f t="shared" si="23"/>
        <v>1.4069215208720001</v>
      </c>
      <c r="M101" s="121">
        <f t="shared" si="23"/>
        <v>1.4762026156796</v>
      </c>
      <c r="N101" s="121">
        <f t="shared" si="23"/>
        <v>1.5454837104871999</v>
      </c>
      <c r="O101" s="121">
        <f t="shared" si="23"/>
        <v>1.6147648052947998</v>
      </c>
      <c r="P101" s="121">
        <f t="shared" si="23"/>
        <v>1.6840459001023997</v>
      </c>
      <c r="Q101" s="121">
        <f t="shared" si="23"/>
        <v>1.7533269949100001</v>
      </c>
      <c r="R101" s="121">
        <f t="shared" si="23"/>
        <v>1.8328976871844</v>
      </c>
      <c r="S101" s="121">
        <f t="shared" si="23"/>
        <v>1.9124683794588</v>
      </c>
      <c r="T101" s="121">
        <f t="shared" si="23"/>
        <v>1.9920390717331999</v>
      </c>
      <c r="U101" s="121">
        <f t="shared" si="23"/>
        <v>2.0716097640075999</v>
      </c>
      <c r="V101" s="121">
        <f t="shared" si="23"/>
        <v>2.1511804562819998</v>
      </c>
      <c r="W101" s="121">
        <f t="shared" si="23"/>
        <v>2.2421281479167998</v>
      </c>
      <c r="X101" s="121">
        <f t="shared" si="23"/>
        <v>2.3330758395515998</v>
      </c>
      <c r="Y101" s="121">
        <f t="shared" si="23"/>
        <v>2.4240235311863998</v>
      </c>
      <c r="Z101" s="121">
        <f t="shared" si="23"/>
        <v>2.5149712228211998</v>
      </c>
      <c r="AA101" s="121">
        <f t="shared" si="23"/>
        <v>2.6059189144560002</v>
      </c>
      <c r="AB101" s="121">
        <f t="shared" si="23"/>
        <v>2.7092753544872004</v>
      </c>
      <c r="AC101" s="121">
        <f t="shared" si="23"/>
        <v>2.8126317945184005</v>
      </c>
      <c r="AD101" s="121">
        <f t="shared" si="23"/>
        <v>2.9159882345496007</v>
      </c>
      <c r="AE101" s="121">
        <f t="shared" si="23"/>
        <v>3.0193446745808008</v>
      </c>
      <c r="AF101" s="121">
        <f t="shared" si="23"/>
        <v>3.1227011146120001</v>
      </c>
      <c r="AG101" s="121">
        <f t="shared" si="23"/>
        <v>3.2396168904228002</v>
      </c>
      <c r="AH101" s="121">
        <f t="shared" si="23"/>
        <v>3.3565326662336004</v>
      </c>
      <c r="AI101" s="121">
        <f t="shared" si="23"/>
        <v>3.4734484420444005</v>
      </c>
      <c r="AJ101" s="121">
        <f t="shared" si="23"/>
        <v>3.5903642178552007</v>
      </c>
    </row>
    <row r="102" spans="1:42">
      <c r="B102" s="117" t="s">
        <v>173</v>
      </c>
      <c r="C102" s="122"/>
      <c r="E102" s="117"/>
      <c r="F102" s="121"/>
      <c r="H102" s="35" t="s">
        <v>12</v>
      </c>
      <c r="I102" s="121">
        <f>I112</f>
        <v>13.458131390376399</v>
      </c>
      <c r="J102" s="121">
        <f t="shared" ref="J102:AJ107" si="24">J112</f>
        <v>19.633335781323598</v>
      </c>
      <c r="K102" s="121">
        <f t="shared" si="24"/>
        <v>25.808540172270799</v>
      </c>
      <c r="L102" s="121">
        <f t="shared" si="24"/>
        <v>31.983744563218</v>
      </c>
      <c r="M102" s="121">
        <f t="shared" si="24"/>
        <v>33.368109551101597</v>
      </c>
      <c r="N102" s="121">
        <f t="shared" si="24"/>
        <v>34.752474538985197</v>
      </c>
      <c r="O102" s="121">
        <f t="shared" si="24"/>
        <v>36.136839526868798</v>
      </c>
      <c r="P102" s="121">
        <f t="shared" si="24"/>
        <v>37.521204514752398</v>
      </c>
      <c r="Q102" s="121">
        <f t="shared" si="24"/>
        <v>38.905569502635991</v>
      </c>
      <c r="R102" s="121">
        <f t="shared" si="24"/>
        <v>41.067194329817596</v>
      </c>
      <c r="S102" s="121">
        <f t="shared" si="24"/>
        <v>43.228819156999201</v>
      </c>
      <c r="T102" s="121">
        <f t="shared" si="24"/>
        <v>45.390443984180806</v>
      </c>
      <c r="U102" s="121">
        <f t="shared" si="24"/>
        <v>47.55206881136241</v>
      </c>
      <c r="V102" s="121">
        <f t="shared" si="24"/>
        <v>49.713693638544001</v>
      </c>
      <c r="W102" s="121">
        <f t="shared" si="24"/>
        <v>52.840679425011601</v>
      </c>
      <c r="X102" s="121">
        <f t="shared" si="24"/>
        <v>55.967665211479201</v>
      </c>
      <c r="Y102" s="121">
        <f t="shared" si="24"/>
        <v>59.0946509979468</v>
      </c>
      <c r="Z102" s="121">
        <f t="shared" si="24"/>
        <v>62.2216367844144</v>
      </c>
      <c r="AA102" s="121">
        <f t="shared" si="24"/>
        <v>65.348622570882</v>
      </c>
      <c r="AB102" s="121">
        <f t="shared" si="24"/>
        <v>69.779332531809203</v>
      </c>
      <c r="AC102" s="121">
        <f t="shared" si="24"/>
        <v>74.210042492736406</v>
      </c>
      <c r="AD102" s="121">
        <f t="shared" si="24"/>
        <v>78.640752453663609</v>
      </c>
      <c r="AE102" s="121">
        <f t="shared" si="24"/>
        <v>83.071462414590812</v>
      </c>
      <c r="AF102" s="121">
        <f t="shared" si="24"/>
        <v>87.502172375517986</v>
      </c>
      <c r="AG102" s="121">
        <f t="shared" si="24"/>
        <v>93.495521084597186</v>
      </c>
      <c r="AH102" s="121">
        <f t="shared" si="24"/>
        <v>99.488869793676386</v>
      </c>
      <c r="AI102" s="121">
        <f t="shared" si="24"/>
        <v>105.48221850275559</v>
      </c>
      <c r="AJ102" s="121">
        <f t="shared" si="24"/>
        <v>111.47556721183479</v>
      </c>
    </row>
    <row r="103" spans="1:42">
      <c r="B103" s="117" t="s">
        <v>173</v>
      </c>
      <c r="C103" s="122"/>
      <c r="E103" s="117"/>
      <c r="F103" s="121"/>
      <c r="H103" s="35" t="s">
        <v>15</v>
      </c>
      <c r="I103" s="121">
        <f t="shared" ref="I103:X107" si="25">I113</f>
        <v>1.2274021734379998</v>
      </c>
      <c r="J103" s="121">
        <f t="shared" si="25"/>
        <v>1.2872419559159998</v>
      </c>
      <c r="K103" s="121">
        <f t="shared" si="25"/>
        <v>1.3470817383939997</v>
      </c>
      <c r="L103" s="121">
        <f t="shared" si="25"/>
        <v>1.4069215208720001</v>
      </c>
      <c r="M103" s="121">
        <f t="shared" si="25"/>
        <v>1.4762026156796</v>
      </c>
      <c r="N103" s="121">
        <f t="shared" si="25"/>
        <v>1.5454837104871999</v>
      </c>
      <c r="O103" s="121">
        <f t="shared" si="25"/>
        <v>1.6147648052947998</v>
      </c>
      <c r="P103" s="121">
        <f t="shared" si="25"/>
        <v>1.6840459001023997</v>
      </c>
      <c r="Q103" s="121">
        <f t="shared" si="25"/>
        <v>1.7533269949100001</v>
      </c>
      <c r="R103" s="121">
        <f t="shared" si="25"/>
        <v>1.8328976871844</v>
      </c>
      <c r="S103" s="121">
        <f t="shared" si="25"/>
        <v>1.9124683794588</v>
      </c>
      <c r="T103" s="121">
        <f t="shared" si="25"/>
        <v>1.9920390717331999</v>
      </c>
      <c r="U103" s="121">
        <f t="shared" si="25"/>
        <v>2.0716097640075999</v>
      </c>
      <c r="V103" s="121">
        <f t="shared" si="25"/>
        <v>2.1511804562819998</v>
      </c>
      <c r="W103" s="121">
        <f t="shared" si="25"/>
        <v>2.2421281479167998</v>
      </c>
      <c r="X103" s="121">
        <f t="shared" si="25"/>
        <v>2.3330758395515998</v>
      </c>
      <c r="Y103" s="121">
        <f t="shared" si="24"/>
        <v>2.4240235311863998</v>
      </c>
      <c r="Z103" s="121">
        <f t="shared" si="24"/>
        <v>2.5149712228211998</v>
      </c>
      <c r="AA103" s="121">
        <f t="shared" si="24"/>
        <v>2.6059189144560002</v>
      </c>
      <c r="AB103" s="121">
        <f t="shared" si="24"/>
        <v>2.7092753544872004</v>
      </c>
      <c r="AC103" s="121">
        <f t="shared" si="24"/>
        <v>2.8126317945184005</v>
      </c>
      <c r="AD103" s="121">
        <f t="shared" si="24"/>
        <v>2.9159882345496007</v>
      </c>
      <c r="AE103" s="121">
        <f t="shared" si="24"/>
        <v>3.0193446745808008</v>
      </c>
      <c r="AF103" s="121">
        <f t="shared" si="24"/>
        <v>3.1227011146120001</v>
      </c>
      <c r="AG103" s="121">
        <f t="shared" si="24"/>
        <v>3.2396168904228002</v>
      </c>
      <c r="AH103" s="121">
        <f t="shared" si="24"/>
        <v>3.3565326662336004</v>
      </c>
      <c r="AI103" s="121">
        <f t="shared" si="24"/>
        <v>3.4734484420444005</v>
      </c>
      <c r="AJ103" s="121">
        <f t="shared" si="24"/>
        <v>3.5903642178552007</v>
      </c>
    </row>
    <row r="104" spans="1:42">
      <c r="B104" s="117" t="s">
        <v>173</v>
      </c>
      <c r="C104" s="122"/>
      <c r="E104" s="117"/>
      <c r="F104" s="121"/>
      <c r="H104" s="35" t="s">
        <v>19</v>
      </c>
      <c r="I104" s="121">
        <f t="shared" si="25"/>
        <v>1.2273726189348</v>
      </c>
      <c r="J104" s="121">
        <f t="shared" si="24"/>
        <v>1.2871976241612</v>
      </c>
      <c r="K104" s="121">
        <f t="shared" si="24"/>
        <v>1.3470226293876</v>
      </c>
      <c r="L104" s="121">
        <f t="shared" si="24"/>
        <v>1.406847634614</v>
      </c>
      <c r="M104" s="121">
        <f t="shared" si="24"/>
        <v>1.4761205986099999</v>
      </c>
      <c r="N104" s="121">
        <f t="shared" si="24"/>
        <v>1.5453935626059998</v>
      </c>
      <c r="O104" s="121">
        <f t="shared" si="24"/>
        <v>1.6146665266019997</v>
      </c>
      <c r="P104" s="121">
        <f t="shared" si="24"/>
        <v>1.6839394905979996</v>
      </c>
      <c r="Q104" s="121">
        <f t="shared" si="24"/>
        <v>1.753212454594</v>
      </c>
      <c r="R104" s="121">
        <f t="shared" si="24"/>
        <v>16.179528256277997</v>
      </c>
      <c r="S104" s="121">
        <f t="shared" si="24"/>
        <v>30.605844057961995</v>
      </c>
      <c r="T104" s="121">
        <f t="shared" si="24"/>
        <v>45.032159859645994</v>
      </c>
      <c r="U104" s="121">
        <f t="shared" si="24"/>
        <v>59.458475661329992</v>
      </c>
      <c r="V104" s="121">
        <f t="shared" si="24"/>
        <v>73.884791463013997</v>
      </c>
      <c r="W104" s="121">
        <f t="shared" si="24"/>
        <v>83.243135617449994</v>
      </c>
      <c r="X104" s="121">
        <f t="shared" si="24"/>
        <v>92.601479771885991</v>
      </c>
      <c r="Y104" s="121">
        <f t="shared" si="24"/>
        <v>101.95982392632199</v>
      </c>
      <c r="Z104" s="121">
        <f t="shared" si="24"/>
        <v>111.31816808075799</v>
      </c>
      <c r="AA104" s="121">
        <f t="shared" si="24"/>
        <v>120.676512235194</v>
      </c>
      <c r="AB104" s="121">
        <f t="shared" si="24"/>
        <v>133.572178825994</v>
      </c>
      <c r="AC104" s="121">
        <f t="shared" si="24"/>
        <v>146.46784541679401</v>
      </c>
      <c r="AD104" s="121">
        <f t="shared" si="24"/>
        <v>159.36351200759401</v>
      </c>
      <c r="AE104" s="121">
        <f t="shared" si="24"/>
        <v>172.25917859839402</v>
      </c>
      <c r="AF104" s="121">
        <f t="shared" si="24"/>
        <v>185.15484518919399</v>
      </c>
      <c r="AG104" s="121">
        <f t="shared" si="24"/>
        <v>200.136609963474</v>
      </c>
      <c r="AH104" s="121">
        <f t="shared" si="24"/>
        <v>215.11837473775401</v>
      </c>
      <c r="AI104" s="121">
        <f t="shared" si="24"/>
        <v>230.10013951203402</v>
      </c>
      <c r="AJ104" s="121">
        <f t="shared" si="24"/>
        <v>245.08190428631403</v>
      </c>
    </row>
    <row r="105" spans="1:42">
      <c r="B105" s="117" t="s">
        <v>173</v>
      </c>
      <c r="C105" s="122"/>
      <c r="E105" s="117"/>
      <c r="F105" s="121"/>
      <c r="H105" s="35" t="s">
        <v>22</v>
      </c>
      <c r="I105" s="121">
        <f t="shared" si="25"/>
        <v>1.2273726189348</v>
      </c>
      <c r="J105" s="121">
        <f t="shared" si="24"/>
        <v>1.2871976241612</v>
      </c>
      <c r="K105" s="121">
        <f t="shared" si="24"/>
        <v>1.3470226293876</v>
      </c>
      <c r="L105" s="121">
        <f t="shared" si="24"/>
        <v>1.406847634614</v>
      </c>
      <c r="M105" s="121">
        <f t="shared" si="24"/>
        <v>1.4761205986099999</v>
      </c>
      <c r="N105" s="121">
        <f t="shared" si="24"/>
        <v>1.5453935626059998</v>
      </c>
      <c r="O105" s="121">
        <f t="shared" si="24"/>
        <v>1.6146665266019997</v>
      </c>
      <c r="P105" s="121">
        <f t="shared" si="24"/>
        <v>1.6839394905979996</v>
      </c>
      <c r="Q105" s="121">
        <f t="shared" si="24"/>
        <v>1.753212454594</v>
      </c>
      <c r="R105" s="121">
        <f t="shared" si="24"/>
        <v>17.616792503824399</v>
      </c>
      <c r="S105" s="121">
        <f t="shared" si="24"/>
        <v>33.480372553054799</v>
      </c>
      <c r="T105" s="121">
        <f t="shared" si="24"/>
        <v>49.343952602285199</v>
      </c>
      <c r="U105" s="121">
        <f t="shared" si="24"/>
        <v>65.207532651515592</v>
      </c>
      <c r="V105" s="121">
        <f t="shared" si="24"/>
        <v>81.071112700745999</v>
      </c>
      <c r="W105" s="121">
        <f t="shared" si="24"/>
        <v>86.933679432099993</v>
      </c>
      <c r="X105" s="121">
        <f t="shared" si="24"/>
        <v>92.796246163453986</v>
      </c>
      <c r="Y105" s="121">
        <f t="shared" si="24"/>
        <v>98.65881289480798</v>
      </c>
      <c r="Z105" s="121">
        <f t="shared" si="24"/>
        <v>104.52137962616197</v>
      </c>
      <c r="AA105" s="121">
        <f t="shared" si="24"/>
        <v>110.383946357516</v>
      </c>
      <c r="AB105" s="121">
        <f t="shared" si="24"/>
        <v>117.24192417638679</v>
      </c>
      <c r="AC105" s="121">
        <f t="shared" si="24"/>
        <v>124.09990199525758</v>
      </c>
      <c r="AD105" s="121">
        <f t="shared" si="24"/>
        <v>130.95787981412838</v>
      </c>
      <c r="AE105" s="121">
        <f t="shared" si="24"/>
        <v>137.81585763299918</v>
      </c>
      <c r="AF105" s="121">
        <f t="shared" si="24"/>
        <v>144.67383545186999</v>
      </c>
      <c r="AG105" s="121">
        <f t="shared" si="24"/>
        <v>151.8096594976648</v>
      </c>
      <c r="AH105" s="121">
        <f t="shared" si="24"/>
        <v>158.9454835434596</v>
      </c>
      <c r="AI105" s="121">
        <f t="shared" si="24"/>
        <v>166.08130758925441</v>
      </c>
      <c r="AJ105" s="121">
        <f t="shared" si="24"/>
        <v>173.21713163504921</v>
      </c>
    </row>
    <row r="106" spans="1:42">
      <c r="B106" s="117" t="s">
        <v>173</v>
      </c>
      <c r="C106" s="122"/>
      <c r="E106" s="117"/>
      <c r="F106" s="121"/>
      <c r="H106" s="35" t="s">
        <v>24</v>
      </c>
      <c r="I106" s="121">
        <f t="shared" si="25"/>
        <v>6.5387898932644006</v>
      </c>
      <c r="J106" s="121">
        <f t="shared" si="24"/>
        <v>9.2543235356556011</v>
      </c>
      <c r="K106" s="121">
        <f t="shared" si="24"/>
        <v>11.969857178046801</v>
      </c>
      <c r="L106" s="121">
        <f t="shared" si="24"/>
        <v>14.685390820438</v>
      </c>
      <c r="M106" s="121">
        <f t="shared" si="24"/>
        <v>17.400866528027198</v>
      </c>
      <c r="N106" s="121">
        <f t="shared" si="24"/>
        <v>20.116342235616397</v>
      </c>
      <c r="O106" s="121">
        <f t="shared" si="24"/>
        <v>22.831817943205596</v>
      </c>
      <c r="P106" s="121">
        <f t="shared" si="24"/>
        <v>25.547293650794796</v>
      </c>
      <c r="Q106" s="121">
        <f t="shared" si="24"/>
        <v>28.262769358383991</v>
      </c>
      <c r="R106" s="121">
        <f t="shared" si="24"/>
        <v>28.776114485022791</v>
      </c>
      <c r="S106" s="121">
        <f t="shared" si="24"/>
        <v>29.289459611661592</v>
      </c>
      <c r="T106" s="121">
        <f t="shared" si="24"/>
        <v>29.802804738300392</v>
      </c>
      <c r="U106" s="121">
        <f t="shared" si="24"/>
        <v>30.316149864939192</v>
      </c>
      <c r="V106" s="121">
        <f t="shared" si="24"/>
        <v>30.829494991577999</v>
      </c>
      <c r="W106" s="121">
        <f t="shared" si="24"/>
        <v>31.388516204125999</v>
      </c>
      <c r="X106" s="121">
        <f t="shared" si="24"/>
        <v>31.947537416673999</v>
      </c>
      <c r="Y106" s="121">
        <f t="shared" si="24"/>
        <v>32.506558629221999</v>
      </c>
      <c r="Z106" s="121">
        <f t="shared" si="24"/>
        <v>33.065579841769996</v>
      </c>
      <c r="AA106" s="121">
        <f t="shared" si="24"/>
        <v>33.624601054317992</v>
      </c>
      <c r="AB106" s="121">
        <f t="shared" si="24"/>
        <v>34.232998470232793</v>
      </c>
      <c r="AC106" s="121">
        <f t="shared" si="24"/>
        <v>34.841395886147595</v>
      </c>
      <c r="AD106" s="121">
        <f t="shared" si="24"/>
        <v>35.449793302062396</v>
      </c>
      <c r="AE106" s="121">
        <f t="shared" si="24"/>
        <v>36.058190717977197</v>
      </c>
      <c r="AF106" s="121">
        <f t="shared" si="24"/>
        <v>36.666588133891999</v>
      </c>
      <c r="AG106" s="121">
        <f t="shared" si="24"/>
        <v>37.328936985231202</v>
      </c>
      <c r="AH106" s="121">
        <f t="shared" si="24"/>
        <v>37.991285836570405</v>
      </c>
      <c r="AI106" s="121">
        <f t="shared" si="24"/>
        <v>38.653634687909609</v>
      </c>
      <c r="AJ106" s="121">
        <f t="shared" si="24"/>
        <v>39.315983539248812</v>
      </c>
    </row>
    <row r="107" spans="1:42">
      <c r="B107" s="117" t="s">
        <v>173</v>
      </c>
      <c r="C107" s="122"/>
      <c r="E107" s="117"/>
      <c r="F107" s="121"/>
      <c r="H107" s="35" t="s">
        <v>25</v>
      </c>
      <c r="I107" s="121">
        <f t="shared" si="25"/>
        <v>25.389440745104398</v>
      </c>
      <c r="J107" s="121">
        <f t="shared" si="24"/>
        <v>37.530299813415596</v>
      </c>
      <c r="K107" s="121">
        <f t="shared" si="24"/>
        <v>49.671158881726797</v>
      </c>
      <c r="L107" s="121">
        <f t="shared" si="24"/>
        <v>61.812017950037998</v>
      </c>
      <c r="M107" s="121">
        <f t="shared" si="24"/>
        <v>67.143963640499592</v>
      </c>
      <c r="N107" s="121">
        <f t="shared" si="24"/>
        <v>72.475909330961187</v>
      </c>
      <c r="O107" s="121">
        <f t="shared" si="24"/>
        <v>77.807855021422782</v>
      </c>
      <c r="P107" s="121">
        <f t="shared" si="24"/>
        <v>83.139800711884376</v>
      </c>
      <c r="Q107" s="121">
        <f t="shared" si="24"/>
        <v>88.471746402346</v>
      </c>
      <c r="R107" s="121">
        <f t="shared" si="24"/>
        <v>98.112007994063603</v>
      </c>
      <c r="S107" s="121">
        <f t="shared" si="24"/>
        <v>107.75226958578121</v>
      </c>
      <c r="T107" s="121">
        <f t="shared" si="24"/>
        <v>117.39253117749881</v>
      </c>
      <c r="U107" s="121">
        <f t="shared" si="24"/>
        <v>127.03279276921641</v>
      </c>
      <c r="V107" s="121">
        <f t="shared" si="24"/>
        <v>136.673054360934</v>
      </c>
      <c r="W107" s="121">
        <f t="shared" si="24"/>
        <v>152.3950284390416</v>
      </c>
      <c r="X107" s="121">
        <f t="shared" si="24"/>
        <v>168.11700251714919</v>
      </c>
      <c r="Y107" s="121">
        <f t="shared" si="24"/>
        <v>183.83897659525678</v>
      </c>
      <c r="Z107" s="121">
        <f t="shared" si="24"/>
        <v>199.56095067336437</v>
      </c>
      <c r="AA107" s="121">
        <f t="shared" si="24"/>
        <v>215.282924751472</v>
      </c>
      <c r="AB107" s="121">
        <f t="shared" si="24"/>
        <v>238.91711118915001</v>
      </c>
      <c r="AC107" s="121">
        <f t="shared" si="24"/>
        <v>262.55129762682799</v>
      </c>
      <c r="AD107" s="121">
        <f t="shared" si="24"/>
        <v>286.185484064506</v>
      </c>
      <c r="AE107" s="121">
        <f t="shared" si="24"/>
        <v>309.81967050218401</v>
      </c>
      <c r="AF107" s="121">
        <f t="shared" si="24"/>
        <v>333.45385693986202</v>
      </c>
      <c r="AG107" s="121">
        <f t="shared" si="24"/>
        <v>366.77473710987164</v>
      </c>
      <c r="AH107" s="121">
        <f t="shared" si="24"/>
        <v>400.09561727988125</v>
      </c>
      <c r="AI107" s="121">
        <f t="shared" si="24"/>
        <v>433.41649744989087</v>
      </c>
      <c r="AJ107" s="121">
        <f t="shared" si="24"/>
        <v>466.73737761990049</v>
      </c>
    </row>
    <row r="108" spans="1:42">
      <c r="B108" s="117" t="s">
        <v>173</v>
      </c>
      <c r="C108" s="122"/>
      <c r="E108" s="117"/>
      <c r="F108" s="121"/>
      <c r="H108" s="117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</row>
    <row r="109" spans="1:42">
      <c r="B109" s="117" t="s">
        <v>173</v>
      </c>
      <c r="C109" s="122"/>
      <c r="E109" s="117"/>
      <c r="F109" s="121"/>
      <c r="H109" s="117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</row>
    <row r="110" spans="1:42" customFormat="1">
      <c r="A110" s="115"/>
      <c r="B110" s="117" t="s">
        <v>173</v>
      </c>
      <c r="C110" s="122"/>
      <c r="D110" s="115"/>
      <c r="E110" s="117"/>
      <c r="F110" s="121"/>
      <c r="G110" s="115"/>
      <c r="H110" s="117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</row>
    <row r="111" spans="1:42">
      <c r="H111" s="171" t="s">
        <v>273</v>
      </c>
      <c r="I111" s="129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</row>
    <row r="112" spans="1:42">
      <c r="B112" s="113" t="s">
        <v>274</v>
      </c>
      <c r="E112" s="113" t="s">
        <v>70</v>
      </c>
      <c r="H112" s="130" t="s">
        <v>12</v>
      </c>
      <c r="I112" s="149">
        <v>13.458131390376399</v>
      </c>
      <c r="J112" s="149">
        <v>19.633335781323598</v>
      </c>
      <c r="K112" s="149">
        <v>25.808540172270799</v>
      </c>
      <c r="L112" s="149">
        <v>31.983744563218</v>
      </c>
      <c r="M112" s="149">
        <v>33.368109551101597</v>
      </c>
      <c r="N112" s="149">
        <v>34.752474538985197</v>
      </c>
      <c r="O112" s="149">
        <v>36.136839526868798</v>
      </c>
      <c r="P112" s="149">
        <v>37.521204514752398</v>
      </c>
      <c r="Q112" s="149">
        <v>38.905569502635991</v>
      </c>
      <c r="R112" s="149">
        <v>41.067194329817596</v>
      </c>
      <c r="S112" s="149">
        <v>43.228819156999201</v>
      </c>
      <c r="T112" s="149">
        <v>45.390443984180806</v>
      </c>
      <c r="U112" s="149">
        <v>47.55206881136241</v>
      </c>
      <c r="V112" s="149">
        <v>49.713693638544001</v>
      </c>
      <c r="W112" s="149">
        <v>52.840679425011601</v>
      </c>
      <c r="X112" s="149">
        <v>55.967665211479201</v>
      </c>
      <c r="Y112" s="149">
        <v>59.0946509979468</v>
      </c>
      <c r="Z112" s="149">
        <v>62.2216367844144</v>
      </c>
      <c r="AA112" s="149">
        <v>65.348622570882</v>
      </c>
      <c r="AB112" s="149">
        <v>69.779332531809203</v>
      </c>
      <c r="AC112" s="149">
        <v>74.210042492736406</v>
      </c>
      <c r="AD112" s="149">
        <v>78.640752453663609</v>
      </c>
      <c r="AE112" s="149">
        <v>83.071462414590812</v>
      </c>
      <c r="AF112" s="149">
        <v>87.502172375517986</v>
      </c>
      <c r="AG112" s="149">
        <v>93.495521084597186</v>
      </c>
      <c r="AH112" s="149">
        <v>99.488869793676386</v>
      </c>
      <c r="AI112" s="149">
        <v>105.48221850275559</v>
      </c>
      <c r="AJ112" s="149">
        <v>111.47556721183479</v>
      </c>
      <c r="AK112" s="115">
        <v>117.468915920914</v>
      </c>
      <c r="AL112" s="115">
        <v>119.98010959525161</v>
      </c>
      <c r="AM112" s="115">
        <v>122.49130326958921</v>
      </c>
      <c r="AN112" s="115">
        <v>125.00249694392681</v>
      </c>
      <c r="AO112" s="115">
        <v>127.51369061826442</v>
      </c>
      <c r="AP112" s="115">
        <v>130.024884292602</v>
      </c>
    </row>
    <row r="113" spans="2:42">
      <c r="B113" s="117" t="s">
        <v>173</v>
      </c>
      <c r="C113" s="122"/>
      <c r="E113" s="117"/>
      <c r="F113" s="121"/>
      <c r="H113" s="130" t="s">
        <v>15</v>
      </c>
      <c r="I113" s="149">
        <v>1.2274021734379998</v>
      </c>
      <c r="J113" s="149">
        <v>1.2872419559159998</v>
      </c>
      <c r="K113" s="149">
        <v>1.3470817383939997</v>
      </c>
      <c r="L113" s="149">
        <v>1.4069215208720001</v>
      </c>
      <c r="M113" s="149">
        <v>1.4762026156796</v>
      </c>
      <c r="N113" s="149">
        <v>1.5454837104871999</v>
      </c>
      <c r="O113" s="149">
        <v>1.6147648052947998</v>
      </c>
      <c r="P113" s="149">
        <v>1.6840459001023997</v>
      </c>
      <c r="Q113" s="149">
        <v>1.7533269949100001</v>
      </c>
      <c r="R113" s="149">
        <v>1.8328976871844</v>
      </c>
      <c r="S113" s="149">
        <v>1.9124683794588</v>
      </c>
      <c r="T113" s="149">
        <v>1.9920390717331999</v>
      </c>
      <c r="U113" s="149">
        <v>2.0716097640075999</v>
      </c>
      <c r="V113" s="149">
        <v>2.1511804562819998</v>
      </c>
      <c r="W113" s="149">
        <v>2.2421281479167998</v>
      </c>
      <c r="X113" s="149">
        <v>2.3330758395515998</v>
      </c>
      <c r="Y113" s="149">
        <v>2.4240235311863998</v>
      </c>
      <c r="Z113" s="149">
        <v>2.5149712228211998</v>
      </c>
      <c r="AA113" s="149">
        <v>2.6059189144560002</v>
      </c>
      <c r="AB113" s="149">
        <v>2.7092753544872004</v>
      </c>
      <c r="AC113" s="149">
        <v>2.8126317945184005</v>
      </c>
      <c r="AD113" s="149">
        <v>2.9159882345496007</v>
      </c>
      <c r="AE113" s="149">
        <v>3.0193446745808008</v>
      </c>
      <c r="AF113" s="149">
        <v>3.1227011146120001</v>
      </c>
      <c r="AG113" s="149">
        <v>3.2396168904228002</v>
      </c>
      <c r="AH113" s="149">
        <v>3.3565326662336004</v>
      </c>
      <c r="AI113" s="149">
        <v>3.4734484420444005</v>
      </c>
      <c r="AJ113" s="149">
        <v>3.5903642178552007</v>
      </c>
      <c r="AK113" s="115">
        <v>3.7072799936659999</v>
      </c>
      <c r="AL113" s="115">
        <v>3.8390105513079997</v>
      </c>
      <c r="AM113" s="115">
        <v>3.9707411089499995</v>
      </c>
      <c r="AN113" s="115">
        <v>4.1024716665919998</v>
      </c>
      <c r="AO113" s="115">
        <v>4.2342022242340001</v>
      </c>
      <c r="AP113" s="115">
        <v>4.3659327818759994</v>
      </c>
    </row>
    <row r="114" spans="2:42">
      <c r="B114" s="117" t="s">
        <v>173</v>
      </c>
      <c r="C114" s="122"/>
      <c r="E114" s="117"/>
      <c r="F114" s="121"/>
      <c r="H114" s="130" t="s">
        <v>19</v>
      </c>
      <c r="I114" s="149">
        <v>1.2273726189348</v>
      </c>
      <c r="J114" s="149">
        <v>1.2871976241612</v>
      </c>
      <c r="K114" s="149">
        <v>1.3470226293876</v>
      </c>
      <c r="L114" s="149">
        <v>1.406847634614</v>
      </c>
      <c r="M114" s="149">
        <v>1.4761205986099999</v>
      </c>
      <c r="N114" s="149">
        <v>1.5453935626059998</v>
      </c>
      <c r="O114" s="149">
        <v>1.6146665266019997</v>
      </c>
      <c r="P114" s="149">
        <v>1.6839394905979996</v>
      </c>
      <c r="Q114" s="149">
        <v>1.753212454594</v>
      </c>
      <c r="R114" s="149">
        <v>16.179528256277997</v>
      </c>
      <c r="S114" s="149">
        <v>30.605844057961995</v>
      </c>
      <c r="T114" s="149">
        <v>45.032159859645994</v>
      </c>
      <c r="U114" s="149">
        <v>59.458475661329992</v>
      </c>
      <c r="V114" s="149">
        <v>73.884791463013997</v>
      </c>
      <c r="W114" s="149">
        <v>83.243135617449994</v>
      </c>
      <c r="X114" s="149">
        <v>92.601479771885991</v>
      </c>
      <c r="Y114" s="149">
        <v>101.95982392632199</v>
      </c>
      <c r="Z114" s="149">
        <v>111.31816808075799</v>
      </c>
      <c r="AA114" s="149">
        <v>120.676512235194</v>
      </c>
      <c r="AB114" s="149">
        <v>133.572178825994</v>
      </c>
      <c r="AC114" s="149">
        <v>146.46784541679401</v>
      </c>
      <c r="AD114" s="149">
        <v>159.36351200759401</v>
      </c>
      <c r="AE114" s="149">
        <v>172.25917859839402</v>
      </c>
      <c r="AF114" s="149">
        <v>185.15484518919399</v>
      </c>
      <c r="AG114" s="149">
        <v>200.136609963474</v>
      </c>
      <c r="AH114" s="149">
        <v>215.11837473775401</v>
      </c>
      <c r="AI114" s="149">
        <v>230.10013951203402</v>
      </c>
      <c r="AJ114" s="149">
        <v>245.08190428631403</v>
      </c>
      <c r="AK114" s="115">
        <v>260.06366906059401</v>
      </c>
      <c r="AL114" s="115">
        <v>270.47673826300161</v>
      </c>
      <c r="AM114" s="115">
        <v>280.88980746540921</v>
      </c>
      <c r="AN114" s="115">
        <v>291.3028766678168</v>
      </c>
      <c r="AO114" s="115">
        <v>301.7159458702244</v>
      </c>
      <c r="AP114" s="115">
        <v>312.12901507263189</v>
      </c>
    </row>
    <row r="115" spans="2:42">
      <c r="B115" s="117" t="s">
        <v>173</v>
      </c>
      <c r="C115" s="122"/>
      <c r="E115" s="117"/>
      <c r="F115" s="121"/>
      <c r="H115" s="130" t="s">
        <v>22</v>
      </c>
      <c r="I115" s="149">
        <v>1.2273726189348</v>
      </c>
      <c r="J115" s="149">
        <v>1.2871976241612</v>
      </c>
      <c r="K115" s="149">
        <v>1.3470226293876</v>
      </c>
      <c r="L115" s="149">
        <v>1.406847634614</v>
      </c>
      <c r="M115" s="149">
        <v>1.4761205986099999</v>
      </c>
      <c r="N115" s="149">
        <v>1.5453935626059998</v>
      </c>
      <c r="O115" s="149">
        <v>1.6146665266019997</v>
      </c>
      <c r="P115" s="149">
        <v>1.6839394905979996</v>
      </c>
      <c r="Q115" s="149">
        <v>1.753212454594</v>
      </c>
      <c r="R115" s="149">
        <v>17.616792503824399</v>
      </c>
      <c r="S115" s="149">
        <v>33.480372553054799</v>
      </c>
      <c r="T115" s="149">
        <v>49.343952602285199</v>
      </c>
      <c r="U115" s="149">
        <v>65.207532651515592</v>
      </c>
      <c r="V115" s="149">
        <v>81.071112700745999</v>
      </c>
      <c r="W115" s="149">
        <v>86.933679432099993</v>
      </c>
      <c r="X115" s="149">
        <v>92.796246163453986</v>
      </c>
      <c r="Y115" s="149">
        <v>98.65881289480798</v>
      </c>
      <c r="Z115" s="149">
        <v>104.52137962616197</v>
      </c>
      <c r="AA115" s="149">
        <v>110.383946357516</v>
      </c>
      <c r="AB115" s="149">
        <v>117.24192417638679</v>
      </c>
      <c r="AC115" s="149">
        <v>124.09990199525758</v>
      </c>
      <c r="AD115" s="149">
        <v>130.95787981412838</v>
      </c>
      <c r="AE115" s="149">
        <v>137.81585763299918</v>
      </c>
      <c r="AF115" s="149">
        <v>144.67383545186999</v>
      </c>
      <c r="AG115" s="149">
        <v>151.8096594976648</v>
      </c>
      <c r="AH115" s="149">
        <v>158.9454835434596</v>
      </c>
      <c r="AI115" s="149">
        <v>166.08130758925441</v>
      </c>
      <c r="AJ115" s="149">
        <v>173.21713163504921</v>
      </c>
      <c r="AK115" s="115">
        <v>180.35295568084399</v>
      </c>
      <c r="AL115" s="115">
        <v>187.9392293700096</v>
      </c>
      <c r="AM115" s="115">
        <v>195.52550305917521</v>
      </c>
      <c r="AN115" s="115">
        <v>203.11177674834082</v>
      </c>
      <c r="AO115" s="115">
        <v>210.69805043750642</v>
      </c>
      <c r="AP115" s="115">
        <v>218.284324126672</v>
      </c>
    </row>
    <row r="116" spans="2:42">
      <c r="B116" s="117" t="s">
        <v>173</v>
      </c>
      <c r="C116" s="122"/>
      <c r="E116" s="117"/>
      <c r="F116" s="121"/>
      <c r="H116" s="130" t="s">
        <v>24</v>
      </c>
      <c r="I116" s="149">
        <v>6.5387898932644006</v>
      </c>
      <c r="J116" s="149">
        <v>9.2543235356556011</v>
      </c>
      <c r="K116" s="149">
        <v>11.969857178046801</v>
      </c>
      <c r="L116" s="149">
        <v>14.685390820438</v>
      </c>
      <c r="M116" s="149">
        <v>17.400866528027198</v>
      </c>
      <c r="N116" s="149">
        <v>20.116342235616397</v>
      </c>
      <c r="O116" s="149">
        <v>22.831817943205596</v>
      </c>
      <c r="P116" s="149">
        <v>25.547293650794796</v>
      </c>
      <c r="Q116" s="149">
        <v>28.262769358383991</v>
      </c>
      <c r="R116" s="149">
        <v>28.776114485022791</v>
      </c>
      <c r="S116" s="149">
        <v>29.289459611661592</v>
      </c>
      <c r="T116" s="149">
        <v>29.802804738300392</v>
      </c>
      <c r="U116" s="149">
        <v>30.316149864939192</v>
      </c>
      <c r="V116" s="149">
        <v>30.829494991577999</v>
      </c>
      <c r="W116" s="149">
        <v>31.388516204125999</v>
      </c>
      <c r="X116" s="149">
        <v>31.947537416673999</v>
      </c>
      <c r="Y116" s="149">
        <v>32.506558629221999</v>
      </c>
      <c r="Z116" s="149">
        <v>33.065579841769996</v>
      </c>
      <c r="AA116" s="149">
        <v>33.624601054317992</v>
      </c>
      <c r="AB116" s="149">
        <v>34.232998470232793</v>
      </c>
      <c r="AC116" s="149">
        <v>34.841395886147595</v>
      </c>
      <c r="AD116" s="149">
        <v>35.449793302062396</v>
      </c>
      <c r="AE116" s="149">
        <v>36.058190717977197</v>
      </c>
      <c r="AF116" s="149">
        <v>36.666588133891999</v>
      </c>
      <c r="AG116" s="149">
        <v>37.328936985231202</v>
      </c>
      <c r="AH116" s="149">
        <v>37.991285836570405</v>
      </c>
      <c r="AI116" s="149">
        <v>38.653634687909609</v>
      </c>
      <c r="AJ116" s="149">
        <v>39.315983539248812</v>
      </c>
      <c r="AK116" s="115">
        <v>39.978332390588022</v>
      </c>
      <c r="AL116" s="115">
        <v>40.699253858464417</v>
      </c>
      <c r="AM116" s="115">
        <v>41.420175326340811</v>
      </c>
      <c r="AN116" s="115">
        <v>42.141096794217205</v>
      </c>
      <c r="AO116" s="115">
        <v>42.862018262093599</v>
      </c>
      <c r="AP116" s="115">
        <v>43.582939729970008</v>
      </c>
    </row>
    <row r="117" spans="2:42">
      <c r="B117" s="117" t="s">
        <v>173</v>
      </c>
      <c r="C117" s="122"/>
      <c r="E117" s="117"/>
      <c r="F117" s="121"/>
      <c r="H117" s="130" t="s">
        <v>25</v>
      </c>
      <c r="I117" s="149">
        <v>25.389440745104398</v>
      </c>
      <c r="J117" s="149">
        <v>37.530299813415596</v>
      </c>
      <c r="K117" s="149">
        <v>49.671158881726797</v>
      </c>
      <c r="L117" s="149">
        <v>61.812017950037998</v>
      </c>
      <c r="M117" s="149">
        <v>67.143963640499592</v>
      </c>
      <c r="N117" s="149">
        <v>72.475909330961187</v>
      </c>
      <c r="O117" s="149">
        <v>77.807855021422782</v>
      </c>
      <c r="P117" s="149">
        <v>83.139800711884376</v>
      </c>
      <c r="Q117" s="149">
        <v>88.471746402346</v>
      </c>
      <c r="R117" s="149">
        <v>98.112007994063603</v>
      </c>
      <c r="S117" s="149">
        <v>107.75226958578121</v>
      </c>
      <c r="T117" s="149">
        <v>117.39253117749881</v>
      </c>
      <c r="U117" s="149">
        <v>127.03279276921641</v>
      </c>
      <c r="V117" s="149">
        <v>136.673054360934</v>
      </c>
      <c r="W117" s="149">
        <v>152.3950284390416</v>
      </c>
      <c r="X117" s="149">
        <v>168.11700251714919</v>
      </c>
      <c r="Y117" s="149">
        <v>183.83897659525678</v>
      </c>
      <c r="Z117" s="149">
        <v>199.56095067336437</v>
      </c>
      <c r="AA117" s="149">
        <v>215.282924751472</v>
      </c>
      <c r="AB117" s="149">
        <v>238.91711118915001</v>
      </c>
      <c r="AC117" s="149">
        <v>262.55129762682799</v>
      </c>
      <c r="AD117" s="149">
        <v>286.185484064506</v>
      </c>
      <c r="AE117" s="149">
        <v>309.81967050218401</v>
      </c>
      <c r="AF117" s="149">
        <v>333.45385693986202</v>
      </c>
      <c r="AG117" s="149">
        <v>366.77473710987164</v>
      </c>
      <c r="AH117" s="149">
        <v>400.09561727988125</v>
      </c>
      <c r="AI117" s="149">
        <v>433.41649744989087</v>
      </c>
      <c r="AJ117" s="149">
        <v>466.73737761990049</v>
      </c>
      <c r="AK117" s="115">
        <v>500.05825778990999</v>
      </c>
      <c r="AL117" s="115">
        <v>507.33038259626483</v>
      </c>
      <c r="AM117" s="115">
        <v>514.60250740261961</v>
      </c>
      <c r="AN117" s="115">
        <v>521.87463220897439</v>
      </c>
      <c r="AO117" s="115">
        <v>529.14675701532917</v>
      </c>
      <c r="AP117" s="115">
        <v>536.41888182168407</v>
      </c>
    </row>
    <row r="118" spans="2:42">
      <c r="B118" s="117" t="s">
        <v>173</v>
      </c>
      <c r="C118" s="122"/>
      <c r="E118" s="117"/>
      <c r="F118" s="121"/>
      <c r="H118" s="117" t="s">
        <v>173</v>
      </c>
      <c r="I118" s="129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</row>
    <row r="119" spans="2:42">
      <c r="B119" s="117" t="s">
        <v>173</v>
      </c>
      <c r="C119" s="122"/>
      <c r="E119" s="117"/>
      <c r="F119" s="121"/>
      <c r="H119" s="117" t="s">
        <v>173</v>
      </c>
      <c r="I119" s="129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</row>
    <row r="120" spans="2:42">
      <c r="B120" s="117" t="s">
        <v>173</v>
      </c>
      <c r="C120" s="122"/>
      <c r="E120" s="117"/>
      <c r="F120" s="121"/>
      <c r="H120" s="117" t="s">
        <v>173</v>
      </c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</row>
    <row r="121" spans="2:42">
      <c r="B121" s="117" t="s">
        <v>173</v>
      </c>
      <c r="C121" s="122"/>
      <c r="E121" s="117"/>
      <c r="F121" s="121"/>
      <c r="H121" s="117" t="s">
        <v>173</v>
      </c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</row>
    <row r="122" spans="2:42">
      <c r="B122" s="117" t="s">
        <v>173</v>
      </c>
      <c r="C122" s="122"/>
      <c r="E122" s="117"/>
      <c r="F122" s="121"/>
      <c r="H122" s="117" t="s">
        <v>173</v>
      </c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</row>
    <row r="123" spans="2:42">
      <c r="H123" s="117" t="s">
        <v>173</v>
      </c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</row>
    <row r="124" spans="2:42">
      <c r="B124" s="113" t="s">
        <v>275</v>
      </c>
      <c r="E124" s="113" t="s">
        <v>71</v>
      </c>
      <c r="H124" s="117" t="s">
        <v>173</v>
      </c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</row>
    <row r="125" spans="2:42">
      <c r="B125" s="117" t="s">
        <v>8</v>
      </c>
      <c r="C125" s="124">
        <f>'4.Input data HPCL'!E11</f>
        <v>277134.3</v>
      </c>
      <c r="E125" s="117"/>
      <c r="F125" s="121"/>
      <c r="H125" s="117" t="s">
        <v>173</v>
      </c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</row>
    <row r="126" spans="2:42">
      <c r="B126" s="117" t="s">
        <v>173</v>
      </c>
      <c r="C126" s="122"/>
      <c r="E126" s="117"/>
      <c r="F126" s="121"/>
      <c r="H126" s="117" t="s">
        <v>173</v>
      </c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</row>
    <row r="127" spans="2:42">
      <c r="B127" s="117" t="s">
        <v>173</v>
      </c>
      <c r="C127" s="122"/>
      <c r="E127" s="117"/>
      <c r="F127" s="121"/>
      <c r="H127" s="117" t="s">
        <v>173</v>
      </c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</row>
    <row r="128" spans="2:42">
      <c r="B128" s="117" t="s">
        <v>173</v>
      </c>
      <c r="C128" s="122"/>
      <c r="E128" s="117"/>
      <c r="F128" s="121"/>
      <c r="H128" s="117" t="s">
        <v>173</v>
      </c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</row>
    <row r="129" spans="2:36">
      <c r="B129" s="117" t="s">
        <v>173</v>
      </c>
      <c r="C129" s="122"/>
      <c r="E129" s="117"/>
      <c r="F129" s="121"/>
      <c r="H129" s="117" t="s">
        <v>173</v>
      </c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</row>
    <row r="130" spans="2:36">
      <c r="B130" s="117" t="s">
        <v>173</v>
      </c>
      <c r="C130" s="122"/>
      <c r="E130" s="117"/>
      <c r="F130" s="121"/>
      <c r="H130" s="117" t="s">
        <v>173</v>
      </c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</row>
    <row r="131" spans="2:36">
      <c r="B131" s="117" t="s">
        <v>173</v>
      </c>
      <c r="C131" s="122"/>
      <c r="E131" s="117"/>
      <c r="F131" s="121"/>
      <c r="H131" s="117" t="s">
        <v>173</v>
      </c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</row>
    <row r="132" spans="2:36">
      <c r="B132" s="117" t="s">
        <v>173</v>
      </c>
      <c r="C132" s="122"/>
      <c r="E132" s="117"/>
      <c r="F132" s="121"/>
      <c r="H132" s="117" t="s">
        <v>173</v>
      </c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</row>
    <row r="133" spans="2:36">
      <c r="B133" s="117" t="s">
        <v>173</v>
      </c>
      <c r="C133" s="122"/>
      <c r="E133" s="117"/>
      <c r="F133" s="121"/>
      <c r="H133" s="117" t="s">
        <v>173</v>
      </c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</row>
    <row r="134" spans="2:36">
      <c r="B134" s="117" t="s">
        <v>173</v>
      </c>
      <c r="C134" s="122"/>
      <c r="E134" s="117"/>
      <c r="F134" s="121"/>
      <c r="H134" s="117" t="s">
        <v>173</v>
      </c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</row>
    <row r="136" spans="2:36">
      <c r="B136" s="113" t="s">
        <v>147</v>
      </c>
      <c r="E136" s="113" t="s">
        <v>55</v>
      </c>
      <c r="H136" s="113" t="s">
        <v>73</v>
      </c>
      <c r="I136" s="115">
        <v>2023</v>
      </c>
      <c r="J136" s="115">
        <v>2024</v>
      </c>
      <c r="K136" s="115">
        <v>2025</v>
      </c>
      <c r="L136" s="115">
        <v>2026</v>
      </c>
      <c r="M136" s="115">
        <v>2027</v>
      </c>
      <c r="N136" s="115">
        <v>2028</v>
      </c>
      <c r="O136" s="115">
        <v>2029</v>
      </c>
      <c r="P136" s="115">
        <v>2030</v>
      </c>
      <c r="Q136" s="115">
        <v>2031</v>
      </c>
      <c r="R136" s="115">
        <v>2032</v>
      </c>
      <c r="S136" s="115">
        <v>2033</v>
      </c>
      <c r="T136" s="115">
        <v>2034</v>
      </c>
      <c r="U136" s="115">
        <v>2035</v>
      </c>
      <c r="V136" s="115">
        <v>2036</v>
      </c>
      <c r="W136" s="115">
        <v>2037</v>
      </c>
      <c r="X136" s="115">
        <v>2038</v>
      </c>
      <c r="Y136" s="115">
        <v>2039</v>
      </c>
      <c r="Z136" s="115">
        <v>2040</v>
      </c>
      <c r="AA136" s="115">
        <v>2041</v>
      </c>
      <c r="AB136" s="115">
        <v>2042</v>
      </c>
      <c r="AC136" s="115">
        <v>2043</v>
      </c>
      <c r="AD136" s="115">
        <v>2044</v>
      </c>
      <c r="AE136" s="115">
        <v>2045</v>
      </c>
      <c r="AF136" s="115">
        <v>2046</v>
      </c>
      <c r="AG136" s="115">
        <v>2047</v>
      </c>
      <c r="AH136" s="115">
        <v>2048</v>
      </c>
      <c r="AI136" s="115">
        <v>2049</v>
      </c>
      <c r="AJ136" s="115">
        <v>2050</v>
      </c>
    </row>
    <row r="137" spans="2:36">
      <c r="B137" s="117" t="s">
        <v>8</v>
      </c>
      <c r="C137" s="124">
        <f>'4.Input data HPCL'!E12</f>
        <v>1544850.3</v>
      </c>
      <c r="E137" s="117" t="s">
        <v>8</v>
      </c>
      <c r="F137" s="131">
        <f>'4.Input data HPCL'!C18</f>
        <v>-8974.0300000000007</v>
      </c>
      <c r="H137" s="117" t="s">
        <v>8</v>
      </c>
      <c r="I137" s="121">
        <f>I139</f>
        <v>10.684819934898</v>
      </c>
      <c r="J137" s="121">
        <f t="shared" ref="J137:AJ137" si="26">J139</f>
        <v>10.522418050588</v>
      </c>
      <c r="K137" s="121">
        <f t="shared" si="26"/>
        <v>10.360016166277999</v>
      </c>
      <c r="L137" s="121">
        <f t="shared" si="26"/>
        <v>10.197614281968001</v>
      </c>
      <c r="M137" s="121">
        <f t="shared" si="26"/>
        <v>10.048064596531201</v>
      </c>
      <c r="N137" s="121">
        <f t="shared" si="26"/>
        <v>9.8985149110944022</v>
      </c>
      <c r="O137" s="121">
        <f t="shared" si="26"/>
        <v>9.7489652256576029</v>
      </c>
      <c r="P137" s="121">
        <f t="shared" si="26"/>
        <v>9.5994155402208037</v>
      </c>
      <c r="Q137" s="121">
        <f t="shared" si="26"/>
        <v>9.4498658547840009</v>
      </c>
      <c r="R137" s="121">
        <f t="shared" si="26"/>
        <v>9.3289080907968014</v>
      </c>
      <c r="S137" s="121">
        <f t="shared" si="26"/>
        <v>9.2079503268096019</v>
      </c>
      <c r="T137" s="121">
        <f t="shared" si="26"/>
        <v>9.0869925628224024</v>
      </c>
      <c r="U137" s="121">
        <f t="shared" si="26"/>
        <v>8.9660347988352029</v>
      </c>
      <c r="V137" s="121">
        <f t="shared" si="26"/>
        <v>8.8450770348480017</v>
      </c>
      <c r="W137" s="121">
        <f t="shared" si="26"/>
        <v>8.7615659120004015</v>
      </c>
      <c r="X137" s="121">
        <f t="shared" si="26"/>
        <v>8.6780547891528013</v>
      </c>
      <c r="Y137" s="121">
        <f t="shared" si="26"/>
        <v>8.5945436663052011</v>
      </c>
      <c r="Z137" s="121">
        <f t="shared" si="26"/>
        <v>8.5110325434576009</v>
      </c>
      <c r="AA137" s="121">
        <f t="shared" si="26"/>
        <v>8.4275214206099971</v>
      </c>
      <c r="AB137" s="121">
        <f t="shared" si="26"/>
        <v>8.3774795319675981</v>
      </c>
      <c r="AC137" s="121">
        <f t="shared" si="26"/>
        <v>8.3274376433251991</v>
      </c>
      <c r="AD137" s="121">
        <f t="shared" si="26"/>
        <v>8.2773957546828001</v>
      </c>
      <c r="AE137" s="121">
        <f t="shared" si="26"/>
        <v>8.2273538660404011</v>
      </c>
      <c r="AF137" s="121">
        <f t="shared" si="26"/>
        <v>8.1773119773979985</v>
      </c>
      <c r="AG137" s="121">
        <f t="shared" si="26"/>
        <v>8.156843246297198</v>
      </c>
      <c r="AH137" s="121">
        <f t="shared" si="26"/>
        <v>8.1363745151963975</v>
      </c>
      <c r="AI137" s="121">
        <f t="shared" si="26"/>
        <v>8.115905784095597</v>
      </c>
      <c r="AJ137" s="121">
        <f t="shared" si="26"/>
        <v>8.0954370529947965</v>
      </c>
    </row>
    <row r="138" spans="2:36">
      <c r="B138" s="117" t="s">
        <v>173</v>
      </c>
      <c r="C138" s="122"/>
      <c r="E138" s="35" t="s">
        <v>12</v>
      </c>
      <c r="F138" s="131">
        <f>F$137</f>
        <v>-8974.0300000000007</v>
      </c>
      <c r="H138" s="35" t="s">
        <v>12</v>
      </c>
      <c r="I138" s="121">
        <f>I148</f>
        <v>25.0414200753724</v>
      </c>
      <c r="J138" s="121">
        <f t="shared" ref="J138:AJ143" si="27">J148</f>
        <v>32.057318261299599</v>
      </c>
      <c r="K138" s="121">
        <f t="shared" si="27"/>
        <v>39.073216447226798</v>
      </c>
      <c r="L138" s="121">
        <f t="shared" si="27"/>
        <v>46.089114633153997</v>
      </c>
      <c r="M138" s="121">
        <f t="shared" si="27"/>
        <v>48.072200152634402</v>
      </c>
      <c r="N138" s="121">
        <f t="shared" si="27"/>
        <v>50.055285672114806</v>
      </c>
      <c r="O138" s="121">
        <f t="shared" si="27"/>
        <v>52.038371191595211</v>
      </c>
      <c r="P138" s="121">
        <f t="shared" si="27"/>
        <v>54.021456711075615</v>
      </c>
      <c r="Q138" s="121">
        <f t="shared" si="27"/>
        <v>56.004542230556012</v>
      </c>
      <c r="R138" s="121">
        <f t="shared" si="27"/>
        <v>58.561105124668011</v>
      </c>
      <c r="S138" s="121">
        <f t="shared" si="27"/>
        <v>61.117668018780009</v>
      </c>
      <c r="T138" s="121">
        <f t="shared" si="27"/>
        <v>63.674230912892007</v>
      </c>
      <c r="U138" s="121">
        <f t="shared" si="27"/>
        <v>66.230793807004005</v>
      </c>
      <c r="V138" s="121">
        <f t="shared" si="27"/>
        <v>68.787356701116011</v>
      </c>
      <c r="W138" s="121">
        <f t="shared" si="27"/>
        <v>71.680261317830414</v>
      </c>
      <c r="X138" s="121">
        <f t="shared" si="27"/>
        <v>74.573165934544818</v>
      </c>
      <c r="Y138" s="121">
        <f t="shared" si="27"/>
        <v>77.466070551259222</v>
      </c>
      <c r="Z138" s="121">
        <f t="shared" si="27"/>
        <v>80.358975167973625</v>
      </c>
      <c r="AA138" s="121">
        <f t="shared" si="27"/>
        <v>83.251879784688001</v>
      </c>
      <c r="AB138" s="121">
        <f t="shared" si="27"/>
        <v>86.7434979985468</v>
      </c>
      <c r="AC138" s="121">
        <f t="shared" si="27"/>
        <v>90.2351162124056</v>
      </c>
      <c r="AD138" s="121">
        <f t="shared" si="27"/>
        <v>93.7267344262644</v>
      </c>
      <c r="AE138" s="121">
        <f t="shared" si="27"/>
        <v>97.2183526401232</v>
      </c>
      <c r="AF138" s="121">
        <f t="shared" si="27"/>
        <v>100.709970853982</v>
      </c>
      <c r="AG138" s="121">
        <f t="shared" si="27"/>
        <v>104.9548035272808</v>
      </c>
      <c r="AH138" s="121">
        <f t="shared" si="27"/>
        <v>109.1996362005796</v>
      </c>
      <c r="AI138" s="121">
        <f t="shared" si="27"/>
        <v>113.44446887387841</v>
      </c>
      <c r="AJ138" s="121">
        <f t="shared" si="27"/>
        <v>117.68930154717721</v>
      </c>
    </row>
    <row r="139" spans="2:36">
      <c r="B139" s="117" t="s">
        <v>173</v>
      </c>
      <c r="C139" s="122"/>
      <c r="E139" s="35" t="s">
        <v>15</v>
      </c>
      <c r="F139" s="131">
        <f t="shared" ref="F139:F146" si="28">F$137</f>
        <v>-8974.0300000000007</v>
      </c>
      <c r="H139" s="35" t="s">
        <v>15</v>
      </c>
      <c r="I139" s="121">
        <f t="shared" ref="I139:X143" si="29">I149</f>
        <v>10.684819934898</v>
      </c>
      <c r="J139" s="121">
        <f t="shared" si="29"/>
        <v>10.522418050588</v>
      </c>
      <c r="K139" s="121">
        <f t="shared" si="29"/>
        <v>10.360016166277999</v>
      </c>
      <c r="L139" s="121">
        <f t="shared" si="29"/>
        <v>10.197614281968001</v>
      </c>
      <c r="M139" s="121">
        <f t="shared" si="29"/>
        <v>10.048064596531201</v>
      </c>
      <c r="N139" s="121">
        <f t="shared" si="29"/>
        <v>9.8985149110944022</v>
      </c>
      <c r="O139" s="121">
        <f t="shared" si="29"/>
        <v>9.7489652256576029</v>
      </c>
      <c r="P139" s="121">
        <f t="shared" si="29"/>
        <v>9.5994155402208037</v>
      </c>
      <c r="Q139" s="121">
        <f t="shared" si="29"/>
        <v>9.4498658547840009</v>
      </c>
      <c r="R139" s="121">
        <f t="shared" si="29"/>
        <v>9.3289080907968014</v>
      </c>
      <c r="S139" s="121">
        <f t="shared" si="29"/>
        <v>9.2079503268096019</v>
      </c>
      <c r="T139" s="121">
        <f t="shared" si="29"/>
        <v>9.0869925628224024</v>
      </c>
      <c r="U139" s="121">
        <f t="shared" si="29"/>
        <v>8.9660347988352029</v>
      </c>
      <c r="V139" s="121">
        <f t="shared" si="29"/>
        <v>8.8450770348480017</v>
      </c>
      <c r="W139" s="121">
        <f t="shared" si="29"/>
        <v>8.7615659120004015</v>
      </c>
      <c r="X139" s="121">
        <f t="shared" si="29"/>
        <v>8.6780547891528013</v>
      </c>
      <c r="Y139" s="121">
        <f t="shared" si="27"/>
        <v>8.5945436663052011</v>
      </c>
      <c r="Z139" s="121">
        <f t="shared" si="27"/>
        <v>8.5110325434576009</v>
      </c>
      <c r="AA139" s="121">
        <f t="shared" si="27"/>
        <v>8.4275214206099971</v>
      </c>
      <c r="AB139" s="121">
        <f t="shared" si="27"/>
        <v>8.3774795319675981</v>
      </c>
      <c r="AC139" s="121">
        <f t="shared" si="27"/>
        <v>8.3274376433251991</v>
      </c>
      <c r="AD139" s="121">
        <f t="shared" si="27"/>
        <v>8.2773957546828001</v>
      </c>
      <c r="AE139" s="121">
        <f t="shared" si="27"/>
        <v>8.2273538660404011</v>
      </c>
      <c r="AF139" s="121">
        <f t="shared" si="27"/>
        <v>8.1773119773979985</v>
      </c>
      <c r="AG139" s="121">
        <f t="shared" si="27"/>
        <v>8.156843246297198</v>
      </c>
      <c r="AH139" s="121">
        <f t="shared" si="27"/>
        <v>8.1363745151963975</v>
      </c>
      <c r="AI139" s="121">
        <f t="shared" si="27"/>
        <v>8.115905784095597</v>
      </c>
      <c r="AJ139" s="121">
        <f t="shared" si="27"/>
        <v>8.0954370529947965</v>
      </c>
    </row>
    <row r="140" spans="2:36">
      <c r="B140" s="117" t="s">
        <v>173</v>
      </c>
      <c r="C140" s="122"/>
      <c r="E140" s="35" t="s">
        <v>19</v>
      </c>
      <c r="F140" s="131">
        <f t="shared" si="28"/>
        <v>-8974.0300000000007</v>
      </c>
      <c r="H140" s="35" t="s">
        <v>19</v>
      </c>
      <c r="I140" s="121">
        <f t="shared" si="29"/>
        <v>10.683416029531601</v>
      </c>
      <c r="J140" s="121">
        <f t="shared" si="27"/>
        <v>10.520312192538402</v>
      </c>
      <c r="K140" s="121">
        <f t="shared" si="27"/>
        <v>10.357208355545202</v>
      </c>
      <c r="L140" s="121">
        <f t="shared" si="27"/>
        <v>10.194104518552001</v>
      </c>
      <c r="M140" s="121">
        <f t="shared" si="27"/>
        <v>10.044331579195601</v>
      </c>
      <c r="N140" s="121">
        <f t="shared" si="27"/>
        <v>9.894558639839202</v>
      </c>
      <c r="O140" s="121">
        <f t="shared" si="27"/>
        <v>9.7447857004828027</v>
      </c>
      <c r="P140" s="121">
        <f t="shared" si="27"/>
        <v>9.5950127611264033</v>
      </c>
      <c r="Q140" s="121">
        <f t="shared" si="27"/>
        <v>9.4452398217700004</v>
      </c>
      <c r="R140" s="121">
        <f t="shared" si="27"/>
        <v>32.6149095809008</v>
      </c>
      <c r="S140" s="121">
        <f t="shared" si="27"/>
        <v>55.784579340031598</v>
      </c>
      <c r="T140" s="121">
        <f t="shared" si="27"/>
        <v>78.954249099162396</v>
      </c>
      <c r="U140" s="121">
        <f t="shared" si="27"/>
        <v>102.12391885829319</v>
      </c>
      <c r="V140" s="121">
        <f t="shared" si="27"/>
        <v>125.29358861742401</v>
      </c>
      <c r="W140" s="121">
        <f t="shared" si="27"/>
        <v>137.87139825438243</v>
      </c>
      <c r="X140" s="121">
        <f t="shared" si="27"/>
        <v>150.44920789134085</v>
      </c>
      <c r="Y140" s="121">
        <f t="shared" si="27"/>
        <v>163.02701752829927</v>
      </c>
      <c r="Z140" s="121">
        <f t="shared" si="27"/>
        <v>175.60482716525769</v>
      </c>
      <c r="AA140" s="121">
        <f t="shared" si="27"/>
        <v>188.18263680221611</v>
      </c>
      <c r="AB140" s="121">
        <f t="shared" si="27"/>
        <v>202.39666240802129</v>
      </c>
      <c r="AC140" s="121">
        <f t="shared" si="27"/>
        <v>216.61068801382646</v>
      </c>
      <c r="AD140" s="121">
        <f t="shared" si="27"/>
        <v>230.82471361963164</v>
      </c>
      <c r="AE140" s="121">
        <f t="shared" si="27"/>
        <v>245.03873922543681</v>
      </c>
      <c r="AF140" s="121">
        <f t="shared" si="27"/>
        <v>259.25276483124202</v>
      </c>
      <c r="AG140" s="121">
        <f t="shared" si="27"/>
        <v>274.66921805831521</v>
      </c>
      <c r="AH140" s="121">
        <f t="shared" si="27"/>
        <v>290.0856712853884</v>
      </c>
      <c r="AI140" s="121">
        <f t="shared" si="27"/>
        <v>305.50212451246159</v>
      </c>
      <c r="AJ140" s="121">
        <f t="shared" si="27"/>
        <v>320.91857773953478</v>
      </c>
    </row>
    <row r="141" spans="2:36">
      <c r="B141" s="117" t="s">
        <v>173</v>
      </c>
      <c r="C141" s="122"/>
      <c r="E141" s="35" t="s">
        <v>22</v>
      </c>
      <c r="F141" s="131">
        <f t="shared" si="28"/>
        <v>-8974.0300000000007</v>
      </c>
      <c r="H141" s="35" t="s">
        <v>22</v>
      </c>
      <c r="I141" s="121">
        <f t="shared" si="29"/>
        <v>10.683416029531601</v>
      </c>
      <c r="J141" s="121">
        <f t="shared" si="27"/>
        <v>10.520312192538402</v>
      </c>
      <c r="K141" s="121">
        <f t="shared" si="27"/>
        <v>10.357208355545202</v>
      </c>
      <c r="L141" s="121">
        <f t="shared" si="27"/>
        <v>10.194104518552001</v>
      </c>
      <c r="M141" s="121">
        <f t="shared" si="27"/>
        <v>10.044331579195601</v>
      </c>
      <c r="N141" s="121">
        <f t="shared" si="27"/>
        <v>9.894558639839202</v>
      </c>
      <c r="O141" s="121">
        <f t="shared" si="27"/>
        <v>9.7447857004828027</v>
      </c>
      <c r="P141" s="121">
        <f t="shared" si="27"/>
        <v>9.5950127611264033</v>
      </c>
      <c r="Q141" s="121">
        <f t="shared" si="27"/>
        <v>9.4452398217700004</v>
      </c>
      <c r="R141" s="121">
        <f t="shared" si="27"/>
        <v>27.039689652890402</v>
      </c>
      <c r="S141" s="121">
        <f t="shared" si="27"/>
        <v>44.634139484010802</v>
      </c>
      <c r="T141" s="121">
        <f t="shared" si="27"/>
        <v>62.228589315131202</v>
      </c>
      <c r="U141" s="121">
        <f t="shared" si="27"/>
        <v>79.823039146251602</v>
      </c>
      <c r="V141" s="121">
        <f t="shared" si="27"/>
        <v>97.417488977372017</v>
      </c>
      <c r="W141" s="121">
        <f t="shared" si="27"/>
        <v>101.47175893300961</v>
      </c>
      <c r="X141" s="121">
        <f t="shared" si="27"/>
        <v>105.5260288886472</v>
      </c>
      <c r="Y141" s="121">
        <f t="shared" si="27"/>
        <v>109.5802988442848</v>
      </c>
      <c r="Z141" s="121">
        <f t="shared" si="27"/>
        <v>113.63456879992239</v>
      </c>
      <c r="AA141" s="121">
        <f t="shared" si="27"/>
        <v>117.68883875556</v>
      </c>
      <c r="AB141" s="121">
        <f t="shared" si="27"/>
        <v>121.4130372400912</v>
      </c>
      <c r="AC141" s="121">
        <f t="shared" si="27"/>
        <v>125.1372357246224</v>
      </c>
      <c r="AD141" s="121">
        <f t="shared" si="27"/>
        <v>128.8614342091536</v>
      </c>
      <c r="AE141" s="121">
        <f t="shared" si="27"/>
        <v>132.5856326936848</v>
      </c>
      <c r="AF141" s="121">
        <f t="shared" si="27"/>
        <v>136.309831178216</v>
      </c>
      <c r="AG141" s="121">
        <f t="shared" si="27"/>
        <v>139.9807007772028</v>
      </c>
      <c r="AH141" s="121">
        <f t="shared" si="27"/>
        <v>143.6515703761896</v>
      </c>
      <c r="AI141" s="121">
        <f t="shared" si="27"/>
        <v>147.32243997517639</v>
      </c>
      <c r="AJ141" s="121">
        <f t="shared" si="27"/>
        <v>150.99330957416319</v>
      </c>
    </row>
    <row r="142" spans="2:36">
      <c r="B142" s="117" t="s">
        <v>173</v>
      </c>
      <c r="C142" s="122"/>
      <c r="E142" s="35" t="s">
        <v>24</v>
      </c>
      <c r="F142" s="131">
        <f t="shared" si="28"/>
        <v>-8974.0300000000007</v>
      </c>
      <c r="H142" s="35" t="s">
        <v>24</v>
      </c>
      <c r="I142" s="121">
        <f t="shared" si="29"/>
        <v>19.173481846293999</v>
      </c>
      <c r="J142" s="121">
        <f t="shared" si="27"/>
        <v>23.255410917681999</v>
      </c>
      <c r="K142" s="121">
        <f t="shared" si="27"/>
        <v>27.337339989069999</v>
      </c>
      <c r="L142" s="121">
        <f t="shared" si="27"/>
        <v>31.419269060457999</v>
      </c>
      <c r="M142" s="121">
        <f t="shared" si="27"/>
        <v>34.9382503797844</v>
      </c>
      <c r="N142" s="121">
        <f t="shared" si="27"/>
        <v>38.4572316991108</v>
      </c>
      <c r="O142" s="121">
        <f t="shared" si="27"/>
        <v>41.9762130184372</v>
      </c>
      <c r="P142" s="121">
        <f t="shared" si="27"/>
        <v>45.4951943377636</v>
      </c>
      <c r="Q142" s="121">
        <f t="shared" si="27"/>
        <v>49.014175657089993</v>
      </c>
      <c r="R142" s="121">
        <f t="shared" si="27"/>
        <v>49.260799456695992</v>
      </c>
      <c r="S142" s="121">
        <f t="shared" si="27"/>
        <v>49.50742325630199</v>
      </c>
      <c r="T142" s="121">
        <f t="shared" si="27"/>
        <v>49.754047055907989</v>
      </c>
      <c r="U142" s="121">
        <f t="shared" si="27"/>
        <v>50.000670855513988</v>
      </c>
      <c r="V142" s="121">
        <f t="shared" si="27"/>
        <v>50.247294655119987</v>
      </c>
      <c r="W142" s="121">
        <f t="shared" si="27"/>
        <v>50.783110597825988</v>
      </c>
      <c r="X142" s="121">
        <f t="shared" si="27"/>
        <v>51.31892654053199</v>
      </c>
      <c r="Y142" s="121">
        <f t="shared" si="27"/>
        <v>51.854742483237992</v>
      </c>
      <c r="Z142" s="121">
        <f t="shared" si="27"/>
        <v>52.390558425943993</v>
      </c>
      <c r="AA142" s="121">
        <f t="shared" si="27"/>
        <v>52.926374368650002</v>
      </c>
      <c r="AB142" s="121">
        <f t="shared" si="27"/>
        <v>53.642654937641602</v>
      </c>
      <c r="AC142" s="121">
        <f t="shared" si="27"/>
        <v>54.358935506633202</v>
      </c>
      <c r="AD142" s="121">
        <f t="shared" si="27"/>
        <v>55.075216075624802</v>
      </c>
      <c r="AE142" s="121">
        <f t="shared" si="27"/>
        <v>55.791496644616402</v>
      </c>
      <c r="AF142" s="121">
        <f t="shared" si="27"/>
        <v>56.507777213607987</v>
      </c>
      <c r="AG142" s="121">
        <f t="shared" si="27"/>
        <v>57.263574656870389</v>
      </c>
      <c r="AH142" s="121">
        <f t="shared" si="27"/>
        <v>58.019372100132792</v>
      </c>
      <c r="AI142" s="121">
        <f t="shared" si="27"/>
        <v>58.775169543395194</v>
      </c>
      <c r="AJ142" s="121">
        <f t="shared" si="27"/>
        <v>59.530966986657596</v>
      </c>
    </row>
    <row r="143" spans="2:36">
      <c r="B143" s="117" t="s">
        <v>173</v>
      </c>
      <c r="C143" s="122"/>
      <c r="E143" s="35" t="s">
        <v>25</v>
      </c>
      <c r="F143" s="131">
        <f t="shared" si="28"/>
        <v>-8974.0300000000007</v>
      </c>
      <c r="H143" s="35" t="s">
        <v>25</v>
      </c>
      <c r="I143" s="121">
        <f t="shared" si="29"/>
        <v>65.469516307497202</v>
      </c>
      <c r="J143" s="121">
        <f t="shared" si="27"/>
        <v>92.699462609486801</v>
      </c>
      <c r="K143" s="121">
        <f t="shared" si="27"/>
        <v>119.9294089114764</v>
      </c>
      <c r="L143" s="121">
        <f t="shared" si="27"/>
        <v>147.159355213466</v>
      </c>
      <c r="M143" s="121">
        <f t="shared" si="27"/>
        <v>156.13345781564999</v>
      </c>
      <c r="N143" s="121">
        <f t="shared" si="27"/>
        <v>165.10756041783398</v>
      </c>
      <c r="O143" s="121">
        <f t="shared" si="27"/>
        <v>174.08166302001797</v>
      </c>
      <c r="P143" s="121">
        <f t="shared" si="27"/>
        <v>183.05576562220196</v>
      </c>
      <c r="Q143" s="121">
        <f t="shared" si="27"/>
        <v>192.02986822438601</v>
      </c>
      <c r="R143" s="121">
        <f t="shared" si="27"/>
        <v>205.74762901307679</v>
      </c>
      <c r="S143" s="121">
        <f t="shared" si="27"/>
        <v>219.46538980176757</v>
      </c>
      <c r="T143" s="121">
        <f t="shared" si="27"/>
        <v>233.18315059045835</v>
      </c>
      <c r="U143" s="121">
        <f t="shared" si="27"/>
        <v>246.90091137914914</v>
      </c>
      <c r="V143" s="121">
        <f t="shared" si="27"/>
        <v>260.61867216783997</v>
      </c>
      <c r="W143" s="121">
        <f t="shared" si="27"/>
        <v>276.92654087641876</v>
      </c>
      <c r="X143" s="121">
        <f t="shared" si="27"/>
        <v>293.23440958499754</v>
      </c>
      <c r="Y143" s="121">
        <f t="shared" si="27"/>
        <v>309.54227829357632</v>
      </c>
      <c r="Z143" s="121">
        <f t="shared" si="27"/>
        <v>325.8501470021551</v>
      </c>
      <c r="AA143" s="121">
        <f t="shared" si="27"/>
        <v>342.15801571073399</v>
      </c>
      <c r="AB143" s="121">
        <f t="shared" si="27"/>
        <v>362.56755237622519</v>
      </c>
      <c r="AC143" s="121">
        <f t="shared" si="27"/>
        <v>382.9770890417164</v>
      </c>
      <c r="AD143" s="121">
        <f t="shared" si="27"/>
        <v>403.3866257072076</v>
      </c>
      <c r="AE143" s="121">
        <f t="shared" si="27"/>
        <v>423.7961623726988</v>
      </c>
      <c r="AF143" s="121">
        <f t="shared" si="27"/>
        <v>444.20569903818989</v>
      </c>
      <c r="AG143" s="121">
        <f t="shared" si="27"/>
        <v>469.32704171267989</v>
      </c>
      <c r="AH143" s="121">
        <f t="shared" si="27"/>
        <v>494.44838438716988</v>
      </c>
      <c r="AI143" s="121">
        <f t="shared" si="27"/>
        <v>519.56972706165993</v>
      </c>
      <c r="AJ143" s="121">
        <f t="shared" si="27"/>
        <v>544.69106973614998</v>
      </c>
    </row>
    <row r="144" spans="2:36">
      <c r="B144" s="117" t="s">
        <v>173</v>
      </c>
      <c r="C144" s="122"/>
      <c r="E144" s="117"/>
      <c r="F144" s="131">
        <f t="shared" si="28"/>
        <v>-8974.0300000000007</v>
      </c>
      <c r="H144" s="117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</row>
    <row r="145" spans="2:42">
      <c r="B145" s="117" t="s">
        <v>173</v>
      </c>
      <c r="C145" s="122"/>
      <c r="E145" s="117"/>
      <c r="F145" s="131">
        <f t="shared" si="28"/>
        <v>-8974.0300000000007</v>
      </c>
      <c r="H145" s="117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</row>
    <row r="146" spans="2:42">
      <c r="B146" s="117" t="s">
        <v>173</v>
      </c>
      <c r="C146" s="122"/>
      <c r="E146" s="117"/>
      <c r="F146" s="131">
        <f t="shared" si="28"/>
        <v>-8974.0300000000007</v>
      </c>
      <c r="H146" s="117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</row>
    <row r="147" spans="2:42">
      <c r="H147" s="128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</row>
    <row r="148" spans="2:42">
      <c r="B148" s="113" t="s">
        <v>42</v>
      </c>
      <c r="E148" s="113" t="s">
        <v>276</v>
      </c>
      <c r="H148" s="130" t="s">
        <v>12</v>
      </c>
      <c r="I148" s="132">
        <v>25.0414200753724</v>
      </c>
      <c r="J148" s="132">
        <v>32.057318261299599</v>
      </c>
      <c r="K148" s="132">
        <v>39.073216447226798</v>
      </c>
      <c r="L148" s="132">
        <v>46.089114633153997</v>
      </c>
      <c r="M148" s="132">
        <v>48.072200152634402</v>
      </c>
      <c r="N148" s="132">
        <v>50.055285672114806</v>
      </c>
      <c r="O148" s="132">
        <v>52.038371191595211</v>
      </c>
      <c r="P148" s="132">
        <v>54.021456711075615</v>
      </c>
      <c r="Q148" s="132">
        <v>56.004542230556012</v>
      </c>
      <c r="R148" s="132">
        <v>58.561105124668011</v>
      </c>
      <c r="S148" s="132">
        <v>61.117668018780009</v>
      </c>
      <c r="T148" s="132">
        <v>63.674230912892007</v>
      </c>
      <c r="U148" s="132">
        <v>66.230793807004005</v>
      </c>
      <c r="V148" s="132">
        <v>68.787356701116011</v>
      </c>
      <c r="W148" s="132">
        <v>71.680261317830414</v>
      </c>
      <c r="X148" s="132">
        <v>74.573165934544818</v>
      </c>
      <c r="Y148" s="132">
        <v>77.466070551259222</v>
      </c>
      <c r="Z148" s="132">
        <v>80.358975167973625</v>
      </c>
      <c r="AA148" s="132">
        <v>83.251879784688001</v>
      </c>
      <c r="AB148" s="132">
        <v>86.7434979985468</v>
      </c>
      <c r="AC148" s="132">
        <v>90.2351162124056</v>
      </c>
      <c r="AD148" s="132">
        <v>93.7267344262644</v>
      </c>
      <c r="AE148" s="132">
        <v>97.2183526401232</v>
      </c>
      <c r="AF148" s="132">
        <v>100.709970853982</v>
      </c>
      <c r="AG148" s="132">
        <v>104.9548035272808</v>
      </c>
      <c r="AH148" s="132">
        <v>109.1996362005796</v>
      </c>
      <c r="AI148" s="132">
        <v>113.44446887387841</v>
      </c>
      <c r="AJ148" s="132">
        <v>117.68930154717721</v>
      </c>
      <c r="AK148" s="115">
        <v>121.934134220476</v>
      </c>
      <c r="AL148" s="115">
        <v>124.38703154863239</v>
      </c>
      <c r="AM148" s="115">
        <v>126.83992887678879</v>
      </c>
      <c r="AN148" s="115">
        <v>129.29282620494519</v>
      </c>
      <c r="AO148" s="115">
        <v>131.7457235331016</v>
      </c>
      <c r="AP148" s="115">
        <v>134.19862086125801</v>
      </c>
    </row>
    <row r="149" spans="2:42">
      <c r="B149" s="117" t="s">
        <v>173</v>
      </c>
      <c r="C149" s="122"/>
      <c r="E149" s="117" t="s">
        <v>8</v>
      </c>
      <c r="F149" s="131">
        <v>0.5</v>
      </c>
      <c r="H149" s="130" t="s">
        <v>15</v>
      </c>
      <c r="I149" s="132">
        <v>10.684819934898</v>
      </c>
      <c r="J149" s="132">
        <v>10.522418050588</v>
      </c>
      <c r="K149" s="132">
        <v>10.360016166277999</v>
      </c>
      <c r="L149" s="132">
        <v>10.197614281968001</v>
      </c>
      <c r="M149" s="132">
        <v>10.048064596531201</v>
      </c>
      <c r="N149" s="132">
        <v>9.8985149110944022</v>
      </c>
      <c r="O149" s="132">
        <v>9.7489652256576029</v>
      </c>
      <c r="P149" s="132">
        <v>9.5994155402208037</v>
      </c>
      <c r="Q149" s="132">
        <v>9.4498658547840009</v>
      </c>
      <c r="R149" s="132">
        <v>9.3289080907968014</v>
      </c>
      <c r="S149" s="132">
        <v>9.2079503268096019</v>
      </c>
      <c r="T149" s="132">
        <v>9.0869925628224024</v>
      </c>
      <c r="U149" s="132">
        <v>8.9660347988352029</v>
      </c>
      <c r="V149" s="132">
        <v>8.8450770348480017</v>
      </c>
      <c r="W149" s="132">
        <v>8.7615659120004015</v>
      </c>
      <c r="X149" s="132">
        <v>8.6780547891528013</v>
      </c>
      <c r="Y149" s="132">
        <v>8.5945436663052011</v>
      </c>
      <c r="Z149" s="132">
        <v>8.5110325434576009</v>
      </c>
      <c r="AA149" s="132">
        <v>8.4275214206099971</v>
      </c>
      <c r="AB149" s="132">
        <v>8.3774795319675981</v>
      </c>
      <c r="AC149" s="132">
        <v>8.3274376433251991</v>
      </c>
      <c r="AD149" s="132">
        <v>8.2773957546828001</v>
      </c>
      <c r="AE149" s="132">
        <v>8.2273538660404011</v>
      </c>
      <c r="AF149" s="132">
        <v>8.1773119773979985</v>
      </c>
      <c r="AG149" s="132">
        <v>8.156843246297198</v>
      </c>
      <c r="AH149" s="132">
        <v>8.1363745151963975</v>
      </c>
      <c r="AI149" s="132">
        <v>8.115905784095597</v>
      </c>
      <c r="AJ149" s="132">
        <v>8.0954370529947965</v>
      </c>
      <c r="AK149" s="115">
        <v>8.0749683218939978</v>
      </c>
      <c r="AL149" s="115">
        <v>8.0907760375515991</v>
      </c>
      <c r="AM149" s="115">
        <v>8.1065837532092004</v>
      </c>
      <c r="AN149" s="115">
        <v>8.1223914688668017</v>
      </c>
      <c r="AO149" s="115">
        <v>8.1381991845244031</v>
      </c>
      <c r="AP149" s="115">
        <v>8.1540069001820008</v>
      </c>
    </row>
    <row r="150" spans="2:42">
      <c r="B150" s="117" t="s">
        <v>173</v>
      </c>
      <c r="C150" s="122"/>
      <c r="E150" s="35" t="s">
        <v>12</v>
      </c>
      <c r="F150" s="131">
        <f>F$149</f>
        <v>0.5</v>
      </c>
      <c r="H150" s="130" t="s">
        <v>19</v>
      </c>
      <c r="I150" s="132">
        <v>10.683416029531601</v>
      </c>
      <c r="J150" s="132">
        <v>10.520312192538402</v>
      </c>
      <c r="K150" s="132">
        <v>10.357208355545202</v>
      </c>
      <c r="L150" s="132">
        <v>10.194104518552001</v>
      </c>
      <c r="M150" s="132">
        <v>10.044331579195601</v>
      </c>
      <c r="N150" s="132">
        <v>9.894558639839202</v>
      </c>
      <c r="O150" s="132">
        <v>9.7447857004828027</v>
      </c>
      <c r="P150" s="132">
        <v>9.5950127611264033</v>
      </c>
      <c r="Q150" s="132">
        <v>9.4452398217700004</v>
      </c>
      <c r="R150" s="132">
        <v>32.6149095809008</v>
      </c>
      <c r="S150" s="132">
        <v>55.784579340031598</v>
      </c>
      <c r="T150" s="132">
        <v>78.954249099162396</v>
      </c>
      <c r="U150" s="132">
        <v>102.12391885829319</v>
      </c>
      <c r="V150" s="132">
        <v>125.29358861742401</v>
      </c>
      <c r="W150" s="132">
        <v>137.87139825438243</v>
      </c>
      <c r="X150" s="132">
        <v>150.44920789134085</v>
      </c>
      <c r="Y150" s="132">
        <v>163.02701752829927</v>
      </c>
      <c r="Z150" s="132">
        <v>175.60482716525769</v>
      </c>
      <c r="AA150" s="132">
        <v>188.18263680221611</v>
      </c>
      <c r="AB150" s="132">
        <v>202.39666240802129</v>
      </c>
      <c r="AC150" s="132">
        <v>216.61068801382646</v>
      </c>
      <c r="AD150" s="132">
        <v>230.82471361963164</v>
      </c>
      <c r="AE150" s="132">
        <v>245.03873922543681</v>
      </c>
      <c r="AF150" s="132">
        <v>259.25276483124202</v>
      </c>
      <c r="AG150" s="132">
        <v>274.66921805831521</v>
      </c>
      <c r="AH150" s="132">
        <v>290.0856712853884</v>
      </c>
      <c r="AI150" s="132">
        <v>305.50212451246159</v>
      </c>
      <c r="AJ150" s="132">
        <v>320.91857773953478</v>
      </c>
      <c r="AK150" s="115">
        <v>336.33503096660792</v>
      </c>
      <c r="AL150" s="115">
        <v>343.49606573474074</v>
      </c>
      <c r="AM150" s="115">
        <v>350.65710050287356</v>
      </c>
      <c r="AN150" s="115">
        <v>357.81813527100638</v>
      </c>
      <c r="AO150" s="115">
        <v>364.97917003913921</v>
      </c>
      <c r="AP150" s="115">
        <v>372.14020480727203</v>
      </c>
    </row>
    <row r="151" spans="2:42">
      <c r="B151" s="117" t="s">
        <v>173</v>
      </c>
      <c r="C151" s="122"/>
      <c r="E151" s="35" t="s">
        <v>15</v>
      </c>
      <c r="F151" s="131">
        <f>F$149</f>
        <v>0.5</v>
      </c>
      <c r="H151" s="130" t="s">
        <v>22</v>
      </c>
      <c r="I151" s="132">
        <v>10.683416029531601</v>
      </c>
      <c r="J151" s="132">
        <v>10.520312192538402</v>
      </c>
      <c r="K151" s="132">
        <v>10.357208355545202</v>
      </c>
      <c r="L151" s="132">
        <v>10.194104518552001</v>
      </c>
      <c r="M151" s="132">
        <v>10.044331579195601</v>
      </c>
      <c r="N151" s="132">
        <v>9.894558639839202</v>
      </c>
      <c r="O151" s="132">
        <v>9.7447857004828027</v>
      </c>
      <c r="P151" s="132">
        <v>9.5950127611264033</v>
      </c>
      <c r="Q151" s="132">
        <v>9.4452398217700004</v>
      </c>
      <c r="R151" s="132">
        <v>27.039689652890402</v>
      </c>
      <c r="S151" s="132">
        <v>44.634139484010802</v>
      </c>
      <c r="T151" s="132">
        <v>62.228589315131202</v>
      </c>
      <c r="U151" s="132">
        <v>79.823039146251602</v>
      </c>
      <c r="V151" s="132">
        <v>97.417488977372017</v>
      </c>
      <c r="W151" s="132">
        <v>101.47175893300961</v>
      </c>
      <c r="X151" s="132">
        <v>105.5260288886472</v>
      </c>
      <c r="Y151" s="132">
        <v>109.5802988442848</v>
      </c>
      <c r="Z151" s="132">
        <v>113.63456879992239</v>
      </c>
      <c r="AA151" s="132">
        <v>117.68883875556</v>
      </c>
      <c r="AB151" s="132">
        <v>121.4130372400912</v>
      </c>
      <c r="AC151" s="132">
        <v>125.1372357246224</v>
      </c>
      <c r="AD151" s="132">
        <v>128.8614342091536</v>
      </c>
      <c r="AE151" s="132">
        <v>132.5856326936848</v>
      </c>
      <c r="AF151" s="132">
        <v>136.309831178216</v>
      </c>
      <c r="AG151" s="132">
        <v>139.9807007772028</v>
      </c>
      <c r="AH151" s="132">
        <v>143.6515703761896</v>
      </c>
      <c r="AI151" s="132">
        <v>147.32243997517639</v>
      </c>
      <c r="AJ151" s="132">
        <v>150.99330957416319</v>
      </c>
      <c r="AK151" s="115">
        <v>154.66417917314999</v>
      </c>
      <c r="AL151" s="115">
        <v>156.78404732009039</v>
      </c>
      <c r="AM151" s="115">
        <v>158.9039154670308</v>
      </c>
      <c r="AN151" s="115">
        <v>161.0237836139712</v>
      </c>
      <c r="AO151" s="115">
        <v>163.14365176091161</v>
      </c>
      <c r="AP151" s="115">
        <v>165.26351990785199</v>
      </c>
    </row>
    <row r="152" spans="2:42">
      <c r="B152" s="117" t="s">
        <v>173</v>
      </c>
      <c r="C152" s="122"/>
      <c r="E152" s="35" t="s">
        <v>19</v>
      </c>
      <c r="F152" s="131">
        <f t="shared" ref="F152:F155" si="30">F$149</f>
        <v>0.5</v>
      </c>
      <c r="H152" s="130" t="s">
        <v>24</v>
      </c>
      <c r="I152" s="132">
        <v>19.173481846293999</v>
      </c>
      <c r="J152" s="132">
        <v>23.255410917681999</v>
      </c>
      <c r="K152" s="132">
        <v>27.337339989069999</v>
      </c>
      <c r="L152" s="132">
        <v>31.419269060457999</v>
      </c>
      <c r="M152" s="132">
        <v>34.9382503797844</v>
      </c>
      <c r="N152" s="132">
        <v>38.4572316991108</v>
      </c>
      <c r="O152" s="132">
        <v>41.9762130184372</v>
      </c>
      <c r="P152" s="132">
        <v>45.4951943377636</v>
      </c>
      <c r="Q152" s="132">
        <v>49.014175657089993</v>
      </c>
      <c r="R152" s="132">
        <v>49.260799456695992</v>
      </c>
      <c r="S152" s="132">
        <v>49.50742325630199</v>
      </c>
      <c r="T152" s="132">
        <v>49.754047055907989</v>
      </c>
      <c r="U152" s="132">
        <v>50.000670855513988</v>
      </c>
      <c r="V152" s="132">
        <v>50.247294655119987</v>
      </c>
      <c r="W152" s="132">
        <v>50.783110597825988</v>
      </c>
      <c r="X152" s="132">
        <v>51.31892654053199</v>
      </c>
      <c r="Y152" s="132">
        <v>51.854742483237992</v>
      </c>
      <c r="Z152" s="132">
        <v>52.390558425943993</v>
      </c>
      <c r="AA152" s="132">
        <v>52.926374368650002</v>
      </c>
      <c r="AB152" s="132">
        <v>53.642654937641602</v>
      </c>
      <c r="AC152" s="132">
        <v>54.358935506633202</v>
      </c>
      <c r="AD152" s="132">
        <v>55.075216075624802</v>
      </c>
      <c r="AE152" s="132">
        <v>55.791496644616402</v>
      </c>
      <c r="AF152" s="132">
        <v>56.507777213607987</v>
      </c>
      <c r="AG152" s="132">
        <v>57.263574656870389</v>
      </c>
      <c r="AH152" s="132">
        <v>58.019372100132792</v>
      </c>
      <c r="AI152" s="132">
        <v>58.775169543395194</v>
      </c>
      <c r="AJ152" s="132">
        <v>59.530966986657596</v>
      </c>
      <c r="AK152" s="115">
        <v>60.286764429919998</v>
      </c>
      <c r="AL152" s="115">
        <v>61.095003503296397</v>
      </c>
      <c r="AM152" s="115">
        <v>61.903242576672795</v>
      </c>
      <c r="AN152" s="115">
        <v>62.711481650049194</v>
      </c>
      <c r="AO152" s="115">
        <v>63.519720723425593</v>
      </c>
      <c r="AP152" s="115">
        <v>64.327959796802006</v>
      </c>
    </row>
    <row r="153" spans="2:42">
      <c r="B153" s="117" t="s">
        <v>173</v>
      </c>
      <c r="C153" s="122"/>
      <c r="E153" s="35" t="s">
        <v>22</v>
      </c>
      <c r="F153" s="131">
        <f t="shared" si="30"/>
        <v>0.5</v>
      </c>
      <c r="H153" s="130" t="s">
        <v>25</v>
      </c>
      <c r="I153" s="132">
        <v>65.469516307497202</v>
      </c>
      <c r="J153" s="132">
        <v>92.699462609486801</v>
      </c>
      <c r="K153" s="132">
        <v>119.9294089114764</v>
      </c>
      <c r="L153" s="132">
        <v>147.159355213466</v>
      </c>
      <c r="M153" s="132">
        <v>156.13345781564999</v>
      </c>
      <c r="N153" s="132">
        <v>165.10756041783398</v>
      </c>
      <c r="O153" s="132">
        <v>174.08166302001797</v>
      </c>
      <c r="P153" s="132">
        <v>183.05576562220196</v>
      </c>
      <c r="Q153" s="132">
        <v>192.02986822438601</v>
      </c>
      <c r="R153" s="132">
        <v>205.74762901307679</v>
      </c>
      <c r="S153" s="132">
        <v>219.46538980176757</v>
      </c>
      <c r="T153" s="132">
        <v>233.18315059045835</v>
      </c>
      <c r="U153" s="132">
        <v>246.90091137914914</v>
      </c>
      <c r="V153" s="132">
        <v>260.61867216783997</v>
      </c>
      <c r="W153" s="132">
        <v>276.92654087641876</v>
      </c>
      <c r="X153" s="132">
        <v>293.23440958499754</v>
      </c>
      <c r="Y153" s="132">
        <v>309.54227829357632</v>
      </c>
      <c r="Z153" s="132">
        <v>325.8501470021551</v>
      </c>
      <c r="AA153" s="132">
        <v>342.15801571073399</v>
      </c>
      <c r="AB153" s="132">
        <v>362.56755237622519</v>
      </c>
      <c r="AC153" s="132">
        <v>382.9770890417164</v>
      </c>
      <c r="AD153" s="132">
        <v>403.3866257072076</v>
      </c>
      <c r="AE153" s="132">
        <v>423.7961623726988</v>
      </c>
      <c r="AF153" s="132">
        <v>444.20569903818989</v>
      </c>
      <c r="AG153" s="132">
        <v>469.32704171267989</v>
      </c>
      <c r="AH153" s="132">
        <v>494.44838438716988</v>
      </c>
      <c r="AI153" s="132">
        <v>519.56972706165993</v>
      </c>
      <c r="AJ153" s="132">
        <v>544.69106973614998</v>
      </c>
      <c r="AK153" s="115">
        <v>569.81241241063992</v>
      </c>
      <c r="AL153" s="115">
        <v>578.64962034854034</v>
      </c>
      <c r="AM153" s="115">
        <v>587.48682828644075</v>
      </c>
      <c r="AN153" s="115">
        <v>596.32403622434117</v>
      </c>
      <c r="AO153" s="115">
        <v>605.16124416224159</v>
      </c>
      <c r="AP153" s="115">
        <v>613.99845210014212</v>
      </c>
    </row>
    <row r="154" spans="2:42">
      <c r="B154" s="117" t="s">
        <v>173</v>
      </c>
      <c r="C154" s="122"/>
      <c r="E154" s="35" t="s">
        <v>24</v>
      </c>
      <c r="F154" s="131">
        <f t="shared" si="30"/>
        <v>0.5</v>
      </c>
      <c r="H154" s="128" t="s">
        <v>173</v>
      </c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</row>
    <row r="155" spans="2:42">
      <c r="B155" s="117" t="s">
        <v>173</v>
      </c>
      <c r="C155" s="122"/>
      <c r="E155" s="35" t="s">
        <v>25</v>
      </c>
      <c r="F155" s="131">
        <f t="shared" si="30"/>
        <v>0.5</v>
      </c>
      <c r="H155" s="128" t="s">
        <v>173</v>
      </c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</row>
    <row r="156" spans="2:42">
      <c r="B156" s="117" t="s">
        <v>173</v>
      </c>
      <c r="C156" s="122"/>
      <c r="E156" s="117"/>
      <c r="F156" s="131"/>
      <c r="H156" s="117" t="s">
        <v>173</v>
      </c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</row>
    <row r="157" spans="2:42">
      <c r="B157" s="117" t="s">
        <v>173</v>
      </c>
      <c r="C157" s="122"/>
      <c r="E157" s="117"/>
      <c r="F157" s="131"/>
      <c r="H157" s="117" t="s">
        <v>173</v>
      </c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</row>
    <row r="158" spans="2:42">
      <c r="B158" s="117" t="s">
        <v>173</v>
      </c>
      <c r="C158" s="122"/>
      <c r="E158" s="117"/>
      <c r="F158" s="131"/>
      <c r="H158" s="117" t="s">
        <v>173</v>
      </c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</row>
    <row r="159" spans="2:42">
      <c r="H159" s="117" t="s">
        <v>173</v>
      </c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</row>
    <row r="160" spans="2:42">
      <c r="B160" s="113" t="s">
        <v>277</v>
      </c>
      <c r="H160" s="117" t="s">
        <v>173</v>
      </c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</row>
    <row r="161" spans="2:36">
      <c r="B161" s="117" t="s">
        <v>8</v>
      </c>
      <c r="C161" s="124">
        <f>'4.Input data HPCL'!E13</f>
        <v>-9153.0999999999985</v>
      </c>
      <c r="H161" s="117" t="s">
        <v>173</v>
      </c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</row>
    <row r="162" spans="2:36">
      <c r="B162" s="117" t="s">
        <v>173</v>
      </c>
      <c r="C162" s="122"/>
      <c r="F162" s="115">
        <v>0.7</v>
      </c>
      <c r="H162" s="117" t="s">
        <v>173</v>
      </c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</row>
    <row r="163" spans="2:36">
      <c r="B163" s="117" t="s">
        <v>173</v>
      </c>
      <c r="C163" s="122"/>
      <c r="H163" s="117" t="s">
        <v>173</v>
      </c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</row>
    <row r="164" spans="2:36">
      <c r="B164" s="117" t="s">
        <v>173</v>
      </c>
      <c r="C164" s="122"/>
      <c r="H164" s="117" t="s">
        <v>173</v>
      </c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</row>
    <row r="165" spans="2:36">
      <c r="B165" s="117" t="s">
        <v>173</v>
      </c>
      <c r="C165" s="122"/>
      <c r="H165" s="117" t="s">
        <v>173</v>
      </c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</row>
    <row r="166" spans="2:36">
      <c r="B166" s="117" t="s">
        <v>173</v>
      </c>
      <c r="C166" s="122"/>
      <c r="H166" s="117" t="s">
        <v>173</v>
      </c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</row>
    <row r="167" spans="2:36">
      <c r="B167" s="117" t="s">
        <v>173</v>
      </c>
      <c r="C167" s="122"/>
      <c r="H167" s="117" t="s">
        <v>173</v>
      </c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</row>
    <row r="168" spans="2:36">
      <c r="B168" s="117" t="s">
        <v>173</v>
      </c>
      <c r="C168" s="122"/>
      <c r="H168" s="117" t="s">
        <v>173</v>
      </c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</row>
    <row r="169" spans="2:36">
      <c r="B169" s="117" t="s">
        <v>173</v>
      </c>
      <c r="C169" s="122"/>
      <c r="H169" s="117" t="s">
        <v>173</v>
      </c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</row>
    <row r="170" spans="2:36">
      <c r="B170" s="117" t="s">
        <v>173</v>
      </c>
      <c r="C170" s="122"/>
      <c r="H170" s="117" t="s">
        <v>173</v>
      </c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</row>
    <row r="172" spans="2:36">
      <c r="B172" s="113" t="s">
        <v>278</v>
      </c>
      <c r="E172" s="113" t="s">
        <v>48</v>
      </c>
    </row>
    <row r="173" spans="2:36">
      <c r="B173" s="117" t="s">
        <v>8</v>
      </c>
      <c r="C173" s="124">
        <f>'4.Input data HPCL'!E15</f>
        <v>1963.7</v>
      </c>
      <c r="E173" s="117" t="s">
        <v>8</v>
      </c>
      <c r="F173" s="115" t="s">
        <v>279</v>
      </c>
    </row>
    <row r="174" spans="2:36">
      <c r="B174" s="117" t="s">
        <v>173</v>
      </c>
      <c r="C174" s="122"/>
      <c r="E174" s="35" t="s">
        <v>12</v>
      </c>
    </row>
    <row r="175" spans="2:36">
      <c r="B175" s="117" t="s">
        <v>173</v>
      </c>
      <c r="C175" s="122"/>
      <c r="E175" s="35" t="s">
        <v>15</v>
      </c>
    </row>
    <row r="176" spans="2:36">
      <c r="B176" s="117" t="s">
        <v>173</v>
      </c>
      <c r="C176" s="122"/>
      <c r="E176" s="35" t="s">
        <v>19</v>
      </c>
    </row>
    <row r="177" spans="2:5">
      <c r="B177" s="117" t="s">
        <v>173</v>
      </c>
      <c r="C177" s="122"/>
      <c r="E177" s="35" t="s">
        <v>22</v>
      </c>
    </row>
    <row r="178" spans="2:5">
      <c r="B178" s="117" t="s">
        <v>173</v>
      </c>
      <c r="C178" s="122"/>
      <c r="E178" s="35" t="s">
        <v>24</v>
      </c>
    </row>
    <row r="179" spans="2:5">
      <c r="B179" s="117" t="s">
        <v>173</v>
      </c>
      <c r="C179" s="122"/>
      <c r="E179" s="35" t="s">
        <v>25</v>
      </c>
    </row>
    <row r="180" spans="2:5">
      <c r="B180" s="117" t="s">
        <v>173</v>
      </c>
      <c r="C180" s="122"/>
      <c r="E180"/>
    </row>
    <row r="181" spans="2:5">
      <c r="B181" s="117" t="s">
        <v>173</v>
      </c>
      <c r="C181" s="122"/>
      <c r="E181"/>
    </row>
    <row r="182" spans="2:5">
      <c r="B182" s="117" t="s">
        <v>173</v>
      </c>
      <c r="C182" s="122"/>
      <c r="E182"/>
    </row>
    <row r="183" spans="2:5">
      <c r="E183"/>
    </row>
    <row r="184" spans="2:5">
      <c r="B184" s="113" t="s">
        <v>280</v>
      </c>
    </row>
    <row r="185" spans="2:5">
      <c r="B185" s="117" t="s">
        <v>173</v>
      </c>
      <c r="C185" s="122"/>
    </row>
    <row r="186" spans="2:5">
      <c r="B186" s="117" t="s">
        <v>173</v>
      </c>
      <c r="C186" s="122"/>
    </row>
    <row r="187" spans="2:5">
      <c r="B187" s="117" t="s">
        <v>173</v>
      </c>
      <c r="C187" s="122"/>
    </row>
    <row r="188" spans="2:5">
      <c r="B188" s="117" t="s">
        <v>173</v>
      </c>
      <c r="C188" s="122"/>
    </row>
    <row r="189" spans="2:5">
      <c r="B189" s="117" t="s">
        <v>173</v>
      </c>
      <c r="C189" s="122"/>
    </row>
    <row r="190" spans="2:5">
      <c r="B190" s="117" t="s">
        <v>173</v>
      </c>
      <c r="C190" s="122"/>
    </row>
    <row r="191" spans="2:5">
      <c r="B191" s="117" t="s">
        <v>173</v>
      </c>
      <c r="C191" s="122"/>
    </row>
    <row r="192" spans="2:5">
      <c r="B192" s="117" t="s">
        <v>173</v>
      </c>
      <c r="C192" s="122"/>
    </row>
    <row r="193" spans="2:3">
      <c r="B193" s="117" t="s">
        <v>173</v>
      </c>
      <c r="C193" s="122"/>
    </row>
    <row r="194" spans="2:3">
      <c r="B194" s="117" t="s">
        <v>173</v>
      </c>
      <c r="C194" s="122"/>
    </row>
    <row r="196" spans="2:3">
      <c r="B196" s="133" t="s">
        <v>281</v>
      </c>
      <c r="C196" s="134"/>
    </row>
    <row r="197" spans="2:3">
      <c r="B197" s="135" t="s">
        <v>173</v>
      </c>
      <c r="C197" s="136"/>
    </row>
    <row r="198" spans="2:3">
      <c r="B198" s="135" t="s">
        <v>173</v>
      </c>
      <c r="C198" s="122"/>
    </row>
    <row r="199" spans="2:3">
      <c r="B199" s="135" t="s">
        <v>173</v>
      </c>
      <c r="C199" s="136"/>
    </row>
    <row r="200" spans="2:3">
      <c r="B200" s="135" t="s">
        <v>173</v>
      </c>
      <c r="C200" s="136"/>
    </row>
    <row r="201" spans="2:3">
      <c r="B201" s="135" t="s">
        <v>173</v>
      </c>
      <c r="C201" s="136"/>
    </row>
    <row r="202" spans="2:3">
      <c r="B202" s="135" t="s">
        <v>173</v>
      </c>
      <c r="C202" s="136"/>
    </row>
    <row r="203" spans="2:3">
      <c r="B203" s="135" t="s">
        <v>173</v>
      </c>
      <c r="C203" s="136"/>
    </row>
    <row r="204" spans="2:3">
      <c r="B204" s="135" t="s">
        <v>173</v>
      </c>
      <c r="C204" s="136"/>
    </row>
    <row r="205" spans="2:3">
      <c r="B205" s="135" t="s">
        <v>173</v>
      </c>
      <c r="C205" s="136"/>
    </row>
    <row r="206" spans="2:3">
      <c r="B206" s="135" t="s">
        <v>173</v>
      </c>
      <c r="C206" s="136"/>
    </row>
    <row r="208" spans="2:3">
      <c r="B208" s="133" t="s">
        <v>166</v>
      </c>
      <c r="C208" s="134"/>
    </row>
    <row r="209" spans="2:3">
      <c r="B209" s="135" t="s">
        <v>173</v>
      </c>
      <c r="C209" s="136"/>
    </row>
    <row r="210" spans="2:3">
      <c r="B210" s="135" t="s">
        <v>173</v>
      </c>
      <c r="C210" s="122"/>
    </row>
    <row r="211" spans="2:3">
      <c r="B211" s="135" t="s">
        <v>173</v>
      </c>
      <c r="C211" s="136"/>
    </row>
    <row r="212" spans="2:3">
      <c r="B212" s="135" t="s">
        <v>173</v>
      </c>
      <c r="C212" s="136"/>
    </row>
    <row r="213" spans="2:3">
      <c r="B213" s="135" t="s">
        <v>173</v>
      </c>
      <c r="C213" s="136"/>
    </row>
    <row r="214" spans="2:3">
      <c r="B214" s="135" t="s">
        <v>173</v>
      </c>
      <c r="C214" s="136"/>
    </row>
    <row r="215" spans="2:3">
      <c r="B215" s="135" t="s">
        <v>173</v>
      </c>
      <c r="C215" s="136"/>
    </row>
    <row r="216" spans="2:3">
      <c r="B216" s="135" t="s">
        <v>173</v>
      </c>
      <c r="C216" s="136"/>
    </row>
    <row r="217" spans="2:3">
      <c r="B217" s="135" t="s">
        <v>173</v>
      </c>
      <c r="C217" s="136"/>
    </row>
    <row r="218" spans="2:3">
      <c r="B218" s="135" t="s">
        <v>173</v>
      </c>
      <c r="C218" s="136"/>
    </row>
    <row r="219" spans="2:3">
      <c r="B219" s="137"/>
      <c r="C219" s="137"/>
    </row>
    <row r="220" spans="2:3">
      <c r="B220" s="133" t="s">
        <v>282</v>
      </c>
      <c r="C220" s="137"/>
    </row>
    <row r="221" spans="2:3">
      <c r="B221" s="135" t="s">
        <v>8</v>
      </c>
      <c r="C221" s="124">
        <f>'4.Input data HPCL'!E9</f>
        <v>19859.7</v>
      </c>
    </row>
    <row r="222" spans="2:3">
      <c r="B222" s="135" t="s">
        <v>173</v>
      </c>
      <c r="C222" s="122"/>
    </row>
    <row r="223" spans="2:3">
      <c r="B223" s="135" t="s">
        <v>173</v>
      </c>
      <c r="C223" s="136"/>
    </row>
    <row r="224" spans="2:3">
      <c r="B224" s="135" t="s">
        <v>173</v>
      </c>
      <c r="C224" s="136"/>
    </row>
    <row r="225" spans="2:3">
      <c r="B225" s="135" t="s">
        <v>173</v>
      </c>
      <c r="C225" s="136"/>
    </row>
    <row r="226" spans="2:3">
      <c r="B226" s="135" t="s">
        <v>173</v>
      </c>
      <c r="C226" s="136"/>
    </row>
    <row r="227" spans="2:3">
      <c r="B227" s="135" t="s">
        <v>173</v>
      </c>
      <c r="C227" s="136"/>
    </row>
    <row r="228" spans="2:3">
      <c r="B228" s="135" t="s">
        <v>173</v>
      </c>
      <c r="C228" s="136"/>
    </row>
    <row r="229" spans="2:3">
      <c r="B229" s="135" t="s">
        <v>173</v>
      </c>
      <c r="C229" s="136"/>
    </row>
    <row r="230" spans="2:3">
      <c r="B230" s="135" t="s">
        <v>173</v>
      </c>
      <c r="C230" s="136"/>
    </row>
    <row r="231" spans="2:3">
      <c r="B231" s="137"/>
      <c r="C231" s="137"/>
    </row>
    <row r="232" spans="2:3">
      <c r="B232" s="16" t="s">
        <v>283</v>
      </c>
      <c r="C232" s="137"/>
    </row>
    <row r="233" spans="2:3">
      <c r="B233" s="135" t="s">
        <v>8</v>
      </c>
      <c r="C233" s="124">
        <f>'4.Input data HPCL'!E10</f>
        <v>108537.09999999999</v>
      </c>
    </row>
    <row r="234" spans="2:3">
      <c r="B234" s="135" t="s">
        <v>173</v>
      </c>
      <c r="C234" s="122"/>
    </row>
    <row r="235" spans="2:3">
      <c r="B235" s="135" t="s">
        <v>173</v>
      </c>
      <c r="C235" s="136"/>
    </row>
    <row r="236" spans="2:3">
      <c r="B236" s="135" t="s">
        <v>173</v>
      </c>
      <c r="C236" s="136"/>
    </row>
    <row r="237" spans="2:3">
      <c r="B237" s="135" t="s">
        <v>173</v>
      </c>
      <c r="C237" s="136"/>
    </row>
    <row r="238" spans="2:3">
      <c r="B238" s="135" t="s">
        <v>173</v>
      </c>
      <c r="C238" s="136"/>
    </row>
    <row r="239" spans="2:3">
      <c r="B239" s="135" t="s">
        <v>173</v>
      </c>
      <c r="C239" s="136"/>
    </row>
    <row r="240" spans="2:3">
      <c r="B240" s="135" t="s">
        <v>173</v>
      </c>
      <c r="C240" s="136"/>
    </row>
    <row r="241" spans="2:3">
      <c r="B241" s="135" t="s">
        <v>173</v>
      </c>
      <c r="C241" s="136"/>
    </row>
    <row r="242" spans="2:3">
      <c r="B242" s="135" t="s">
        <v>173</v>
      </c>
      <c r="C242" s="136"/>
    </row>
    <row r="243" spans="2:3">
      <c r="B243" s="137"/>
      <c r="C243" s="137"/>
    </row>
    <row r="244" spans="2:3">
      <c r="B244" s="133" t="s">
        <v>284</v>
      </c>
      <c r="C244" s="137"/>
    </row>
    <row r="245" spans="2:3">
      <c r="B245" s="135" t="s">
        <v>173</v>
      </c>
      <c r="C245" s="136"/>
    </row>
    <row r="246" spans="2:3">
      <c r="B246" s="135" t="s">
        <v>173</v>
      </c>
      <c r="C246" s="122"/>
    </row>
    <row r="247" spans="2:3">
      <c r="B247" s="135" t="s">
        <v>173</v>
      </c>
      <c r="C247" s="136"/>
    </row>
    <row r="248" spans="2:3">
      <c r="B248" s="135" t="s">
        <v>173</v>
      </c>
      <c r="C248" s="136"/>
    </row>
    <row r="249" spans="2:3">
      <c r="B249" s="135" t="s">
        <v>173</v>
      </c>
      <c r="C249" s="136"/>
    </row>
    <row r="250" spans="2:3">
      <c r="B250" s="135" t="s">
        <v>173</v>
      </c>
      <c r="C250" s="136"/>
    </row>
    <row r="251" spans="2:3">
      <c r="B251" s="135" t="s">
        <v>173</v>
      </c>
      <c r="C251" s="136"/>
    </row>
    <row r="252" spans="2:3">
      <c r="B252" s="135" t="s">
        <v>173</v>
      </c>
      <c r="C252" s="136"/>
    </row>
    <row r="253" spans="2:3">
      <c r="B253" s="135" t="s">
        <v>173</v>
      </c>
      <c r="C253" s="136"/>
    </row>
    <row r="254" spans="2:3">
      <c r="B254" s="135" t="s">
        <v>173</v>
      </c>
      <c r="C254" s="136"/>
    </row>
    <row r="255" spans="2:3">
      <c r="B255" s="137"/>
      <c r="C255" s="137"/>
    </row>
    <row r="256" spans="2:3">
      <c r="B256" s="133" t="s">
        <v>43</v>
      </c>
      <c r="C256" s="137"/>
    </row>
    <row r="257" spans="2:3">
      <c r="B257" s="135" t="s">
        <v>8</v>
      </c>
      <c r="C257" s="124">
        <f>'4.Input data HPCL'!E14</f>
        <v>14189.400000000001</v>
      </c>
    </row>
    <row r="258" spans="2:3">
      <c r="B258" s="135" t="s">
        <v>173</v>
      </c>
      <c r="C258" s="122"/>
    </row>
    <row r="259" spans="2:3">
      <c r="B259" s="135" t="s">
        <v>173</v>
      </c>
      <c r="C259" s="136"/>
    </row>
    <row r="260" spans="2:3">
      <c r="B260" s="135" t="s">
        <v>173</v>
      </c>
      <c r="C260" s="136"/>
    </row>
    <row r="261" spans="2:3">
      <c r="B261" s="135" t="s">
        <v>173</v>
      </c>
      <c r="C261" s="136"/>
    </row>
    <row r="262" spans="2:3">
      <c r="B262" s="135" t="s">
        <v>173</v>
      </c>
      <c r="C262" s="136"/>
    </row>
    <row r="263" spans="2:3">
      <c r="B263" s="135" t="s">
        <v>173</v>
      </c>
      <c r="C263" s="136"/>
    </row>
    <row r="264" spans="2:3">
      <c r="B264" s="135" t="s">
        <v>173</v>
      </c>
      <c r="C264" s="136"/>
    </row>
    <row r="265" spans="2:3">
      <c r="B265" s="135" t="s">
        <v>173</v>
      </c>
      <c r="C265" s="136"/>
    </row>
    <row r="266" spans="2:3">
      <c r="B266" s="135" t="s">
        <v>173</v>
      </c>
      <c r="C266" s="136"/>
    </row>
    <row r="267" spans="2:3">
      <c r="B267" s="137"/>
      <c r="C267" s="137"/>
    </row>
    <row r="268" spans="2:3">
      <c r="B268" s="133" t="s">
        <v>285</v>
      </c>
      <c r="C268" s="137"/>
    </row>
    <row r="269" spans="2:3">
      <c r="B269" s="135" t="s">
        <v>173</v>
      </c>
      <c r="C269" s="136"/>
    </row>
    <row r="270" spans="2:3">
      <c r="B270" s="135" t="s">
        <v>173</v>
      </c>
      <c r="C270" s="122"/>
    </row>
    <row r="271" spans="2:3">
      <c r="B271" s="135" t="s">
        <v>173</v>
      </c>
      <c r="C271" s="136"/>
    </row>
    <row r="272" spans="2:3">
      <c r="B272" s="135" t="s">
        <v>173</v>
      </c>
      <c r="C272" s="136"/>
    </row>
    <row r="273" spans="2:3">
      <c r="B273" s="135" t="s">
        <v>173</v>
      </c>
      <c r="C273" s="136"/>
    </row>
    <row r="274" spans="2:3">
      <c r="B274" s="135" t="s">
        <v>173</v>
      </c>
      <c r="C274" s="136"/>
    </row>
    <row r="275" spans="2:3">
      <c r="B275" s="135" t="s">
        <v>173</v>
      </c>
      <c r="C275" s="136"/>
    </row>
    <row r="276" spans="2:3">
      <c r="B276" s="135" t="s">
        <v>173</v>
      </c>
      <c r="C276" s="136"/>
    </row>
    <row r="277" spans="2:3">
      <c r="B277" s="135" t="s">
        <v>173</v>
      </c>
      <c r="C277" s="136"/>
    </row>
    <row r="278" spans="2:3">
      <c r="B278" s="135" t="s">
        <v>173</v>
      </c>
      <c r="C278" s="136"/>
    </row>
    <row r="279" spans="2:3">
      <c r="B279" s="137"/>
      <c r="C279" s="137"/>
    </row>
    <row r="280" spans="2:3">
      <c r="B280" s="133" t="s">
        <v>286</v>
      </c>
      <c r="C280" s="137"/>
    </row>
    <row r="281" spans="2:3">
      <c r="B281" s="135" t="s">
        <v>173</v>
      </c>
      <c r="C281" s="136"/>
    </row>
    <row r="282" spans="2:3">
      <c r="B282" s="135" t="s">
        <v>173</v>
      </c>
      <c r="C282" s="122"/>
    </row>
    <row r="283" spans="2:3">
      <c r="B283" s="135" t="s">
        <v>173</v>
      </c>
      <c r="C283" s="136"/>
    </row>
    <row r="284" spans="2:3">
      <c r="B284" s="135" t="s">
        <v>173</v>
      </c>
      <c r="C284" s="136"/>
    </row>
    <row r="285" spans="2:3">
      <c r="B285" s="135" t="s">
        <v>173</v>
      </c>
      <c r="C285" s="136"/>
    </row>
    <row r="286" spans="2:3">
      <c r="B286" s="135" t="s">
        <v>173</v>
      </c>
      <c r="C286" s="136"/>
    </row>
    <row r="287" spans="2:3">
      <c r="B287" s="135" t="s">
        <v>173</v>
      </c>
      <c r="C287" s="136"/>
    </row>
    <row r="288" spans="2:3">
      <c r="B288" s="135" t="s">
        <v>173</v>
      </c>
      <c r="C288" s="136"/>
    </row>
    <row r="289" spans="2:3">
      <c r="B289" s="135" t="s">
        <v>173</v>
      </c>
      <c r="C289" s="136"/>
    </row>
    <row r="290" spans="2:3">
      <c r="B290" s="135" t="s">
        <v>173</v>
      </c>
      <c r="C290" s="136"/>
    </row>
    <row r="292" spans="2:3">
      <c r="B292" s="133" t="s">
        <v>287</v>
      </c>
      <c r="C292" s="137"/>
    </row>
    <row r="293" spans="2:3">
      <c r="B293" s="135" t="s">
        <v>173</v>
      </c>
      <c r="C293" s="136"/>
    </row>
    <row r="294" spans="2:3">
      <c r="B294" s="135" t="s">
        <v>173</v>
      </c>
      <c r="C294" s="122"/>
    </row>
    <row r="295" spans="2:3">
      <c r="B295" s="135" t="s">
        <v>173</v>
      </c>
      <c r="C295" s="136"/>
    </row>
    <row r="296" spans="2:3">
      <c r="B296" s="135" t="s">
        <v>173</v>
      </c>
      <c r="C296" s="136"/>
    </row>
    <row r="297" spans="2:3">
      <c r="B297" s="135" t="s">
        <v>173</v>
      </c>
      <c r="C297" s="136"/>
    </row>
    <row r="298" spans="2:3">
      <c r="B298" s="135" t="s">
        <v>173</v>
      </c>
      <c r="C298" s="136"/>
    </row>
    <row r="299" spans="2:3">
      <c r="B299" s="135" t="s">
        <v>173</v>
      </c>
      <c r="C299" s="136"/>
    </row>
    <row r="300" spans="2:3">
      <c r="B300" s="135" t="s">
        <v>173</v>
      </c>
      <c r="C300" s="136"/>
    </row>
    <row r="301" spans="2:3">
      <c r="B301" s="135" t="s">
        <v>173</v>
      </c>
      <c r="C301" s="136"/>
    </row>
    <row r="302" spans="2:3">
      <c r="B302" s="135" t="s">
        <v>173</v>
      </c>
      <c r="C302" s="136"/>
    </row>
    <row r="304" spans="2:3">
      <c r="B304" s="133" t="s">
        <v>288</v>
      </c>
      <c r="C304" s="137"/>
    </row>
    <row r="305" spans="2:3">
      <c r="B305" s="135" t="s">
        <v>173</v>
      </c>
      <c r="C305" s="136"/>
    </row>
    <row r="306" spans="2:3">
      <c r="B306" s="135" t="s">
        <v>173</v>
      </c>
      <c r="C306" s="122"/>
    </row>
    <row r="307" spans="2:3">
      <c r="B307" s="135" t="s">
        <v>173</v>
      </c>
      <c r="C307" s="136"/>
    </row>
    <row r="308" spans="2:3">
      <c r="B308" s="135" t="s">
        <v>173</v>
      </c>
      <c r="C308" s="136"/>
    </row>
    <row r="309" spans="2:3">
      <c r="B309" s="135" t="s">
        <v>173</v>
      </c>
      <c r="C309" s="136"/>
    </row>
    <row r="310" spans="2:3">
      <c r="B310" s="135" t="s">
        <v>173</v>
      </c>
      <c r="C310" s="136"/>
    </row>
    <row r="311" spans="2:3">
      <c r="B311" s="135" t="s">
        <v>173</v>
      </c>
      <c r="C311" s="136"/>
    </row>
    <row r="312" spans="2:3">
      <c r="B312" s="135" t="s">
        <v>173</v>
      </c>
      <c r="C312" s="136"/>
    </row>
    <row r="313" spans="2:3">
      <c r="B313" s="135" t="s">
        <v>173</v>
      </c>
      <c r="C313" s="136"/>
    </row>
    <row r="314" spans="2:3">
      <c r="B314" s="135" t="s">
        <v>173</v>
      </c>
      <c r="C314" s="13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F1112-FABE-4972-8A1E-7B12DA5BF7B6}">
  <sheetPr codeName="Sheet16"/>
  <dimension ref="B1:AM58"/>
  <sheetViews>
    <sheetView showGridLines="0" zoomScale="70" zoomScaleNormal="80" workbookViewId="0">
      <selection activeCell="D23" sqref="D23"/>
    </sheetView>
  </sheetViews>
  <sheetFormatPr defaultColWidth="8.85546875" defaultRowHeight="14.45"/>
  <cols>
    <col min="2" max="2" width="23.5703125" bestFit="1" customWidth="1"/>
    <col min="3" max="3" width="22.42578125" customWidth="1"/>
    <col min="4" max="4" width="40.5703125" bestFit="1" customWidth="1"/>
    <col min="5" max="5" width="31.5703125" bestFit="1" customWidth="1"/>
    <col min="6" max="6" width="36.140625" customWidth="1"/>
    <col min="7" max="7" width="24.5703125" customWidth="1"/>
    <col min="8" max="8" width="18.85546875" customWidth="1"/>
    <col min="9" max="9" width="12.5703125" customWidth="1"/>
    <col min="10" max="10" width="14.85546875" customWidth="1"/>
    <col min="11" max="36" width="12.5703125" bestFit="1" customWidth="1"/>
  </cols>
  <sheetData>
    <row r="1" spans="2:10">
      <c r="B1" s="38" t="s">
        <v>206</v>
      </c>
      <c r="C1" s="38" t="s">
        <v>207</v>
      </c>
      <c r="D1" s="38" t="s">
        <v>208</v>
      </c>
      <c r="E1" s="38" t="s">
        <v>209</v>
      </c>
      <c r="F1" s="38" t="s">
        <v>210</v>
      </c>
    </row>
    <row r="2" spans="2:10">
      <c r="B2" s="37" t="s">
        <v>211</v>
      </c>
      <c r="C2" s="37"/>
      <c r="D2" s="37"/>
      <c r="E2" s="71"/>
      <c r="F2" s="37"/>
    </row>
    <row r="3" spans="2:10">
      <c r="B3" s="72" t="s">
        <v>87</v>
      </c>
      <c r="C3" s="73"/>
      <c r="D3" s="74"/>
      <c r="E3" s="75"/>
      <c r="F3" s="35" t="s">
        <v>212</v>
      </c>
    </row>
    <row r="4" spans="2:10">
      <c r="B4" s="72" t="s">
        <v>104</v>
      </c>
      <c r="C4" s="76"/>
      <c r="D4" s="77">
        <f>C4*10</f>
        <v>0</v>
      </c>
      <c r="E4" s="71" t="e">
        <f>D4/$C$2</f>
        <v>#DIV/0!</v>
      </c>
      <c r="F4" s="78"/>
      <c r="I4" s="143"/>
    </row>
    <row r="5" spans="2:10">
      <c r="B5" s="72" t="s">
        <v>105</v>
      </c>
      <c r="C5" s="79"/>
      <c r="D5" s="77">
        <f t="shared" ref="D5:D17" si="0">C5*10</f>
        <v>0</v>
      </c>
      <c r="E5" s="71" t="e">
        <f t="shared" ref="E5:E17" si="1">D5/$C$2</f>
        <v>#DIV/0!</v>
      </c>
      <c r="F5" s="35" t="s">
        <v>213</v>
      </c>
      <c r="H5" s="86"/>
      <c r="I5" s="144"/>
    </row>
    <row r="6" spans="2:10" ht="43.5">
      <c r="B6" s="72" t="s">
        <v>107</v>
      </c>
      <c r="C6" s="81"/>
      <c r="D6" s="77">
        <f t="shared" si="0"/>
        <v>0</v>
      </c>
      <c r="E6" s="71" t="e">
        <f t="shared" si="1"/>
        <v>#DIV/0!</v>
      </c>
      <c r="F6" s="82" t="s">
        <v>214</v>
      </c>
      <c r="G6" s="83"/>
      <c r="I6" s="144"/>
    </row>
    <row r="7" spans="2:10" ht="29.1">
      <c r="B7" s="72" t="s">
        <v>109</v>
      </c>
      <c r="C7" s="81"/>
      <c r="D7" s="77">
        <f t="shared" si="0"/>
        <v>0</v>
      </c>
      <c r="E7" s="71" t="e">
        <f t="shared" si="1"/>
        <v>#DIV/0!</v>
      </c>
      <c r="F7" s="84" t="s">
        <v>215</v>
      </c>
      <c r="I7" s="86"/>
    </row>
    <row r="8" spans="2:10">
      <c r="B8" s="72" t="s">
        <v>110</v>
      </c>
      <c r="C8" s="81"/>
      <c r="D8" s="77">
        <f t="shared" si="0"/>
        <v>0</v>
      </c>
      <c r="E8" s="71" t="e">
        <f t="shared" si="1"/>
        <v>#DIV/0!</v>
      </c>
      <c r="F8" s="35" t="s">
        <v>216</v>
      </c>
      <c r="H8" s="187"/>
      <c r="I8" s="187"/>
    </row>
    <row r="9" spans="2:10">
      <c r="B9" s="72" t="s">
        <v>117</v>
      </c>
      <c r="C9" s="79"/>
      <c r="D9" s="77">
        <f>C9*10</f>
        <v>0</v>
      </c>
      <c r="E9" s="71" t="e">
        <f t="shared" si="1"/>
        <v>#DIV/0!</v>
      </c>
      <c r="F9" s="35" t="s">
        <v>217</v>
      </c>
      <c r="H9" s="187"/>
      <c r="I9" s="187"/>
    </row>
    <row r="10" spans="2:10">
      <c r="B10" s="72" t="s">
        <v>118</v>
      </c>
      <c r="C10" s="76"/>
      <c r="D10" s="77">
        <f t="shared" si="0"/>
        <v>0</v>
      </c>
      <c r="E10" s="71" t="e">
        <f t="shared" si="1"/>
        <v>#DIV/0!</v>
      </c>
      <c r="F10" s="35" t="s">
        <v>218</v>
      </c>
      <c r="I10" s="83"/>
    </row>
    <row r="11" spans="2:10">
      <c r="B11" s="72" t="s">
        <v>119</v>
      </c>
      <c r="C11" s="79"/>
      <c r="D11" s="77">
        <f t="shared" si="0"/>
        <v>0</v>
      </c>
      <c r="E11" s="71" t="e">
        <f t="shared" si="1"/>
        <v>#DIV/0!</v>
      </c>
      <c r="F11" s="35"/>
      <c r="H11" s="69"/>
      <c r="I11" s="145"/>
    </row>
    <row r="12" spans="2:10">
      <c r="B12" s="72" t="s">
        <v>120</v>
      </c>
      <c r="C12" s="79"/>
      <c r="D12" s="77">
        <f t="shared" si="0"/>
        <v>0</v>
      </c>
      <c r="E12" s="71" t="e">
        <f t="shared" si="1"/>
        <v>#DIV/0!</v>
      </c>
      <c r="F12" s="35"/>
    </row>
    <row r="13" spans="2:10">
      <c r="B13" s="72" t="s">
        <v>122</v>
      </c>
      <c r="C13" s="79"/>
      <c r="D13" s="77">
        <f t="shared" si="0"/>
        <v>0</v>
      </c>
      <c r="E13" s="71" t="e">
        <f t="shared" si="1"/>
        <v>#DIV/0!</v>
      </c>
      <c r="F13" s="35"/>
    </row>
    <row r="14" spans="2:10">
      <c r="B14" s="85" t="s">
        <v>126</v>
      </c>
      <c r="C14" s="79"/>
      <c r="D14" s="77">
        <f t="shared" si="0"/>
        <v>0</v>
      </c>
      <c r="E14" s="71" t="e">
        <f t="shared" si="1"/>
        <v>#DIV/0!</v>
      </c>
      <c r="F14" s="35" t="s">
        <v>219</v>
      </c>
      <c r="I14" s="140"/>
      <c r="J14" s="140"/>
    </row>
    <row r="15" spans="2:10">
      <c r="B15" s="72" t="s">
        <v>123</v>
      </c>
      <c r="C15" s="79"/>
      <c r="D15" s="77">
        <f t="shared" si="0"/>
        <v>0</v>
      </c>
      <c r="E15" s="71" t="e">
        <f t="shared" si="1"/>
        <v>#DIV/0!</v>
      </c>
      <c r="F15" s="35" t="s">
        <v>220</v>
      </c>
      <c r="I15" s="140"/>
    </row>
    <row r="16" spans="2:10">
      <c r="B16" s="72" t="s">
        <v>221</v>
      </c>
      <c r="C16" s="79"/>
      <c r="D16" s="77">
        <f t="shared" si="0"/>
        <v>0</v>
      </c>
      <c r="E16" s="71" t="e">
        <f t="shared" si="1"/>
        <v>#DIV/0!</v>
      </c>
      <c r="F16" s="35"/>
      <c r="I16" s="141"/>
    </row>
    <row r="17" spans="2:39">
      <c r="B17" s="72" t="s">
        <v>222</v>
      </c>
      <c r="C17" s="79"/>
      <c r="D17" s="77">
        <f t="shared" si="0"/>
        <v>0</v>
      </c>
      <c r="E17" s="71" t="e">
        <f t="shared" si="1"/>
        <v>#DIV/0!</v>
      </c>
      <c r="F17" s="35"/>
      <c r="G17" s="86"/>
      <c r="I17" s="142"/>
    </row>
    <row r="18" spans="2:39">
      <c r="B18" s="72" t="s">
        <v>55</v>
      </c>
      <c r="C18" s="73" t="e">
        <f>C16/C17</f>
        <v>#DIV/0!</v>
      </c>
      <c r="D18" s="74"/>
      <c r="E18" s="75"/>
      <c r="F18" s="35" t="s">
        <v>223</v>
      </c>
    </row>
    <row r="20" spans="2:39">
      <c r="B20" s="70" t="s">
        <v>224</v>
      </c>
      <c r="C20" s="35"/>
      <c r="D20" s="87" t="s">
        <v>225</v>
      </c>
      <c r="E20" s="87" t="s">
        <v>226</v>
      </c>
      <c r="F20" s="87" t="s">
        <v>227</v>
      </c>
    </row>
    <row r="21" spans="2:39">
      <c r="B21" s="37" t="s">
        <v>228</v>
      </c>
      <c r="C21" s="79"/>
      <c r="D21" s="88"/>
      <c r="E21" s="89"/>
      <c r="F21" s="86"/>
      <c r="G21" s="86"/>
    </row>
    <row r="22" spans="2:39">
      <c r="B22" s="37" t="s">
        <v>229</v>
      </c>
      <c r="C22" s="79"/>
      <c r="D22" s="88" t="e">
        <f>(C22+C21)/E4</f>
        <v>#DIV/0!</v>
      </c>
      <c r="E22" s="80"/>
    </row>
    <row r="23" spans="2:39">
      <c r="B23" s="37" t="s">
        <v>230</v>
      </c>
      <c r="C23" s="80"/>
      <c r="D23" s="80"/>
      <c r="E23" s="90" t="e">
        <f>C23/E4</f>
        <v>#DIV/0!</v>
      </c>
    </row>
    <row r="25" spans="2:39">
      <c r="B25" s="91" t="s">
        <v>231</v>
      </c>
      <c r="C25" s="91" t="s">
        <v>232</v>
      </c>
      <c r="D25" s="91" t="s">
        <v>233</v>
      </c>
      <c r="E25" s="91" t="s">
        <v>234</v>
      </c>
      <c r="F25" s="91">
        <v>2022</v>
      </c>
      <c r="G25" s="91">
        <v>2023</v>
      </c>
      <c r="H25" s="91">
        <v>2024</v>
      </c>
      <c r="I25" s="91">
        <v>2025</v>
      </c>
      <c r="J25" s="91">
        <v>2026</v>
      </c>
      <c r="K25" s="91">
        <v>2027</v>
      </c>
      <c r="L25" s="91">
        <v>2028</v>
      </c>
      <c r="M25" s="91">
        <v>2029</v>
      </c>
      <c r="N25" s="91">
        <v>2030</v>
      </c>
      <c r="O25" s="91">
        <v>2031</v>
      </c>
      <c r="P25" s="91">
        <v>2032</v>
      </c>
      <c r="Q25" s="91">
        <v>2033</v>
      </c>
      <c r="R25" s="91">
        <v>2034</v>
      </c>
      <c r="S25" s="91">
        <v>2035</v>
      </c>
      <c r="T25" s="91">
        <v>2036</v>
      </c>
      <c r="U25" s="91">
        <v>2037</v>
      </c>
      <c r="V25" s="91">
        <v>2038</v>
      </c>
      <c r="W25" s="91">
        <v>2039</v>
      </c>
      <c r="X25" s="91">
        <v>2040</v>
      </c>
      <c r="Y25" s="91">
        <v>2041</v>
      </c>
      <c r="Z25" s="91">
        <v>2042</v>
      </c>
      <c r="AA25" s="91">
        <v>2043</v>
      </c>
      <c r="AB25" s="91">
        <v>2044</v>
      </c>
      <c r="AC25" s="91">
        <v>2045</v>
      </c>
      <c r="AD25" s="91">
        <v>2046</v>
      </c>
      <c r="AE25" s="91">
        <v>2047</v>
      </c>
      <c r="AF25" s="91">
        <v>2048</v>
      </c>
      <c r="AG25" s="91">
        <v>2049</v>
      </c>
      <c r="AH25" s="91">
        <v>2050</v>
      </c>
      <c r="AI25" s="91">
        <v>2051</v>
      </c>
      <c r="AJ25" s="91">
        <v>2052</v>
      </c>
      <c r="AK25" s="91">
        <v>2053</v>
      </c>
      <c r="AL25" s="91">
        <v>2054</v>
      </c>
      <c r="AM25" s="91">
        <v>2055</v>
      </c>
    </row>
    <row r="26" spans="2:39">
      <c r="B26" s="92" t="s">
        <v>235</v>
      </c>
      <c r="C26" s="92" t="s">
        <v>236</v>
      </c>
      <c r="D26" s="92" t="s">
        <v>33</v>
      </c>
      <c r="E26" s="92" t="s">
        <v>237</v>
      </c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35"/>
      <c r="AJ26" s="35"/>
      <c r="AK26" s="35"/>
      <c r="AL26" s="35"/>
      <c r="AM26" s="35"/>
    </row>
    <row r="27" spans="2:39">
      <c r="B27" s="92" t="s">
        <v>235</v>
      </c>
      <c r="C27" s="92" t="s">
        <v>236</v>
      </c>
      <c r="D27" s="92" t="s">
        <v>34</v>
      </c>
      <c r="E27" s="92" t="s">
        <v>237</v>
      </c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35"/>
      <c r="AJ27" s="35"/>
      <c r="AK27" s="35"/>
      <c r="AL27" s="35"/>
      <c r="AM27" s="35"/>
    </row>
    <row r="28" spans="2:39">
      <c r="B28" s="92" t="s">
        <v>235</v>
      </c>
      <c r="C28" s="92" t="s">
        <v>236</v>
      </c>
      <c r="D28" s="92" t="s">
        <v>19</v>
      </c>
      <c r="E28" s="92" t="s">
        <v>237</v>
      </c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35"/>
      <c r="AJ28" s="35"/>
      <c r="AK28" s="35"/>
      <c r="AL28" s="35"/>
      <c r="AM28" s="35"/>
    </row>
    <row r="29" spans="2:39">
      <c r="B29" s="92" t="s">
        <v>235</v>
      </c>
      <c r="C29" s="92" t="s">
        <v>236</v>
      </c>
      <c r="D29" s="92" t="s">
        <v>238</v>
      </c>
      <c r="E29" s="92" t="s">
        <v>237</v>
      </c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35"/>
      <c r="AJ29" s="35"/>
      <c r="AK29" s="35"/>
      <c r="AL29" s="35"/>
      <c r="AM29" s="35"/>
    </row>
    <row r="30" spans="2:39">
      <c r="B30" s="92" t="s">
        <v>235</v>
      </c>
      <c r="C30" s="92" t="s">
        <v>236</v>
      </c>
      <c r="D30" s="92" t="s">
        <v>35</v>
      </c>
      <c r="E30" s="92" t="s">
        <v>237</v>
      </c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35"/>
      <c r="AJ30" s="35"/>
      <c r="AK30" s="35"/>
      <c r="AL30" s="35"/>
      <c r="AM30" s="35"/>
    </row>
    <row r="31" spans="2:39">
      <c r="B31" s="92" t="s">
        <v>235</v>
      </c>
      <c r="C31" s="92" t="s">
        <v>236</v>
      </c>
      <c r="D31" s="92" t="s">
        <v>25</v>
      </c>
      <c r="E31" s="92" t="s">
        <v>237</v>
      </c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35"/>
      <c r="AJ31" s="35"/>
      <c r="AK31" s="35"/>
      <c r="AL31" s="35"/>
      <c r="AM31" s="35"/>
    </row>
    <row r="34" spans="2:7">
      <c r="B34" t="s">
        <v>239</v>
      </c>
    </row>
    <row r="35" spans="2:7">
      <c r="B35" s="94"/>
    </row>
    <row r="38" spans="2:7">
      <c r="B38" s="193" t="s">
        <v>240</v>
      </c>
      <c r="C38" s="193"/>
    </row>
    <row r="39" spans="2:7">
      <c r="B39" s="95" t="s">
        <v>241</v>
      </c>
      <c r="C39" s="95" t="s">
        <v>242</v>
      </c>
      <c r="D39" s="95" t="s">
        <v>243</v>
      </c>
    </row>
    <row r="40" spans="2:7">
      <c r="B40" s="35" t="s">
        <v>38</v>
      </c>
      <c r="C40" s="96"/>
      <c r="D40" s="96" t="e">
        <f>C40+E40</f>
        <v>#DIV/0!</v>
      </c>
      <c r="E40" s="97" t="e">
        <f>(C40/SUM($C$40,$C$42:$C$47))*$C$51</f>
        <v>#DIV/0!</v>
      </c>
    </row>
    <row r="41" spans="2:7">
      <c r="B41" s="100" t="s">
        <v>244</v>
      </c>
      <c r="C41" s="96"/>
      <c r="D41" s="96">
        <v>0</v>
      </c>
      <c r="E41" s="97" t="e">
        <f t="shared" ref="E41:E48" si="2">(C41/SUM($C$40,$C$42:$C$47))*$C$51</f>
        <v>#DIV/0!</v>
      </c>
    </row>
    <row r="42" spans="2:7">
      <c r="B42" s="35" t="s">
        <v>245</v>
      </c>
      <c r="C42" s="96"/>
      <c r="D42" s="96" t="e">
        <f t="shared" ref="D42:D47" si="3">C42+E42</f>
        <v>#DIV/0!</v>
      </c>
      <c r="E42" s="97" t="e">
        <f t="shared" si="2"/>
        <v>#DIV/0!</v>
      </c>
      <c r="G42" s="138"/>
    </row>
    <row r="43" spans="2:7">
      <c r="B43" s="35" t="s">
        <v>246</v>
      </c>
      <c r="C43" s="96"/>
      <c r="D43" s="96" t="e">
        <f t="shared" si="3"/>
        <v>#DIV/0!</v>
      </c>
      <c r="E43" s="97" t="e">
        <f t="shared" si="2"/>
        <v>#DIV/0!</v>
      </c>
      <c r="G43" s="139"/>
    </row>
    <row r="44" spans="2:7">
      <c r="B44" s="35" t="s">
        <v>247</v>
      </c>
      <c r="C44" s="96"/>
      <c r="D44" s="96" t="e">
        <f t="shared" si="3"/>
        <v>#DIV/0!</v>
      </c>
      <c r="E44" s="97" t="e">
        <f t="shared" si="2"/>
        <v>#DIV/0!</v>
      </c>
    </row>
    <row r="45" spans="2:7">
      <c r="B45" s="35" t="s">
        <v>248</v>
      </c>
      <c r="C45" s="96"/>
      <c r="D45" s="96" t="e">
        <f t="shared" si="3"/>
        <v>#DIV/0!</v>
      </c>
      <c r="E45" s="97" t="e">
        <f t="shared" si="2"/>
        <v>#DIV/0!</v>
      </c>
      <c r="G45" s="138"/>
    </row>
    <row r="46" spans="2:7">
      <c r="B46" s="35" t="s">
        <v>249</v>
      </c>
      <c r="C46" s="103"/>
      <c r="D46" s="96" t="e">
        <f t="shared" si="3"/>
        <v>#DIV/0!</v>
      </c>
      <c r="E46" s="97" t="e">
        <f t="shared" si="2"/>
        <v>#DIV/0!</v>
      </c>
      <c r="G46" s="139"/>
    </row>
    <row r="47" spans="2:7">
      <c r="B47" s="35" t="s">
        <v>250</v>
      </c>
      <c r="C47" s="103"/>
      <c r="D47" s="96" t="e">
        <f t="shared" si="3"/>
        <v>#DIV/0!</v>
      </c>
      <c r="E47" s="97" t="e">
        <f t="shared" si="2"/>
        <v>#DIV/0!</v>
      </c>
    </row>
    <row r="48" spans="2:7">
      <c r="B48" s="100" t="s">
        <v>251</v>
      </c>
      <c r="C48" s="96"/>
      <c r="D48" s="96">
        <v>0</v>
      </c>
      <c r="E48" s="97" t="e">
        <f t="shared" si="2"/>
        <v>#DIV/0!</v>
      </c>
    </row>
    <row r="49" spans="2:9">
      <c r="B49" s="37" t="s">
        <v>252</v>
      </c>
      <c r="C49" s="105">
        <f>SUM(C40:C48)</f>
        <v>0</v>
      </c>
      <c r="D49" s="105" t="e">
        <f>SUM(D40:D48)</f>
        <v>#DIV/0!</v>
      </c>
      <c r="E49" s="106"/>
    </row>
    <row r="51" spans="2:9">
      <c r="B51" s="107" t="s">
        <v>253</v>
      </c>
      <c r="C51" s="108"/>
      <c r="D51" s="108">
        <f>C51/7</f>
        <v>0</v>
      </c>
    </row>
    <row r="54" spans="2:9">
      <c r="B54" s="109"/>
      <c r="E54" s="98"/>
      <c r="F54" s="110"/>
      <c r="G54" s="110"/>
      <c r="H54" s="110" t="s">
        <v>254</v>
      </c>
      <c r="I54" s="99"/>
    </row>
    <row r="55" spans="2:9">
      <c r="E55" s="101" t="s">
        <v>255</v>
      </c>
      <c r="G55" t="s">
        <v>256</v>
      </c>
      <c r="I55" s="102"/>
    </row>
    <row r="56" spans="2:9">
      <c r="E56" s="101"/>
      <c r="G56" t="s">
        <v>257</v>
      </c>
      <c r="I56" s="102"/>
    </row>
    <row r="57" spans="2:9">
      <c r="E57" s="101"/>
      <c r="G57" t="s">
        <v>258</v>
      </c>
      <c r="I57" s="102"/>
    </row>
    <row r="58" spans="2:9">
      <c r="E58" s="104"/>
      <c r="F58" s="111"/>
      <c r="G58" s="111" t="s">
        <v>259</v>
      </c>
      <c r="H58" s="111"/>
      <c r="I58" s="112"/>
    </row>
  </sheetData>
  <mergeCells count="2">
    <mergeCell ref="H8:I9"/>
    <mergeCell ref="B38:C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9e1f1a-a5a3-4607-b076-0e4d717b36d0">
      <Terms xmlns="http://schemas.microsoft.com/office/infopath/2007/PartnerControls"/>
    </lcf76f155ced4ddcb4097134ff3c332f>
    <TaxCatchAll xmlns="3b4a842f-ae29-449c-a927-064b2b969e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BBAA2E230144B980D56788B6567C0" ma:contentTypeVersion="21" ma:contentTypeDescription="Create a new document." ma:contentTypeScope="" ma:versionID="f0eae614ab03d48b26c9d9b72320867a">
  <xsd:schema xmlns:xsd="http://www.w3.org/2001/XMLSchema" xmlns:xs="http://www.w3.org/2001/XMLSchema" xmlns:p="http://schemas.microsoft.com/office/2006/metadata/properties" xmlns:ns2="659e1f1a-a5a3-4607-b076-0e4d717b36d0" xmlns:ns3="3b4a842f-ae29-449c-a927-064b2b969e7e" targetNamespace="http://schemas.microsoft.com/office/2006/metadata/properties" ma:root="true" ma:fieldsID="31c0953edf48f4904a479080f5709269" ns2:_="" ns3:_="">
    <xsd:import namespace="659e1f1a-a5a3-4607-b076-0e4d717b36d0"/>
    <xsd:import namespace="3b4a842f-ae29-449c-a927-064b2b969e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TaxCatchAll" minOccurs="0"/>
                <xsd:element ref="ns2:MediaServiceOCR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9e1f1a-a5a3-4607-b076-0e4d717b36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798d900d-0589-4081-96eb-513de833a5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4a842f-ae29-449c-a927-064b2b969e7e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2bfdf70-3d41-42d6-8c19-a2b2389d3a07}" ma:internalName="TaxCatchAll" ma:showField="CatchAllData" ma:web="3b4a842f-ae29-449c-a927-064b2b969e7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CD83A3-5636-41F4-AFE4-5D498B5BA11E}"/>
</file>

<file path=customXml/itemProps2.xml><?xml version="1.0" encoding="utf-8"?>
<ds:datastoreItem xmlns:ds="http://schemas.openxmlformats.org/officeDocument/2006/customXml" ds:itemID="{CECB95B5-A6A2-425A-BE3F-23256C0FFA6E}"/>
</file>

<file path=customXml/itemProps3.xml><?xml version="1.0" encoding="utf-8"?>
<ds:datastoreItem xmlns:ds="http://schemas.openxmlformats.org/officeDocument/2006/customXml" ds:itemID="{5EE9E926-8A2B-40AA-8917-31D358438D2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Tejasvat, Toshit</cp:lastModifiedBy>
  <cp:revision/>
  <dcterms:created xsi:type="dcterms:W3CDTF">2015-06-05T18:19:34Z</dcterms:created>
  <dcterms:modified xsi:type="dcterms:W3CDTF">2025-09-02T11:19:55Z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2021-07-07T15:49:07Z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36fcba02-ecea-4650-8d69-4d9aea4a2740</vt:lpwstr>
  </property>
  <property fmtid="{D5CDD505-2E9C-101B-9397-08002B2CF9AE}" pid="8" name="MSIP_Label_ea60d57e-af5b-4752-ac57-3e4f28ca11dc_ContentBits">
    <vt:lpwstr>0</vt:lpwstr>
  </property>
  <property fmtid="{D5CDD505-2E9C-101B-9397-08002B2CF9AE}" pid="9" name="ContentTypeId">
    <vt:lpwstr>0x0101000CCBBAA2E230144B980D56788B6567C0</vt:lpwstr>
  </property>
  <property fmtid="{D5CDD505-2E9C-101B-9397-08002B2CF9AE}" pid="10" name="MediaServiceImageTags">
    <vt:lpwstr/>
  </property>
</Properties>
</file>